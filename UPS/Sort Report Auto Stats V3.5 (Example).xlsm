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Z:\District PE\10 Sort Reports\2021\12 DEC\"/>
    </mc:Choice>
  </mc:AlternateContent>
  <bookViews>
    <workbookView xWindow="795" yWindow="1620" windowWidth="25680" windowHeight="13350"/>
  </bookViews>
  <sheets>
    <sheet name="Report" sheetId="5" r:id="rId1"/>
    <sheet name="Sort Call Log" sheetId="20" r:id="rId2"/>
    <sheet name="Stats" sheetId="3" r:id="rId3"/>
    <sheet name="StatsInstructions" sheetId="7" r:id="rId4"/>
    <sheet name="Pass" sheetId="19" state="veryHidden" r:id="rId5"/>
    <sheet name="EmailList" sheetId="18" state="veryHidden" r:id="rId6"/>
    <sheet name="CheckSheet" sheetId="17" state="veryHidden" r:id="rId7"/>
    <sheet name="Troubleshooting Guide" sheetId="21" r:id="rId8"/>
    <sheet name="Phone Contacts" sheetId="22" r:id="rId9"/>
    <sheet name="Mech Schedule 4.4.21" sheetId="23" r:id="rId10"/>
    <sheet name="SorterRank" sheetId="6" r:id="rId11"/>
  </sheets>
  <functionGroups builtInGroupCount="18"/>
  <definedNames>
    <definedName name="_xlnm._FilterDatabase" localSheetId="7" hidden="1">'Troubleshooting Guide'!$A$1:$J$10</definedName>
    <definedName name="_xlnm.Print_Area" localSheetId="9">'Mech Schedule 4.4.21'!$A$1:$AL$28</definedName>
    <definedName name="_xlnm.Print_Titles" localSheetId="7">'Troubleshooting Guide'!$1:$1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2" i="3" l="1"/>
  <c r="F42" i="3"/>
  <c r="E42" i="3"/>
  <c r="D42" i="3"/>
  <c r="C42" i="3"/>
  <c r="B42" i="3"/>
  <c r="G9" i="5"/>
  <c r="K18" i="3" l="1"/>
  <c r="N14" i="3"/>
  <c r="N22" i="3" s="1"/>
  <c r="M14" i="3"/>
  <c r="L14" i="3"/>
  <c r="J14" i="3"/>
  <c r="I14" i="3"/>
  <c r="H14" i="3"/>
  <c r="G14" i="3"/>
  <c r="F14" i="3"/>
  <c r="E14" i="3"/>
  <c r="D14" i="3"/>
  <c r="C14" i="3"/>
  <c r="B14" i="3"/>
  <c r="N7" i="3"/>
  <c r="M7" i="3"/>
  <c r="L7" i="3"/>
  <c r="K7" i="3"/>
  <c r="J7" i="3"/>
  <c r="I7" i="3"/>
  <c r="H7" i="3"/>
  <c r="G7" i="3"/>
  <c r="F7" i="3"/>
  <c r="E7" i="3"/>
  <c r="D7" i="3"/>
  <c r="C7" i="3"/>
  <c r="B7" i="3"/>
  <c r="H11" i="5" l="1"/>
  <c r="B12" i="5"/>
  <c r="K1" i="20"/>
  <c r="D1" i="20"/>
  <c r="U4" i="23" l="1"/>
  <c r="V4" i="23" s="1"/>
  <c r="W4" i="23" s="1"/>
  <c r="X4" i="23" s="1"/>
  <c r="Y4" i="23" s="1"/>
  <c r="Z4" i="23" s="1"/>
  <c r="AA4" i="23" s="1"/>
  <c r="AB4" i="23" s="1"/>
  <c r="J6646" i="22"/>
  <c r="J6645" i="22"/>
  <c r="J6644" i="22"/>
  <c r="J6643" i="22"/>
  <c r="J6642" i="22"/>
  <c r="J6641" i="22"/>
  <c r="J6640" i="22"/>
  <c r="J6639" i="22"/>
  <c r="J6638" i="22"/>
  <c r="J6637" i="22"/>
  <c r="J6636" i="22"/>
  <c r="J6635" i="22"/>
  <c r="J6634" i="22"/>
  <c r="J6633" i="22"/>
  <c r="J6632" i="22"/>
  <c r="J6631" i="22"/>
  <c r="J6630" i="22"/>
  <c r="J6629" i="22"/>
  <c r="J6628" i="22"/>
  <c r="J6627" i="22"/>
  <c r="J6626" i="22"/>
  <c r="J6625" i="22"/>
  <c r="J6611" i="22" s="1"/>
  <c r="J6599" i="22"/>
  <c r="J6590" i="22"/>
  <c r="F31" i="20"/>
  <c r="D31" i="20"/>
  <c r="F30" i="20"/>
  <c r="D30" i="20"/>
  <c r="F29" i="20"/>
  <c r="D29" i="20"/>
  <c r="F28" i="20"/>
  <c r="D28" i="20"/>
  <c r="F27" i="20"/>
  <c r="D27" i="20"/>
  <c r="F26" i="20"/>
  <c r="D26" i="20"/>
  <c r="F25" i="20"/>
  <c r="D25" i="20"/>
  <c r="F24" i="20"/>
  <c r="D24" i="20"/>
  <c r="F23" i="20"/>
  <c r="D23" i="20"/>
  <c r="F22" i="20"/>
  <c r="D22" i="20"/>
  <c r="F21" i="20"/>
  <c r="D21" i="20"/>
  <c r="F20" i="20"/>
  <c r="D20" i="20"/>
  <c r="F19" i="20"/>
  <c r="D19" i="20"/>
  <c r="F18" i="20"/>
  <c r="D18" i="20"/>
  <c r="F17" i="20"/>
  <c r="D17" i="20"/>
  <c r="F16" i="20"/>
  <c r="D16" i="20"/>
  <c r="F15" i="20"/>
  <c r="D15" i="20"/>
  <c r="F14" i="20"/>
  <c r="D14" i="20"/>
  <c r="F13" i="20"/>
  <c r="D13" i="20"/>
  <c r="F12" i="20"/>
  <c r="D12" i="20"/>
  <c r="F11" i="20"/>
  <c r="D11" i="20"/>
  <c r="F10" i="20"/>
  <c r="D10" i="20"/>
  <c r="F9" i="20"/>
  <c r="D9" i="20"/>
  <c r="F8" i="20"/>
  <c r="D8" i="20"/>
  <c r="F7" i="20"/>
  <c r="D7" i="20"/>
  <c r="F6" i="20"/>
  <c r="D6" i="20"/>
  <c r="F5" i="20"/>
  <c r="D5" i="20"/>
  <c r="F4" i="20"/>
  <c r="D4" i="20"/>
  <c r="F3" i="20"/>
  <c r="D3" i="20"/>
  <c r="C5" i="7"/>
  <c r="O33" i="17"/>
  <c r="O28" i="17"/>
  <c r="O16" i="17"/>
  <c r="O3" i="17"/>
  <c r="O1" i="17"/>
  <c r="J16" i="6"/>
  <c r="K16" i="6" s="1"/>
  <c r="H16" i="6"/>
  <c r="I16" i="6" s="1"/>
  <c r="F16" i="6"/>
  <c r="G16" i="6" s="1"/>
  <c r="D16" i="6"/>
  <c r="E16" i="6" s="1"/>
  <c r="B16" i="6"/>
  <c r="C16" i="6" s="1"/>
  <c r="A16" i="6"/>
  <c r="A15" i="6"/>
  <c r="J14" i="6"/>
  <c r="H14" i="6"/>
  <c r="I14" i="6" s="1"/>
  <c r="F14" i="6"/>
  <c r="D14" i="6"/>
  <c r="B14" i="6"/>
  <c r="C14" i="6" s="1"/>
  <c r="A14" i="6"/>
  <c r="A13" i="6"/>
  <c r="A12" i="6"/>
  <c r="A10" i="6"/>
  <c r="A9" i="6"/>
  <c r="A8" i="6"/>
  <c r="A7" i="6"/>
  <c r="A6" i="6"/>
  <c r="A5" i="6"/>
  <c r="A4" i="6"/>
  <c r="N43" i="3"/>
  <c r="M14" i="5" s="1"/>
  <c r="M43" i="3"/>
  <c r="L43" i="3"/>
  <c r="I43" i="3"/>
  <c r="H43" i="3"/>
  <c r="G43" i="3"/>
  <c r="F43" i="3"/>
  <c r="E43" i="3"/>
  <c r="D43" i="3"/>
  <c r="C43" i="3"/>
  <c r="B43" i="3"/>
  <c r="N42" i="3"/>
  <c r="T14" i="5" s="1"/>
  <c r="N40" i="3"/>
  <c r="T13" i="5" s="1"/>
  <c r="M40" i="3"/>
  <c r="L40" i="3"/>
  <c r="I40" i="3"/>
  <c r="H40" i="3"/>
  <c r="T11" i="5" s="1"/>
  <c r="G40" i="3"/>
  <c r="T12" i="5" s="1"/>
  <c r="F40" i="3"/>
  <c r="T8" i="5" s="1"/>
  <c r="E40" i="3"/>
  <c r="T9" i="5" s="1"/>
  <c r="D40" i="3"/>
  <c r="C40" i="3"/>
  <c r="T10" i="5" s="1"/>
  <c r="B40" i="3"/>
  <c r="T7" i="5" s="1"/>
  <c r="I39" i="3"/>
  <c r="H39" i="3"/>
  <c r="G39" i="3"/>
  <c r="F39" i="3"/>
  <c r="E39" i="3"/>
  <c r="D39" i="3"/>
  <c r="C39" i="3"/>
  <c r="B39" i="3"/>
  <c r="I38" i="3"/>
  <c r="J15" i="6" s="1"/>
  <c r="H38" i="3"/>
  <c r="D15" i="6" s="1"/>
  <c r="E15" i="6" s="1"/>
  <c r="G38" i="3"/>
  <c r="F15" i="6" s="1"/>
  <c r="F38" i="3"/>
  <c r="E38" i="3"/>
  <c r="H15" i="6" s="1"/>
  <c r="D38" i="3"/>
  <c r="B15" i="6" s="1"/>
  <c r="C38" i="3"/>
  <c r="B38" i="3"/>
  <c r="O36" i="3"/>
  <c r="N36" i="3"/>
  <c r="O13" i="5" s="1"/>
  <c r="M36" i="3"/>
  <c r="L36" i="3"/>
  <c r="I36" i="3"/>
  <c r="H36" i="3"/>
  <c r="G36" i="3"/>
  <c r="O12" i="5" s="1"/>
  <c r="F36" i="3"/>
  <c r="O10" i="5" s="1"/>
  <c r="E36" i="3"/>
  <c r="O9" i="5" s="1"/>
  <c r="D36" i="3"/>
  <c r="O8" i="5" s="1"/>
  <c r="C36" i="3"/>
  <c r="O7" i="5" s="1"/>
  <c r="B36" i="3"/>
  <c r="O6" i="5" s="1"/>
  <c r="O35" i="3"/>
  <c r="N35" i="3"/>
  <c r="M35" i="3"/>
  <c r="L35" i="3"/>
  <c r="I35" i="3"/>
  <c r="J13" i="6" s="1"/>
  <c r="H35" i="3"/>
  <c r="D13" i="6" s="1"/>
  <c r="G35" i="3"/>
  <c r="F13" i="6" s="1"/>
  <c r="F35" i="3"/>
  <c r="E35" i="3"/>
  <c r="H13" i="6" s="1"/>
  <c r="D35" i="3"/>
  <c r="B13" i="6" s="1"/>
  <c r="C35" i="3"/>
  <c r="B35" i="3"/>
  <c r="O34" i="3"/>
  <c r="N34" i="3"/>
  <c r="M34" i="3"/>
  <c r="L34" i="3"/>
  <c r="I34" i="3"/>
  <c r="J12" i="6" s="1"/>
  <c r="H34" i="3"/>
  <c r="D12" i="6" s="1"/>
  <c r="G34" i="3"/>
  <c r="F12" i="6" s="1"/>
  <c r="F34" i="3"/>
  <c r="E34" i="3"/>
  <c r="H12" i="6" s="1"/>
  <c r="D34" i="3"/>
  <c r="B12" i="6" s="1"/>
  <c r="C34" i="3"/>
  <c r="B34" i="3"/>
  <c r="O33" i="3"/>
  <c r="N33" i="3"/>
  <c r="M33" i="3"/>
  <c r="L33" i="3"/>
  <c r="I33" i="3"/>
  <c r="J11" i="6" s="1"/>
  <c r="H33" i="3"/>
  <c r="D11" i="6" s="1"/>
  <c r="G33" i="3"/>
  <c r="F11" i="6" s="1"/>
  <c r="F33" i="3"/>
  <c r="E33" i="3"/>
  <c r="H11" i="6" s="1"/>
  <c r="D33" i="3"/>
  <c r="B11" i="6" s="1"/>
  <c r="C33" i="3"/>
  <c r="B33" i="3"/>
  <c r="O32" i="3"/>
  <c r="N32" i="3"/>
  <c r="M32" i="3"/>
  <c r="L32" i="3"/>
  <c r="I32" i="3"/>
  <c r="J10" i="6" s="1"/>
  <c r="H32" i="3"/>
  <c r="D10" i="6" s="1"/>
  <c r="G32" i="3"/>
  <c r="F10" i="6" s="1"/>
  <c r="F32" i="3"/>
  <c r="E32" i="3"/>
  <c r="H10" i="6" s="1"/>
  <c r="D32" i="3"/>
  <c r="B10" i="6" s="1"/>
  <c r="C32" i="3"/>
  <c r="B32" i="3"/>
  <c r="O31" i="3"/>
  <c r="N31" i="3"/>
  <c r="M31" i="3"/>
  <c r="L31" i="3"/>
  <c r="I31" i="3"/>
  <c r="J9" i="6" s="1"/>
  <c r="H31" i="3"/>
  <c r="D9" i="6" s="1"/>
  <c r="G31" i="3"/>
  <c r="F9" i="6" s="1"/>
  <c r="F31" i="3"/>
  <c r="E31" i="3"/>
  <c r="H9" i="6" s="1"/>
  <c r="D31" i="3"/>
  <c r="B9" i="6" s="1"/>
  <c r="C31" i="3"/>
  <c r="B31" i="3"/>
  <c r="O30" i="3"/>
  <c r="N30" i="3"/>
  <c r="M30" i="3"/>
  <c r="L30" i="3"/>
  <c r="I30" i="3"/>
  <c r="J8" i="6" s="1"/>
  <c r="H30" i="3"/>
  <c r="D8" i="6" s="1"/>
  <c r="G30" i="3"/>
  <c r="F8" i="6" s="1"/>
  <c r="F30" i="3"/>
  <c r="E30" i="3"/>
  <c r="H8" i="6" s="1"/>
  <c r="D30" i="3"/>
  <c r="B8" i="6" s="1"/>
  <c r="C30" i="3"/>
  <c r="B30" i="3"/>
  <c r="O29" i="3"/>
  <c r="N29" i="3"/>
  <c r="M13" i="5" s="1"/>
  <c r="M29" i="3"/>
  <c r="L29" i="3"/>
  <c r="J29" i="3"/>
  <c r="M11" i="5" s="1"/>
  <c r="I29" i="3"/>
  <c r="H29" i="3"/>
  <c r="G29" i="3"/>
  <c r="M12" i="5" s="1"/>
  <c r="F29" i="3"/>
  <c r="M10" i="5" s="1"/>
  <c r="E29" i="3"/>
  <c r="M9" i="5" s="1"/>
  <c r="D29" i="3"/>
  <c r="M8" i="5" s="1"/>
  <c r="C29" i="3"/>
  <c r="M7" i="5" s="1"/>
  <c r="B29" i="3"/>
  <c r="M6" i="5" s="1"/>
  <c r="O28" i="3"/>
  <c r="N28" i="3"/>
  <c r="M28" i="3"/>
  <c r="L28" i="3"/>
  <c r="J28" i="3"/>
  <c r="I28" i="3"/>
  <c r="J7" i="6" s="1"/>
  <c r="H28" i="3"/>
  <c r="D7" i="6" s="1"/>
  <c r="G28" i="3"/>
  <c r="F7" i="6" s="1"/>
  <c r="F28" i="3"/>
  <c r="E28" i="3"/>
  <c r="H7" i="6" s="1"/>
  <c r="D28" i="3"/>
  <c r="B7" i="6" s="1"/>
  <c r="C28" i="3"/>
  <c r="B28" i="3"/>
  <c r="O27" i="3"/>
  <c r="N27" i="3"/>
  <c r="M27" i="3"/>
  <c r="L27" i="3"/>
  <c r="J27" i="3"/>
  <c r="I27" i="3"/>
  <c r="J6" i="6" s="1"/>
  <c r="H27" i="3"/>
  <c r="D6" i="6" s="1"/>
  <c r="G27" i="3"/>
  <c r="F6" i="6" s="1"/>
  <c r="F27" i="3"/>
  <c r="E27" i="3"/>
  <c r="H6" i="6" s="1"/>
  <c r="D27" i="3"/>
  <c r="B6" i="6" s="1"/>
  <c r="C27" i="3"/>
  <c r="B27" i="3"/>
  <c r="O26" i="3"/>
  <c r="N26" i="3"/>
  <c r="M26" i="3"/>
  <c r="L26" i="3"/>
  <c r="J26" i="3"/>
  <c r="I26" i="3"/>
  <c r="J5" i="6" s="1"/>
  <c r="H26" i="3"/>
  <c r="D5" i="6" s="1"/>
  <c r="G26" i="3"/>
  <c r="F5" i="6" s="1"/>
  <c r="F26" i="3"/>
  <c r="E26" i="3"/>
  <c r="H5" i="6" s="1"/>
  <c r="D26" i="3"/>
  <c r="B5" i="6" s="1"/>
  <c r="C26" i="3"/>
  <c r="B26" i="3"/>
  <c r="O25" i="3"/>
  <c r="N25" i="3"/>
  <c r="M25" i="3"/>
  <c r="L25" i="3"/>
  <c r="J25" i="3"/>
  <c r="I25" i="3"/>
  <c r="J4" i="6" s="1"/>
  <c r="H25" i="3"/>
  <c r="D4" i="6" s="1"/>
  <c r="G25" i="3"/>
  <c r="F4" i="6" s="1"/>
  <c r="F25" i="3"/>
  <c r="E25" i="3"/>
  <c r="H4" i="6" s="1"/>
  <c r="D25" i="3"/>
  <c r="B4" i="6" s="1"/>
  <c r="C25" i="3"/>
  <c r="B25" i="3"/>
  <c r="K21" i="3"/>
  <c r="J21" i="3"/>
  <c r="C31" i="5"/>
  <c r="E31" i="5" s="1"/>
  <c r="C30" i="5"/>
  <c r="E30" i="5" s="1"/>
  <c r="C29" i="5"/>
  <c r="E29" i="5" s="1"/>
  <c r="C28" i="5"/>
  <c r="E28" i="5" s="1"/>
  <c r="C27" i="5"/>
  <c r="E27" i="5" s="1"/>
  <c r="C26" i="5"/>
  <c r="E26" i="5" s="1"/>
  <c r="C25" i="5"/>
  <c r="E25" i="5" s="1"/>
  <c r="C24" i="5"/>
  <c r="E24" i="5" s="1"/>
  <c r="C23" i="5"/>
  <c r="E23" i="5" s="1"/>
  <c r="C22" i="5"/>
  <c r="E22" i="5" s="1"/>
  <c r="U12" i="5"/>
  <c r="P12" i="5"/>
  <c r="N12" i="5"/>
  <c r="U11" i="5"/>
  <c r="N11" i="5"/>
  <c r="I11" i="5"/>
  <c r="G11" i="5"/>
  <c r="U10" i="5"/>
  <c r="P10" i="5"/>
  <c r="N10" i="5"/>
  <c r="U9" i="5"/>
  <c r="P9" i="5"/>
  <c r="N9" i="5"/>
  <c r="U8" i="5"/>
  <c r="P8" i="5"/>
  <c r="N8" i="5"/>
  <c r="U7" i="5"/>
  <c r="P7" i="5"/>
  <c r="N7" i="5"/>
  <c r="U6" i="5"/>
  <c r="P6" i="5"/>
  <c r="N6" i="5"/>
  <c r="K15" i="6" l="1"/>
  <c r="E11" i="6"/>
  <c r="K11" i="6"/>
  <c r="I11" i="6"/>
  <c r="G12" i="6"/>
  <c r="G13" i="6"/>
  <c r="E12" i="6"/>
  <c r="E13" i="6"/>
  <c r="K13" i="6"/>
  <c r="I12" i="6"/>
  <c r="I13" i="6"/>
  <c r="C12" i="6"/>
  <c r="K12" i="6"/>
  <c r="C11" i="6"/>
  <c r="G15" i="6"/>
  <c r="I15" i="6"/>
  <c r="Y16" i="6" s="1"/>
  <c r="G7" i="6"/>
  <c r="K6" i="6"/>
  <c r="K7" i="6"/>
  <c r="E7" i="6"/>
  <c r="I7" i="6"/>
  <c r="T14" i="6"/>
  <c r="V14" i="6"/>
  <c r="Z14" i="6"/>
  <c r="G6" i="6"/>
  <c r="E6" i="6"/>
  <c r="I6" i="6"/>
  <c r="C6" i="6"/>
  <c r="E10" i="6"/>
  <c r="K10" i="6"/>
  <c r="C10" i="6"/>
  <c r="I10" i="6"/>
  <c r="G9" i="6"/>
  <c r="E9" i="6"/>
  <c r="K9" i="6"/>
  <c r="C9" i="6"/>
  <c r="I9" i="6"/>
  <c r="G8" i="6"/>
  <c r="E8" i="6"/>
  <c r="K8" i="6"/>
  <c r="C8" i="6"/>
  <c r="I8" i="6"/>
  <c r="I4" i="6"/>
  <c r="I5" i="6"/>
  <c r="K5" i="6"/>
  <c r="C5" i="6"/>
  <c r="G5" i="6"/>
  <c r="E5" i="6"/>
  <c r="E4" i="6"/>
  <c r="C4" i="6"/>
  <c r="K4" i="6"/>
  <c r="N18" i="5"/>
  <c r="N19" i="5"/>
  <c r="F19" i="5"/>
  <c r="L16" i="6"/>
  <c r="N17" i="5"/>
  <c r="N10" i="6"/>
  <c r="N9" i="6"/>
  <c r="N11" i="6"/>
  <c r="N15" i="6"/>
  <c r="N7" i="6"/>
  <c r="N13" i="6"/>
  <c r="C15" i="6"/>
  <c r="S14" i="6" s="1"/>
  <c r="T6" i="5"/>
  <c r="N4" i="6"/>
  <c r="C7" i="6"/>
  <c r="C13" i="6"/>
  <c r="G14" i="6"/>
  <c r="N16" i="6"/>
  <c r="Y15" i="6"/>
  <c r="N5" i="6"/>
  <c r="N12" i="6"/>
  <c r="E14" i="6"/>
  <c r="K14" i="6"/>
  <c r="S18" i="5"/>
  <c r="D18" i="5"/>
  <c r="N6" i="6"/>
  <c r="F17" i="5"/>
  <c r="F18" i="5"/>
  <c r="N14" i="6"/>
  <c r="X14" i="6"/>
  <c r="S17" i="5"/>
  <c r="S19" i="5"/>
  <c r="D17" i="5"/>
  <c r="D19" i="5"/>
  <c r="J17" i="5"/>
  <c r="J18" i="5"/>
  <c r="J19" i="5"/>
  <c r="N8" i="6"/>
  <c r="G4" i="6"/>
  <c r="G10" i="6"/>
  <c r="G11" i="6"/>
  <c r="Y14" i="6" l="1"/>
  <c r="L12" i="6"/>
  <c r="L11" i="6"/>
  <c r="L13" i="6"/>
  <c r="W16" i="6"/>
  <c r="W15" i="6"/>
  <c r="L7" i="6"/>
  <c r="W14" i="6"/>
  <c r="L15" i="6"/>
  <c r="S15" i="6"/>
  <c r="L9" i="6"/>
  <c r="L6" i="6"/>
  <c r="L4" i="6"/>
  <c r="L5" i="6"/>
  <c r="L10" i="6"/>
  <c r="L8" i="6"/>
  <c r="L14" i="6"/>
  <c r="AC4" i="6"/>
  <c r="W4" i="6" s="1"/>
  <c r="S16" i="6"/>
  <c r="AC12" i="6"/>
  <c r="AC11" i="6"/>
  <c r="AC9" i="6"/>
  <c r="AC8" i="6"/>
  <c r="AC10" i="6"/>
  <c r="AC13" i="6"/>
  <c r="A19" i="5"/>
  <c r="A17" i="5"/>
  <c r="AC5" i="6"/>
  <c r="A18" i="5"/>
  <c r="AA16" i="6"/>
  <c r="AA15" i="6"/>
  <c r="AA14" i="6"/>
  <c r="AC6" i="6"/>
  <c r="U14" i="6"/>
  <c r="U16" i="6"/>
  <c r="U15" i="6"/>
  <c r="AC7" i="6"/>
  <c r="V4" i="6" l="1"/>
  <c r="AB4" i="6"/>
  <c r="Y4" i="6"/>
  <c r="T4" i="6"/>
  <c r="AA4" i="6"/>
  <c r="Z4" i="6"/>
  <c r="X4" i="6"/>
  <c r="U4" i="6"/>
  <c r="S4" i="6"/>
  <c r="AB6" i="6"/>
  <c r="V6" i="6"/>
  <c r="Z6" i="6"/>
  <c r="T6" i="6"/>
  <c r="U6" i="6"/>
  <c r="Y6" i="6"/>
  <c r="S6" i="6"/>
  <c r="X6" i="6"/>
  <c r="AA6" i="6"/>
  <c r="W6" i="6"/>
  <c r="X11" i="6"/>
  <c r="AB11" i="6"/>
  <c r="V11" i="6"/>
  <c r="AA11" i="6"/>
  <c r="U11" i="6"/>
  <c r="W11" i="6"/>
  <c r="Z11" i="6"/>
  <c r="T11" i="6"/>
  <c r="Y11" i="6"/>
  <c r="S11" i="6"/>
  <c r="W12" i="6"/>
  <c r="AB12" i="6"/>
  <c r="V12" i="6"/>
  <c r="AA12" i="6"/>
  <c r="U12" i="6"/>
  <c r="Z12" i="6"/>
  <c r="T12" i="6"/>
  <c r="Y12" i="6"/>
  <c r="S12" i="6"/>
  <c r="X12" i="6"/>
  <c r="AA7" i="6"/>
  <c r="U7" i="6"/>
  <c r="Y7" i="6"/>
  <c r="S7" i="6"/>
  <c r="Z7" i="6"/>
  <c r="X7" i="6"/>
  <c r="W7" i="6"/>
  <c r="T7" i="6"/>
  <c r="AB7" i="6"/>
  <c r="V7" i="6"/>
  <c r="AB13" i="6"/>
  <c r="V13" i="6"/>
  <c r="AA13" i="6"/>
  <c r="U13" i="6"/>
  <c r="Z13" i="6"/>
  <c r="T13" i="6"/>
  <c r="Y13" i="6"/>
  <c r="S13" i="6"/>
  <c r="X13" i="6"/>
  <c r="W13" i="6"/>
  <c r="X10" i="6"/>
  <c r="AB10" i="6"/>
  <c r="V10" i="6"/>
  <c r="W10" i="6"/>
  <c r="AA10" i="6"/>
  <c r="U10" i="6"/>
  <c r="Z10" i="6"/>
  <c r="T10" i="6"/>
  <c r="Y10" i="6"/>
  <c r="S10" i="6"/>
  <c r="Z8" i="6"/>
  <c r="T8" i="6"/>
  <c r="X8" i="6"/>
  <c r="S8" i="6"/>
  <c r="W8" i="6"/>
  <c r="Y8" i="6"/>
  <c r="AB8" i="6"/>
  <c r="V8" i="6"/>
  <c r="AA8" i="6"/>
  <c r="U8" i="6"/>
  <c r="W5" i="6"/>
  <c r="AA5" i="6"/>
  <c r="U5" i="6"/>
  <c r="V5" i="6"/>
  <c r="Z5" i="6"/>
  <c r="T5" i="6"/>
  <c r="Y5" i="6"/>
  <c r="S5" i="6"/>
  <c r="AB5" i="6"/>
  <c r="X5" i="6"/>
  <c r="Y9" i="6"/>
  <c r="S9" i="6"/>
  <c r="W9" i="6"/>
  <c r="X9" i="6"/>
  <c r="AB9" i="6"/>
  <c r="V9" i="6"/>
  <c r="AA9" i="6"/>
  <c r="U9" i="6"/>
  <c r="Z9" i="6"/>
  <c r="T9" i="6"/>
  <c r="AD13" i="6" l="1"/>
  <c r="AD12" i="6"/>
  <c r="AD7" i="6"/>
  <c r="AD11" i="6"/>
  <c r="AD10" i="6"/>
  <c r="AD9" i="6"/>
  <c r="AD8" i="6"/>
  <c r="AD6" i="6"/>
  <c r="AD5" i="6"/>
  <c r="AD4" i="6"/>
</calcChain>
</file>

<file path=xl/connections.xml><?xml version="1.0" encoding="utf-8"?>
<connections xmlns="http://schemas.openxmlformats.org/spreadsheetml/2006/main">
  <connection id="1" name="Connection" type="6" refreshedVersion="0" background="1">
    <textPr prompt="0" sourceFile="D:\">
      <textFields>
        <textField/>
      </textFields>
    </textPr>
  </connection>
  <connection id="2" name="Connection1" type="6" refreshedVersion="0" background="1">
    <textPr prompt="0" sourceFile="D:\">
      <textFields>
        <textField/>
      </textFields>
    </textPr>
  </connection>
  <connection id="3" name="Connection10" type="6" refreshedVersion="0" background="1">
    <textPr prompt="0" sourceFile="D:\">
      <textFields>
        <textField/>
      </textFields>
    </textPr>
  </connection>
  <connection id="4" name="Connection11" type="6" refreshedVersion="0" background="1">
    <textPr prompt="0" sourceFile="D:\">
      <textFields>
        <textField/>
      </textFields>
    </textPr>
  </connection>
  <connection id="5" name="Connection12" type="6" refreshedVersion="0" background="1">
    <textPr prompt="0" sourceFile="D:\">
      <textFields>
        <textField/>
      </textFields>
    </textPr>
  </connection>
  <connection id="6" name="Connection13" type="6" refreshedVersion="0" background="1">
    <textPr prompt="0" sourceFile="D:\">
      <textFields>
        <textField/>
      </textFields>
    </textPr>
  </connection>
  <connection id="7" name="Connection14" type="6" refreshedVersion="0" background="1">
    <textPr prompt="0" sourceFile="D:\">
      <textFields>
        <textField/>
      </textFields>
    </textPr>
  </connection>
  <connection id="8" name="Connection15" type="6" refreshedVersion="0" background="1">
    <textPr prompt="0" sourceFile="D:\">
      <textFields>
        <textField/>
      </textFields>
    </textPr>
  </connection>
  <connection id="9" name="Connection16" type="6" refreshedVersion="0" background="1">
    <textPr prompt="0" sourceFile="D:\">
      <textFields>
        <textField/>
      </textFields>
    </textPr>
  </connection>
  <connection id="10" name="Connection17" type="6" refreshedVersion="0" background="1">
    <textPr prompt="0" sourceFile="D:\">
      <textFields>
        <textField/>
      </textFields>
    </textPr>
  </connection>
  <connection id="11" name="Connection18" type="6" refreshedVersion="0" background="1">
    <textPr prompt="0" sourceFile="D:\">
      <textFields>
        <textField/>
      </textFields>
    </textPr>
  </connection>
  <connection id="12" name="Connection19" type="6" refreshedVersion="0" background="1">
    <textPr prompt="0" sourceFile="D:\">
      <textFields>
        <textField/>
      </textFields>
    </textPr>
  </connection>
  <connection id="13" name="Connection2" type="6" refreshedVersion="0" background="1">
    <textPr prompt="0" sourceFile="D:\">
      <textFields>
        <textField/>
      </textFields>
    </textPr>
  </connection>
  <connection id="14" name="Connection20" type="6" refreshedVersion="0" background="1">
    <textPr prompt="0" sourceFile="D:\">
      <textFields>
        <textField/>
      </textFields>
    </textPr>
  </connection>
  <connection id="15" name="Connection21" type="6" refreshedVersion="0" background="1">
    <textPr prompt="0" sourceFile="D:\">
      <textFields>
        <textField/>
      </textFields>
    </textPr>
  </connection>
  <connection id="16" name="Connection22" type="6" refreshedVersion="0" background="1">
    <textPr prompt="0" sourceFile="D:\">
      <textFields>
        <textField/>
      </textFields>
    </textPr>
  </connection>
  <connection id="17" name="Connection23" type="4" refreshedVersion="0" background="1">
    <webPr url="http://10.17.104.55/reporting_bigs_out/viewdb.php?k1=year&amp;cop1=%3D&amp;filter1=2020&amp;k2=month&amp;cop2=%3D&amp;filter2=6&amp;k3=day&amp;cop3=%3D&amp;filter3=17&amp;k4=&amp;cop4=%3D&amp;filter4=&amp;andor=AND&amp;limit=100&amp;what=list&amp;btnSearch=search&amp;view=data&amp;db=bigs_out_reporting&amp;table=metric_scanned_cnt_sorter&amp;ordby=sortid&amp;ascdesc=desc" htmlTables="1" htmlFormat="all"/>
  </connection>
  <connection id="18" name="Connection24" type="4" refreshedVersion="0" background="1">
    <webPr url="http://10.17.104.53/reporting_bigs_pri/viewdb.php?k1=year&amp;cop1=%3D&amp;filter1=2020&amp;k2=month&amp;cop2=%3D&amp;filter2=6&amp;k3=day&amp;cop3=%3D&amp;filter3=17&amp;what=list&amp;btnSearch=search&amp;k4=&amp;cop4=%3D&amp;btnSearch=search&amp;view=data&amp;db=bigs_pri_reporting&amp;table=metric_scanned_cnt_sorter" htmlTables="1" htmlFormat="all"/>
  </connection>
  <connection id="19" name="Connection25" type="6" refreshedVersion="0" background="1">
    <textPr prompt="0" sourceFile="D:\">
      <textFields>
        <textField/>
      </textFields>
    </textPr>
  </connection>
  <connection id="20" name="Connection26" type="6" refreshedVersion="0" background="1">
    <textPr prompt="0" sourceFile="D:\">
      <textFields>
        <textField/>
      </textFields>
    </textPr>
  </connection>
  <connection id="21" name="Connection27" type="6" refreshedVersion="0" background="1">
    <textPr prompt="0" sourceFile="D:\">
      <textFields>
        <textField/>
      </textFields>
    </textPr>
  </connection>
  <connection id="22" name="Connection28" type="6" refreshedVersion="0" background="1">
    <textPr prompt="0" sourceFile="D:\">
      <textFields>
        <textField/>
      </textFields>
    </textPr>
  </connection>
  <connection id="23" name="Connection29" type="6" refreshedVersion="0" background="1">
    <textPr prompt="0" sourceFile="D:\">
      <textFields>
        <textField/>
      </textFields>
    </textPr>
  </connection>
  <connection id="24" name="Connection3" type="6" refreshedVersion="0" background="1">
    <textPr prompt="0" sourceFile="D:\">
      <textFields>
        <textField/>
      </textFields>
    </textPr>
  </connection>
  <connection id="25" name="Connection36" type="4" refreshedVersion="0" background="1">
    <webPr url="http://10.29.136.40/reporting_bigs_out/viewdb.php?k1=sortid&amp;cop1=%3D&amp;filter1=9222&amp;what=list&amp;btnSearch=search&amp;k4=&amp;cop4=%3D&amp;btnSearch=search&amp;view=data&amp;db=bigs_out_reporting&amp;table=metric_no_read_cnt_sorter" htmlTables="1" htmlFormat="all"/>
  </connection>
  <connection id="26" name="Connection4" type="6" refreshedVersion="0" background="1">
    <textPr prompt="0" sourceFile="D:\">
      <textFields>
        <textField/>
      </textFields>
    </textPr>
  </connection>
  <connection id="27" name="Connection49" type="6" refreshedVersion="0" background="1">
    <textPr prompt="0" sourceFile="D:\">
      <textFields>
        <textField/>
      </textFields>
    </textPr>
  </connection>
  <connection id="28" name="Connection5" type="6" refreshedVersion="0" background="1">
    <textPr prompt="0" sourceFile="D:\">
      <textFields>
        <textField/>
      </textFields>
    </textPr>
  </connection>
  <connection id="29" name="Connection50" type="6" refreshedVersion="0" background="1">
    <textPr prompt="0" sourceFile="D:\">
      <textFields>
        <textField/>
      </textFields>
    </textPr>
  </connection>
  <connection id="30" name="Connection6" type="6" refreshedVersion="0" background="1">
    <textPr prompt="0" sourceFile="D:\">
      <textFields>
        <textField/>
      </textFields>
    </textPr>
  </connection>
  <connection id="31" name="Connection7" type="6" refreshedVersion="0" background="1">
    <textPr prompt="0" sourceFile="D:\">
      <textFields>
        <textField/>
      </textFields>
    </textPr>
  </connection>
  <connection id="32" name="Connection8" type="6" refreshedVersion="0" background="1">
    <textPr prompt="0" sourceFile="D:\">
      <textFields>
        <textField/>
      </textFields>
    </textPr>
  </connection>
  <connection id="33" name="Connection9" type="6" refreshedVersion="0" background="1">
    <textPr prompt="0" sourceFile="D:\">
      <textFields>
        <textField/>
      </textFields>
    </textPr>
  </connection>
</connections>
</file>

<file path=xl/sharedStrings.xml><?xml version="1.0" encoding="utf-8"?>
<sst xmlns="http://schemas.openxmlformats.org/spreadsheetml/2006/main" count="21651" uniqueCount="21095">
  <si>
    <t>Sort:</t>
  </si>
  <si>
    <t>Date:</t>
  </si>
  <si>
    <t>Flow Control:</t>
  </si>
  <si>
    <t>Daily Operating Plan</t>
  </si>
  <si>
    <t>Staffing</t>
  </si>
  <si>
    <t>Sorters Used</t>
  </si>
  <si>
    <t>Planned</t>
  </si>
  <si>
    <t>Actual</t>
  </si>
  <si>
    <t>Volume</t>
  </si>
  <si>
    <t>Sort S-Time</t>
  </si>
  <si>
    <t>UNL D-Time</t>
  </si>
  <si>
    <t>Sort D-Time</t>
  </si>
  <si>
    <t>PS1</t>
  </si>
  <si>
    <t>PS2</t>
  </si>
  <si>
    <t>PS3</t>
  </si>
  <si>
    <t>PS4</t>
  </si>
  <si>
    <t>PS5</t>
  </si>
  <si>
    <t>PS6</t>
  </si>
  <si>
    <t>PS7</t>
  </si>
  <si>
    <t>PS8</t>
  </si>
  <si>
    <t>PS9</t>
  </si>
  <si>
    <t>PS10</t>
  </si>
  <si>
    <t>PS11</t>
  </si>
  <si>
    <t>PS12</t>
  </si>
  <si>
    <t>PD1</t>
  </si>
  <si>
    <t>PD2</t>
  </si>
  <si>
    <t>PD3</t>
  </si>
  <si>
    <t>PD4</t>
  </si>
  <si>
    <t>PD5</t>
  </si>
  <si>
    <t>PD6</t>
  </si>
  <si>
    <t>PD7</t>
  </si>
  <si>
    <t>PD8</t>
  </si>
  <si>
    <t>PD9</t>
  </si>
  <si>
    <t>PD10</t>
  </si>
  <si>
    <t>AF01</t>
  </si>
  <si>
    <t>Sort Call End Time</t>
  </si>
  <si>
    <t>Conveyor</t>
  </si>
  <si>
    <t>Problem</t>
  </si>
  <si>
    <t>Cause</t>
  </si>
  <si>
    <t>Remedy</t>
  </si>
  <si>
    <t>Mechanic</t>
  </si>
  <si>
    <t>Specialist</t>
  </si>
  <si>
    <t>Location</t>
  </si>
  <si>
    <t>Critical Repairs/Ongoing Issues (Repairs Needed After the Sort)</t>
  </si>
  <si>
    <t>Tenders</t>
  </si>
  <si>
    <t>Total</t>
  </si>
  <si>
    <t>OTE</t>
  </si>
  <si>
    <t>To DA</t>
  </si>
  <si>
    <t>No Read</t>
  </si>
  <si>
    <t>Spacing Error</t>
  </si>
  <si>
    <t>Chute Full</t>
  </si>
  <si>
    <t>Total Downtime</t>
  </si>
  <si>
    <t>%</t>
  </si>
  <si>
    <t>Counts</t>
  </si>
  <si>
    <t>Lost Tracking</t>
  </si>
  <si>
    <t>Chute Full Packages</t>
  </si>
  <si>
    <t>Lost in Tracking</t>
  </si>
  <si>
    <t>Total Induct Packages</t>
  </si>
  <si>
    <t>Post-sort stats</t>
  </si>
  <si>
    <r>
      <t>Do not edit</t>
    </r>
    <r>
      <rPr>
        <sz val="14"/>
        <color indexed="22"/>
        <rFont val="Calibri"/>
        <family val="2"/>
      </rPr>
      <t xml:space="preserve"> </t>
    </r>
    <r>
      <rPr>
        <b/>
        <sz val="14"/>
        <rFont val="Calibri"/>
        <family val="2"/>
      </rPr>
      <t>GREY CELLS</t>
    </r>
  </si>
  <si>
    <t>Diverter Failed</t>
  </si>
  <si>
    <t>No PLC ID</t>
  </si>
  <si>
    <t>Take Away Not Running</t>
  </si>
  <si>
    <t>SLS P3</t>
  </si>
  <si>
    <t>SLS P4</t>
  </si>
  <si>
    <t>SLS P5</t>
  </si>
  <si>
    <t>SLS P6</t>
  </si>
  <si>
    <t>SLS S1</t>
  </si>
  <si>
    <t>SLS S2</t>
  </si>
  <si>
    <t>SLS S4</t>
  </si>
  <si>
    <t>SLS S5</t>
  </si>
  <si>
    <t>Brkdwn?</t>
  </si>
  <si>
    <t>Sorter</t>
  </si>
  <si>
    <t>N/A</t>
  </si>
  <si>
    <t>Total Scanned Packages</t>
  </si>
  <si>
    <t>Total Sorted Packages</t>
  </si>
  <si>
    <t>Take Away Not Running %</t>
  </si>
  <si>
    <t>PS Statistics</t>
  </si>
  <si>
    <t>Total Sorted %</t>
  </si>
  <si>
    <t>Total Induct %</t>
  </si>
  <si>
    <t>Bad Induct</t>
  </si>
  <si>
    <t>Bad Induct %</t>
  </si>
  <si>
    <t>Work Order #</t>
  </si>
  <si>
    <t>Detailed Information On Issues That Affect The Sort. State the Problem, Cause, Remedy and Service Affected.</t>
  </si>
  <si>
    <t>Reported By</t>
  </si>
  <si>
    <t>Rank</t>
  </si>
  <si>
    <t>Average Rank</t>
  </si>
  <si>
    <t>Primary Sorters</t>
  </si>
  <si>
    <t>Outbound Sorters</t>
  </si>
  <si>
    <t>Smalls Sorters</t>
  </si>
  <si>
    <t>Lowest No Read Performance</t>
  </si>
  <si>
    <t>Lowest No PLC ID Performance</t>
  </si>
  <si>
    <t>Lowest Lost in Tracking Performance</t>
  </si>
  <si>
    <t>Lowest Spacing Error Performance</t>
  </si>
  <si>
    <t>Lowest Diverter Failed Performance</t>
  </si>
  <si>
    <t>Avg. Performance</t>
  </si>
  <si>
    <t>Total OTE %</t>
  </si>
  <si>
    <t>Column6</t>
  </si>
  <si>
    <t>Column7</t>
  </si>
  <si>
    <t>NR
Rank</t>
  </si>
  <si>
    <t>NPID
Rank</t>
  </si>
  <si>
    <t>LT
Rank</t>
  </si>
  <si>
    <t>SE
Rank</t>
  </si>
  <si>
    <t>DF
Rank</t>
  </si>
  <si>
    <t>Ranking: 1 - Best Performance    12 - Lowest Performance
Lower Percentage OTE = Better Performance</t>
  </si>
  <si>
    <t>Lowest Overall Performance</t>
  </si>
  <si>
    <t>The "Reset Stats Table" button will clear out any current entries in the stats table and return it to its original blank state. Meaning you will lose data. THIS CANNOT BE UNDONE (i.e. the undo function of Excel does not bring the data back).</t>
  </si>
  <si>
    <t>All cells verified as correct</t>
  </si>
  <si>
    <t>Selected Sort:</t>
  </si>
  <si>
    <t>All PS cells verified as correct</t>
  </si>
  <si>
    <t>All PD cells verified as correct</t>
  </si>
  <si>
    <t>All SLS Primaries verified as correct</t>
  </si>
  <si>
    <t>All SLS secondaries verified as correct</t>
  </si>
  <si>
    <t>Dispatched? Y/N</t>
  </si>
  <si>
    <t>Dispatched To</t>
  </si>
  <si>
    <t>Sort Call Start Time</t>
  </si>
  <si>
    <t>BaSE:</t>
  </si>
  <si>
    <t>samann@ups.com</t>
  </si>
  <si>
    <t>tbaranowsky@ups.com</t>
  </si>
  <si>
    <t>danielbird@ups.com</t>
  </si>
  <si>
    <t>jbutcher@ups.com</t>
  </si>
  <si>
    <t>5035145299@mobile.att.net</t>
  </si>
  <si>
    <t>8776579751@skytel.com</t>
  </si>
  <si>
    <t>8777105326@skytel.com</t>
  </si>
  <si>
    <t>8886889184@skytel.com</t>
  </si>
  <si>
    <t>6089837@skytel.com</t>
  </si>
  <si>
    <t>8005764216@skytel.com</t>
  </si>
  <si>
    <t>UPSTechnologySupportCenter_Contact@ups.com</t>
  </si>
  <si>
    <t>0386env@ups.com</t>
  </si>
  <si>
    <t>0625008072@gin.nl</t>
  </si>
  <si>
    <t>0629096047@gin.nl</t>
  </si>
  <si>
    <t>0651641583@gin.nl</t>
  </si>
  <si>
    <t>1004intholds@ups.com</t>
  </si>
  <si>
    <t>receiving1022@ups.com</t>
  </si>
  <si>
    <t>1024Receiving@livingstoninc.com</t>
  </si>
  <si>
    <t>1920philipsinbound@ups.com</t>
  </si>
  <si>
    <t>takechargejp@ups.com</t>
  </si>
  <si>
    <t>2016merittool@ups.com</t>
  </si>
  <si>
    <t>2018convention@upsstore.com</t>
  </si>
  <si>
    <t>Schulung03@polysys.ch</t>
  </si>
  <si>
    <t>Dispatch3081@livingstoninc.com</t>
  </si>
  <si>
    <t>3pdd@ups.com</t>
  </si>
  <si>
    <t>3pddslmsupport@ups.com</t>
  </si>
  <si>
    <t>3plconflict@ups.com</t>
  </si>
  <si>
    <t>3pl-team@sgi.com</t>
  </si>
  <si>
    <t>3pnsupport@ups.com</t>
  </si>
  <si>
    <t>4044314193@mobile.att.net</t>
  </si>
  <si>
    <t>43rdgarage@ups.com</t>
  </si>
  <si>
    <t>43rdstreetmailroom@ups.com</t>
  </si>
  <si>
    <t>5027440166@mobile.att.net</t>
  </si>
  <si>
    <t>747fleetmanagement@ups.com</t>
  </si>
  <si>
    <t>747flighttraining@ups.com</t>
  </si>
  <si>
    <t>757fleetmanagement@ups.com</t>
  </si>
  <si>
    <t>767fleetmanagement@ups.com</t>
  </si>
  <si>
    <t>767winglet@ups.com</t>
  </si>
  <si>
    <t>800flowerschb@ups.com</t>
  </si>
  <si>
    <t>800PICKUPS_Contact@ups.com</t>
  </si>
  <si>
    <t>8772148239@archwireless.net</t>
  </si>
  <si>
    <t>9954scm@ups.com</t>
  </si>
  <si>
    <t>abdelrahmana@ups.com</t>
  </si>
  <si>
    <t>aashikuzzaman@ups.com</t>
  </si>
  <si>
    <t>abanno@asmo-na.com</t>
  </si>
  <si>
    <t>acampisi@genfoot.com</t>
  </si>
  <si>
    <t>ajerome1@ups.com</t>
  </si>
  <si>
    <t>nakahar@ups.com</t>
  </si>
  <si>
    <t>ap@steren.com</t>
  </si>
  <si>
    <t>apowell@genfoot.com</t>
  </si>
  <si>
    <t>amohdfaiz@ups.com</t>
  </si>
  <si>
    <t>jas@ups.com</t>
  </si>
  <si>
    <t>sajitha@ups.com</t>
  </si>
  <si>
    <t>aav@ups.com</t>
  </si>
  <si>
    <t>a300fleetmanagement@ups.com</t>
  </si>
  <si>
    <t>aachencenter@ups.com</t>
  </si>
  <si>
    <t>daaenson@ups.com</t>
  </si>
  <si>
    <t>aafes@ups.com</t>
  </si>
  <si>
    <t>aalborginvoice@ups.com</t>
  </si>
  <si>
    <t>baalsing@ups.com</t>
  </si>
  <si>
    <t>daalst@ups.com</t>
  </si>
  <si>
    <t>eaamodt@ups.com</t>
  </si>
  <si>
    <t>billaanensen@ups.com</t>
  </si>
  <si>
    <t>gaar@ups.com</t>
  </si>
  <si>
    <t>kaareskjold@ups.com</t>
  </si>
  <si>
    <t>maarfeen@ups.com</t>
  </si>
  <si>
    <t>aarhus@ups.com</t>
  </si>
  <si>
    <t>aarhusinvoice@ups.com</t>
  </si>
  <si>
    <t>aansel@amazon.com</t>
  </si>
  <si>
    <t>Aaron.Francis@uline.com</t>
  </si>
  <si>
    <t>markaaron@ups.com</t>
  </si>
  <si>
    <t>aaron.taylor@courierexpress.net</t>
  </si>
  <si>
    <t>yaaron@ups.com</t>
  </si>
  <si>
    <t>aaron.male@7c.net</t>
  </si>
  <si>
    <t>caarseth@ups.com</t>
  </si>
  <si>
    <t>raarts@ups.com</t>
  </si>
  <si>
    <t>baase@ups.com</t>
  </si>
  <si>
    <t>kaayandhurgowrishankar@ups.com</t>
  </si>
  <si>
    <t>aaazawi@ups.com</t>
  </si>
  <si>
    <t>aalias@ups.com</t>
  </si>
  <si>
    <t>abad.ana@ups.com</t>
  </si>
  <si>
    <t>aabad@ups.com</t>
  </si>
  <si>
    <t>aangelodavid@ups.com</t>
  </si>
  <si>
    <t>abadmaryann@ups.com</t>
  </si>
  <si>
    <t>areluwilyn@ups.com</t>
  </si>
  <si>
    <t>abadwilson@ups.com</t>
  </si>
  <si>
    <t>zabad@ups.com</t>
  </si>
  <si>
    <t>jaabadia@ups.com</t>
  </si>
  <si>
    <t>jantonini@ups.com</t>
  </si>
  <si>
    <t>mabady@ups.com</t>
  </si>
  <si>
    <t>aricky@ups.com</t>
  </si>
  <si>
    <t>babaj@ups.com</t>
  </si>
  <si>
    <t>mabakumova@ups.com</t>
  </si>
  <si>
    <t>habale@ups.com</t>
  </si>
  <si>
    <t>eabali@ups.com</t>
  </si>
  <si>
    <t>sabali@ups.com</t>
  </si>
  <si>
    <t>acriselajoy@ups.com</t>
  </si>
  <si>
    <t>aanabellefrances@ups.com</t>
  </si>
  <si>
    <t>aannalyne@ups.com</t>
  </si>
  <si>
    <t>fabalos@ups.com</t>
  </si>
  <si>
    <t>jabalos@ups.com</t>
  </si>
  <si>
    <t>aalfredo@ups.com</t>
  </si>
  <si>
    <t>mabankwa@ups.com</t>
  </si>
  <si>
    <t>mabano@ups.com</t>
  </si>
  <si>
    <t>amayjoy@ups.com</t>
  </si>
  <si>
    <t>aalcer@ups.com</t>
  </si>
  <si>
    <t>kabarcachaves@ups.com</t>
  </si>
  <si>
    <t>gabarca@ups.com</t>
  </si>
  <si>
    <t>mabarca@ups.com</t>
  </si>
  <si>
    <t>nabarca@ups.com</t>
  </si>
  <si>
    <t>rabarca@ups.com</t>
  </si>
  <si>
    <t>nabarhun@ups.com</t>
  </si>
  <si>
    <t>abarquezdennis@ups.com</t>
  </si>
  <si>
    <t>jabartis@ups.com</t>
  </si>
  <si>
    <t>aabasodikirai@ups.com</t>
  </si>
  <si>
    <t>aabassi@ups.com</t>
  </si>
  <si>
    <t>sabassi@ups.com</t>
  </si>
  <si>
    <t>yabassi@ups.com</t>
  </si>
  <si>
    <t>jabate@ups.com</t>
  </si>
  <si>
    <t>matthewabate@ups.com</t>
  </si>
  <si>
    <t>pabate@ups.com</t>
  </si>
  <si>
    <t>raffaella.abate@ups.com</t>
  </si>
  <si>
    <t>xabaya@ups.com</t>
  </si>
  <si>
    <t>afaithmicah@ups.com</t>
  </si>
  <si>
    <t>eabbak@ups.com</t>
  </si>
  <si>
    <t>asadabbas@ups.com</t>
  </si>
  <si>
    <t>fadel.abbas@europe.ups.com</t>
  </si>
  <si>
    <t>kabbas@ups.com</t>
  </si>
  <si>
    <t>mabbaskorshi@ups.com</t>
  </si>
  <si>
    <t>mabbas@ups.com</t>
  </si>
  <si>
    <t>sabbas@ups.com</t>
  </si>
  <si>
    <t>aabbasi@ups.com</t>
  </si>
  <si>
    <t>tabbasi@ups.com</t>
  </si>
  <si>
    <t>jabbate@ups.com</t>
  </si>
  <si>
    <t>jcabbate@ups.com</t>
  </si>
  <si>
    <t>stefano.abbenante@europe.ups.com</t>
  </si>
  <si>
    <t>aabbey@ups.com</t>
  </si>
  <si>
    <t>jabbey@ups.com</t>
  </si>
  <si>
    <t>mabbeyjr@ups.com</t>
  </si>
  <si>
    <t>robertabbey@ups.com</t>
  </si>
  <si>
    <t>aabbott@ups.com</t>
  </si>
  <si>
    <t>alanabbott@ups.com</t>
  </si>
  <si>
    <t>albertabbott@ups.com</t>
  </si>
  <si>
    <t>babbott@ups.com</t>
  </si>
  <si>
    <t>cabbott@ups.com</t>
  </si>
  <si>
    <t>jeanabbott@ups.com</t>
  </si>
  <si>
    <t>jabbott@ups.com</t>
  </si>
  <si>
    <t>jenniferabbott@ups.com</t>
  </si>
  <si>
    <t>jabbottjr@ups.com</t>
  </si>
  <si>
    <t>karenabbott@ups.com</t>
  </si>
  <si>
    <t>kabbott@ups.com</t>
  </si>
  <si>
    <t>kellyabbott@ups.com</t>
  </si>
  <si>
    <t>nabbott@ups.com</t>
  </si>
  <si>
    <t>rainaabbott@ups.com</t>
  </si>
  <si>
    <t>rabbott@ups.com</t>
  </si>
  <si>
    <t>stevenabbott@ups.com</t>
  </si>
  <si>
    <t>vabbott@ups.com</t>
  </si>
  <si>
    <t>abbottcs@ups.com</t>
  </si>
  <si>
    <t>abbottrec@ups.com</t>
  </si>
  <si>
    <t>kabboud@ups.com</t>
  </si>
  <si>
    <t>abbvietmsteam@ups.com</t>
  </si>
  <si>
    <t>abbyk@signature4.com</t>
  </si>
  <si>
    <t>aporter@dollartree.com</t>
  </si>
  <si>
    <t>abcrabatch@ups.com</t>
  </si>
  <si>
    <t>mohamedabdellatif@ups.com</t>
  </si>
  <si>
    <t>qabd@ups.com</t>
  </si>
  <si>
    <t>amuhamadadfahis@ups.com</t>
  </si>
  <si>
    <t>jabdagic@ups.com</t>
  </si>
  <si>
    <t>mabdalghani@ups.com</t>
  </si>
  <si>
    <t>aabdalla@ups.com</t>
  </si>
  <si>
    <t>mohammedabdalla@ups.com</t>
  </si>
  <si>
    <t>mabdalla@ups.com</t>
  </si>
  <si>
    <t>gabdallah@ups.com</t>
  </si>
  <si>
    <t>iabdallah@ups.com</t>
  </si>
  <si>
    <t>jabdallah@ups.com</t>
  </si>
  <si>
    <t>aabdallahi@ups.com</t>
  </si>
  <si>
    <t>aziziabdallahi@ups.com</t>
  </si>
  <si>
    <t>aabdaoui@ups.com</t>
  </si>
  <si>
    <t>aabdelmalak@ups.com</t>
  </si>
  <si>
    <t>mabdelateifhamdan@ups.com</t>
  </si>
  <si>
    <t>mabdelaziz@ups.com</t>
  </si>
  <si>
    <t>mabdelfattah@ups.com</t>
  </si>
  <si>
    <t>Abdelghani.Kermane@dell.com</t>
  </si>
  <si>
    <t>yabdelhaleem@ups.com</t>
  </si>
  <si>
    <t>aabdelilah@ups.com</t>
  </si>
  <si>
    <t>rabdella@ups.com</t>
  </si>
  <si>
    <t>FRA5PXA@europe.ups.com</t>
  </si>
  <si>
    <t>sabdellaoui@ups.com</t>
  </si>
  <si>
    <t>mabdellatif@ups.com</t>
  </si>
  <si>
    <t>amgadabdelmalak@ups.com</t>
  </si>
  <si>
    <t>nabdelmalek@ups.com</t>
  </si>
  <si>
    <t>yabdelmounim@ups.com</t>
  </si>
  <si>
    <t>aabdelqader@ups.com</t>
  </si>
  <si>
    <t>wabdelqader@ups.com</t>
  </si>
  <si>
    <t>yabdessadki@ups.com</t>
  </si>
  <si>
    <t>aabdi@ups.com</t>
  </si>
  <si>
    <t>fabdi@ups.com</t>
  </si>
  <si>
    <t>iabdi@ups.com</t>
  </si>
  <si>
    <t>mabdi@ups.com</t>
  </si>
  <si>
    <t>abdi.nur@ups.com</t>
  </si>
  <si>
    <t>aliabdillahi@ups.com</t>
  </si>
  <si>
    <t>fabdillahi@ups.com</t>
  </si>
  <si>
    <t>kabdille@ups.com</t>
  </si>
  <si>
    <t>yabdirahman@ups.com</t>
  </si>
  <si>
    <t>jabdo@ups.com</t>
  </si>
  <si>
    <t>rabdoelsaboer@ups.com</t>
  </si>
  <si>
    <t>mabdoulhabiboui@ups.com</t>
  </si>
  <si>
    <t>aabdoyan@ups.com</t>
  </si>
  <si>
    <t>nabdulazeez@ups.com</t>
  </si>
  <si>
    <t>abdulazizyazid@ups.com</t>
  </si>
  <si>
    <t>abdulbasheer@almullalogistics.com</t>
  </si>
  <si>
    <t>arahidah@ups.com</t>
  </si>
  <si>
    <t>aabdulhameed@ups.com</t>
  </si>
  <si>
    <t>amillinahbinte@ups.com</t>
  </si>
  <si>
    <t>sabdulrahman@ups.com</t>
  </si>
  <si>
    <t>rabdul@ups.com</t>
  </si>
  <si>
    <t>abdulrashidazizah@ups.com</t>
  </si>
  <si>
    <t>asharul@ups.com</t>
  </si>
  <si>
    <t>aabdulajev@ups.com</t>
  </si>
  <si>
    <t>sabdulaziz@ups.com</t>
  </si>
  <si>
    <t>labdulbaqi@ups.com</t>
  </si>
  <si>
    <t>yabdulfatai@ups.com</t>
  </si>
  <si>
    <t>mabdulkarim@ups.com</t>
  </si>
  <si>
    <t>aabdulla@ups.com</t>
  </si>
  <si>
    <t>aabdullah1@ups.com</t>
  </si>
  <si>
    <t>aazizah@ups.com</t>
  </si>
  <si>
    <t>fabdullah@ups.com</t>
  </si>
  <si>
    <t>amaswandi@ups.com</t>
  </si>
  <si>
    <t>mabdullah@ups.com</t>
  </si>
  <si>
    <t>abdullahnurain@ups.com</t>
  </si>
  <si>
    <t>oabdullah@ups.com</t>
  </si>
  <si>
    <t>rabdullah@ups.com</t>
  </si>
  <si>
    <t>sabdullah@ups.com</t>
  </si>
  <si>
    <t>tabdullah@ups.com</t>
  </si>
  <si>
    <t>fabdullahi@ups.com</t>
  </si>
  <si>
    <t>aabdulrahman@ups.com</t>
  </si>
  <si>
    <t>iabdulrasad@ups.com</t>
  </si>
  <si>
    <t>abe.mitsuyuki@ups.com</t>
  </si>
  <si>
    <t>aabebe@ups.com</t>
  </si>
  <si>
    <t>tabebe@ups.com</t>
  </si>
  <si>
    <t>jabedin@ups.com</t>
  </si>
  <si>
    <t>aabediny@ups.com</t>
  </si>
  <si>
    <t>CGP2NSH@ups.com</t>
  </si>
  <si>
    <t>rabegaz@ups.com</t>
  </si>
  <si>
    <t>sabegunde@ups.com</t>
  </si>
  <si>
    <t>jabeita@ups.com</t>
  </si>
  <si>
    <t>danabel@ups.com</t>
  </si>
  <si>
    <t>eabel@ups.com</t>
  </si>
  <si>
    <t>julianneabel@ups.com</t>
  </si>
  <si>
    <t>mabel@ups.com</t>
  </si>
  <si>
    <t>tabel@ups.com</t>
  </si>
  <si>
    <t>abel@csd.sgi.lcom</t>
  </si>
  <si>
    <t>amaryanne@ups.com</t>
  </si>
  <si>
    <t>kabeldt@ups.com</t>
  </si>
  <si>
    <t>cynthiaabele@ups.com</t>
  </si>
  <si>
    <t>nabele@ups.com</t>
  </si>
  <si>
    <t>hxabeleda@ups.com</t>
  </si>
  <si>
    <t>aabell@ups.com</t>
  </si>
  <si>
    <t>cameronabell@ups.com</t>
  </si>
  <si>
    <t>dabell@ups.com</t>
  </si>
  <si>
    <t>jamesabell@ups.com</t>
  </si>
  <si>
    <t>justinabell@ups.com</t>
  </si>
  <si>
    <t>kristinabell@ups.com</t>
  </si>
  <si>
    <t>paulabell@ups.com</t>
  </si>
  <si>
    <t>teresaabell@ups.com</t>
  </si>
  <si>
    <t>abellanosalorfel@ups.com</t>
  </si>
  <si>
    <t>cabellomoreno@ups.com</t>
  </si>
  <si>
    <t>raabelow@ups.com</t>
  </si>
  <si>
    <t>dabels@ups.com</t>
  </si>
  <si>
    <t>davidabels@ups.com</t>
  </si>
  <si>
    <t>cabenante@ups.com</t>
  </si>
  <si>
    <t>mabendroth@ups.com</t>
  </si>
  <si>
    <t>aabeney@ups.com</t>
  </si>
  <si>
    <t>mabera@ups.com</t>
  </si>
  <si>
    <t>abercrombie@ups.com</t>
  </si>
  <si>
    <t>eabercrombie@ups.com</t>
  </si>
  <si>
    <t>babernathy@ups.com</t>
  </si>
  <si>
    <t>cabernathy@ups.com</t>
  </si>
  <si>
    <t>sabernathy@ups.com</t>
  </si>
  <si>
    <t>aabeyratne@ups.com</t>
  </si>
  <si>
    <t>wabeysekara@ups.com</t>
  </si>
  <si>
    <t>sabeysekera@ups.com</t>
  </si>
  <si>
    <t>adrianabeyta@ups.com</t>
  </si>
  <si>
    <t>mabeyta@ups.com</t>
  </si>
  <si>
    <t>monicaabeyta@ups.com</t>
  </si>
  <si>
    <t>Abhijeet.BharatBhandare@med.ge.com</t>
  </si>
  <si>
    <t>abhishekainchi@ups.com</t>
  </si>
  <si>
    <t>kumarabhishek@ups.com</t>
  </si>
  <si>
    <t>charbel@fastmm.com</t>
  </si>
  <si>
    <t>sabid@ups.com</t>
  </si>
  <si>
    <t>aabidi@ups.com</t>
  </si>
  <si>
    <t>sabidi@ups.com</t>
  </si>
  <si>
    <t>amdmishbahuddin@ups.com</t>
  </si>
  <si>
    <t>wabidli@ups.com</t>
  </si>
  <si>
    <t>ppd2cdr@ups.com</t>
  </si>
  <si>
    <t>rabihanna@ups.com</t>
  </si>
  <si>
    <t>aabik@ups.com</t>
  </si>
  <si>
    <t>sabik@ups.com</t>
  </si>
  <si>
    <t>habila@ups.com</t>
  </si>
  <si>
    <t>asandali@ups.com</t>
  </si>
  <si>
    <t>odc7960@ups.com</t>
  </si>
  <si>
    <t>aruthjan@ups.com</t>
  </si>
  <si>
    <t>dabinader@ups.com</t>
  </si>
  <si>
    <t>arachell@ups.com</t>
  </si>
  <si>
    <t>jabinojar@ups.com</t>
  </si>
  <si>
    <t>aabiodun@ups.com</t>
  </si>
  <si>
    <t>azaman@ups.com</t>
  </si>
  <si>
    <t>abisat@ups.com</t>
  </si>
  <si>
    <t>acristina@ups.com</t>
  </si>
  <si>
    <t>anestorangelo@ups.com</t>
  </si>
  <si>
    <t>cable@ups.com</t>
  </si>
  <si>
    <t>jableiter@ups.com</t>
  </si>
  <si>
    <t>cables@ups.com</t>
  </si>
  <si>
    <t>dables@ups.com</t>
  </si>
  <si>
    <t>sandyables@ups.com</t>
  </si>
  <si>
    <t>acherryann@ups.com</t>
  </si>
  <si>
    <t>wablorh@ups.com</t>
  </si>
  <si>
    <t>jabner@ups.com</t>
  </si>
  <si>
    <t>kabner@ups.com</t>
  </si>
  <si>
    <t>dabney@ups.com</t>
  </si>
  <si>
    <t>dessreeabney@ups.com</t>
  </si>
  <si>
    <t>dianeabney@ups.com</t>
  </si>
  <si>
    <t>lorceli.abo@ups.com</t>
  </si>
  <si>
    <t>kaboshouk@ups.com</t>
  </si>
  <si>
    <t>jaboda@ups.com</t>
  </si>
  <si>
    <t>aaboelmagd@ups.com</t>
  </si>
  <si>
    <t>mabohadba@ups.com</t>
  </si>
  <si>
    <t>vabohfu@ups.com</t>
  </si>
  <si>
    <t>andreas.abold@europe.ups.com</t>
  </si>
  <si>
    <t>anikeerose@ups.com</t>
  </si>
  <si>
    <t>aaboobacker@ups.com</t>
  </si>
  <si>
    <t>kabood@ups.com</t>
  </si>
  <si>
    <t>taboosamara@ups.com</t>
  </si>
  <si>
    <t>saborashid@ups.com</t>
  </si>
  <si>
    <t>faboudonnia@ups.com</t>
  </si>
  <si>
    <t>mabouelnay@ups.com</t>
  </si>
  <si>
    <t>aabouajwi@ups.com</t>
  </si>
  <si>
    <t>oabouanane@ups.com</t>
  </si>
  <si>
    <t>caboud@ups.com</t>
  </si>
  <si>
    <t>debbiea@decolin.com</t>
  </si>
  <si>
    <t>EUR6KXA@europe.ups.com</t>
  </si>
  <si>
    <t>kaboudamous@ups.com</t>
  </si>
  <si>
    <t>aaboumerhi@ups.com</t>
  </si>
  <si>
    <t>labour@ups.com</t>
  </si>
  <si>
    <t>naboutaha@ups.com</t>
  </si>
  <si>
    <t>alormine@ups.com</t>
  </si>
  <si>
    <t>abqgtw@ups.com</t>
  </si>
  <si>
    <t>8455376091@txt.att.net</t>
  </si>
  <si>
    <t>nabracia@ups.com</t>
  </si>
  <si>
    <t>abraham_bacilio@jabil.com</t>
  </si>
  <si>
    <t>davidabraham@ups.com</t>
  </si>
  <si>
    <t>habraham@ups.com</t>
  </si>
  <si>
    <t>jibinabraham@ups.com</t>
  </si>
  <si>
    <t>jabraham@ups.com</t>
  </si>
  <si>
    <t>kabraham@ups.com</t>
  </si>
  <si>
    <t>labraham@ups.com</t>
  </si>
  <si>
    <t>mabraham@ups.com</t>
  </si>
  <si>
    <t>mwabraham@ups.com</t>
  </si>
  <si>
    <t>sabraham@ups.com</t>
  </si>
  <si>
    <t>jabrahamtosta@ups.com</t>
  </si>
  <si>
    <t>aabrahams@ups.com</t>
  </si>
  <si>
    <t>mabrahams@ups.com</t>
  </si>
  <si>
    <t>tommy.abrahamsen@ups.com</t>
  </si>
  <si>
    <t>rabrahamson@ups.com</t>
  </si>
  <si>
    <t>tabrahamson@ups.com</t>
  </si>
  <si>
    <t>alexissabram@ups.com</t>
  </si>
  <si>
    <t>aabram@ups.com</t>
  </si>
  <si>
    <t>babram@ups.com</t>
  </si>
  <si>
    <t>elzbieta.abramczyk@europe.ups.com</t>
  </si>
  <si>
    <t>abrami.giancarlo@ups.com</t>
  </si>
  <si>
    <t>aabramova@ups.com</t>
  </si>
  <si>
    <t>aabramowicz@ups.com</t>
  </si>
  <si>
    <t>aabrams@ups.com</t>
  </si>
  <si>
    <t>christinaabrams@ups.com</t>
  </si>
  <si>
    <t>dabrams@ups.com</t>
  </si>
  <si>
    <t>jasonabrams@ups.com</t>
  </si>
  <si>
    <t>LABRAMS@UPS.COM</t>
  </si>
  <si>
    <t>mabrams@ups.com</t>
  </si>
  <si>
    <t>tabrams@ups.com</t>
  </si>
  <si>
    <t>zabrams@ups.com</t>
  </si>
  <si>
    <t>coleabramson@ups.com</t>
  </si>
  <si>
    <t>mabrar@ups.com</t>
  </si>
  <si>
    <t>ababylyn@ups.com</t>
  </si>
  <si>
    <t>aabregonzalez@ups.com</t>
  </si>
  <si>
    <t>rabrego@ups.com</t>
  </si>
  <si>
    <t>fitsumabreham@ups.com</t>
  </si>
  <si>
    <t>mabreuabreu@ups.com</t>
  </si>
  <si>
    <t>aabreualmaguer@ups.com</t>
  </si>
  <si>
    <t>abreu.evelyn@ups.com</t>
  </si>
  <si>
    <t>gmabreu@ups.com</t>
  </si>
  <si>
    <t>jabreu@ups.com</t>
  </si>
  <si>
    <t>josueabreu@ups.com</t>
  </si>
  <si>
    <t>amaria@ups.com</t>
  </si>
  <si>
    <t>yabreu@ups.com</t>
  </si>
  <si>
    <t>gabreut@ups.com</t>
  </si>
  <si>
    <t>jabreut@ups.com</t>
  </si>
  <si>
    <t>rabreut@ups.com</t>
  </si>
  <si>
    <t>adonnamay@ups.com</t>
  </si>
  <si>
    <t>mabrishamian@ups.com</t>
  </si>
  <si>
    <t>jabron@ups.com</t>
  </si>
  <si>
    <t>aallandennis@ups.com</t>
  </si>
  <si>
    <t>fabrott@ups.com</t>
  </si>
  <si>
    <t>mabrour@ups.com</t>
  </si>
  <si>
    <t>cabruzzino@ups.com</t>
  </si>
  <si>
    <t>mabruzzo@ups.com</t>
  </si>
  <si>
    <t>pabruzzo@ups.com</t>
  </si>
  <si>
    <t>nabsar@ups.com</t>
  </si>
  <si>
    <t>sabshere@ups.com</t>
  </si>
  <si>
    <t>aabshire@ups.com</t>
  </si>
  <si>
    <t>labshire@ups.com</t>
  </si>
  <si>
    <t>rabshire@ups.com</t>
  </si>
  <si>
    <t>aabstonsr@ups.com</t>
  </si>
  <si>
    <t>rabsy@ups.com</t>
  </si>
  <si>
    <t>mabt@ups.com</t>
  </si>
  <si>
    <t>rabuadel@ups.com</t>
  </si>
  <si>
    <t>rabuadl@ups.com</t>
  </si>
  <si>
    <t>aismail@ups.com</t>
  </si>
  <si>
    <t>aroslanbin@ups.com</t>
  </si>
  <si>
    <t>jabuah@ups.com</t>
  </si>
  <si>
    <t>akirknorman@ups.com</t>
  </si>
  <si>
    <t>sabuawada@ups.com</t>
  </si>
  <si>
    <t>mohamedjameelabubacker@ups.com</t>
  </si>
  <si>
    <t>aabubakar@ups.com</t>
  </si>
  <si>
    <t>ajoanarachelle@ups.com</t>
  </si>
  <si>
    <t>iabucar@ups.com</t>
  </si>
  <si>
    <t>amichaela@ups.com</t>
  </si>
  <si>
    <t>amyzza@ups.com</t>
  </si>
  <si>
    <t>sabuelamaiem@ups.com</t>
  </si>
  <si>
    <t>haburto@ups.com</t>
  </si>
  <si>
    <t>sabusabe@ups.com</t>
  </si>
  <si>
    <t>babusad@ups.com</t>
  </si>
  <si>
    <t>aabuzeid@ups.com</t>
  </si>
  <si>
    <t>fabuzeid@ups.com</t>
  </si>
  <si>
    <t>dabuzinaro@upslogisticsla.com</t>
  </si>
  <si>
    <t>mabwoch@ups.com</t>
  </si>
  <si>
    <t>CLV4FYK@ups.com</t>
  </si>
  <si>
    <t>PMF4GQL@ups.com</t>
  </si>
  <si>
    <t>BWK4TMY@ups.com</t>
  </si>
  <si>
    <t>BJJ4SMC@ups.com</t>
  </si>
  <si>
    <t>air1ace@ups.com</t>
  </si>
  <si>
    <t>acasubsidyappeals@ups.com</t>
  </si>
  <si>
    <t>aalvinjan@ups.com</t>
  </si>
  <si>
    <t>ayselacar@ups.com</t>
  </si>
  <si>
    <t>oacar@ups.com</t>
  </si>
  <si>
    <t>sacar@ups.com</t>
  </si>
  <si>
    <t>sacar1@ups.com</t>
  </si>
  <si>
    <t>racasio@ups.com</t>
  </si>
  <si>
    <t>accprocessing@ups.com</t>
  </si>
  <si>
    <t>acceleratingonboarding@ups.com</t>
  </si>
  <si>
    <t>accesspointacc@ups.com</t>
  </si>
  <si>
    <t>accesspointca@ups.com</t>
  </si>
  <si>
    <t>itaccesspoint@ups.com</t>
  </si>
  <si>
    <t>appoland@ups.com</t>
  </si>
  <si>
    <t>accesspointmx@ups.com</t>
  </si>
  <si>
    <t>oldapsupportgb@ups.com</t>
  </si>
  <si>
    <t>upsaccesspointch@ups.com</t>
  </si>
  <si>
    <t>jacciavatti@ups.com</t>
  </si>
  <si>
    <t>ACCEmailProcess@ups.com</t>
  </si>
  <si>
    <t>acctami@asmo-na.com</t>
  </si>
  <si>
    <t>ACCOUNTPAYABLE@BFUSA.COM</t>
  </si>
  <si>
    <t>apspa@ups.com</t>
  </si>
  <si>
    <t>acctautomation@ups.com</t>
  </si>
  <si>
    <t>accountingcgn@ups.com</t>
  </si>
  <si>
    <t>acct.ch@europe.ups.com</t>
  </si>
  <si>
    <t>uctarna@ups.com</t>
  </si>
  <si>
    <t>acct.cgn@europe.ups.com</t>
  </si>
  <si>
    <t>accounting@imstradingusa.com</t>
  </si>
  <si>
    <t>accounting@dm-access.com</t>
  </si>
  <si>
    <t>accounting@ktsdi.com</t>
  </si>
  <si>
    <t>acrelu@ups.com</t>
  </si>
  <si>
    <t>accounting@orbrands.com</t>
  </si>
  <si>
    <t>acrebe@ups.com</t>
  </si>
  <si>
    <t>accounting@thermaltakeusa.com</t>
  </si>
  <si>
    <t>ACCOUNTING@TWELVESOUTH.COM</t>
  </si>
  <si>
    <t>ACCOUNTINGUSA@NCABGROUP.COM</t>
  </si>
  <si>
    <t>accounting@webdirectbrands.com</t>
  </si>
  <si>
    <t>accounting@xeroshoes.com</t>
  </si>
  <si>
    <t>AccountsPayableDepartment-LexingtonKY@us.bosch.com</t>
  </si>
  <si>
    <t>accountspayable@aritzia.com</t>
  </si>
  <si>
    <t>accountsmeb@ups.com</t>
  </si>
  <si>
    <t>accountspayable@srgretail.com</t>
  </si>
  <si>
    <t>apaustria@ups.com</t>
  </si>
  <si>
    <t>apautomotive@ups.com</t>
  </si>
  <si>
    <t>apeuropenv@ups.com</t>
  </si>
  <si>
    <t>apfsc@ups.com</t>
  </si>
  <si>
    <t>apgermany@ups.com</t>
  </si>
  <si>
    <t>accountspayable@incipio.com</t>
  </si>
  <si>
    <t>accountspayableisconsulting@ups.com</t>
  </si>
  <si>
    <t>accountspayableiscontracts@ups.com</t>
  </si>
  <si>
    <t>accountspayable@tailoredbrands.com</t>
  </si>
  <si>
    <t>apswitzerland@ups.com</t>
  </si>
  <si>
    <t>ADCTRADECOMPLIANCE@TE.COM</t>
  </si>
  <si>
    <t>AP@BJGElectronics.com</t>
  </si>
  <si>
    <t>accountspayableaustralia@ups.com</t>
  </si>
  <si>
    <t>accountspayable@ingersoll-imc.com</t>
  </si>
  <si>
    <t>accountspayable@ngkparkplugs.com</t>
  </si>
  <si>
    <t>accounts.payable@nuk-usa.com</t>
  </si>
  <si>
    <t>AccountsReceivable@ups-mi</t>
  </si>
  <si>
    <t>acctisabella@etissl.com</t>
  </si>
  <si>
    <t>ap@gamesportswear.com</t>
  </si>
  <si>
    <t>acctreactivate@ups.com</t>
  </si>
  <si>
    <t>acctspayable@worldforest.com</t>
  </si>
  <si>
    <t>vacdal@ups.com</t>
  </si>
  <si>
    <t>acdcdock@ups.com</t>
  </si>
  <si>
    <t>aceportal@ups.com</t>
  </si>
  <si>
    <t>aceregistrationtrial@ups.com</t>
  </si>
  <si>
    <t>acesupporteasttrial@ups.com</t>
  </si>
  <si>
    <t>acesupportwesttrial@ups.com</t>
  </si>
  <si>
    <t>raul.acebron@ups.com</t>
  </si>
  <si>
    <t>arhealyn@ups.com</t>
  </si>
  <si>
    <t>macello@ups.com</t>
  </si>
  <si>
    <t>eacerbi@ups.com</t>
  </si>
  <si>
    <t>facerbi@ups.com</t>
  </si>
  <si>
    <t>amariakrisha@ups.com</t>
  </si>
  <si>
    <t>taceret@ups.com</t>
  </si>
  <si>
    <t>cacero@ups.com</t>
  </si>
  <si>
    <t>oacero@ups.com</t>
  </si>
  <si>
    <t>sacero@ups.com</t>
  </si>
  <si>
    <t>atamararose@ups.com</t>
  </si>
  <si>
    <t>davide.aceti@europe.ups.com</t>
  </si>
  <si>
    <t>mariaa@ups.com</t>
  </si>
  <si>
    <t>ajayfersan@ups.com</t>
  </si>
  <si>
    <t>bacevedo@ups.com</t>
  </si>
  <si>
    <t>cacevedo@ups.com</t>
  </si>
  <si>
    <t>fernandoacevedo@ups.com</t>
  </si>
  <si>
    <t>gacevedo@ups.com</t>
  </si>
  <si>
    <t>hacevedo@ups.com</t>
  </si>
  <si>
    <t>jaquelineacevedo@ups.com</t>
  </si>
  <si>
    <t>jacevedo@ups.com</t>
  </si>
  <si>
    <t>johnacevedo@ups.com</t>
  </si>
  <si>
    <t>joseacevedo@ups.com</t>
  </si>
  <si>
    <t>lacevedo@ups.com</t>
  </si>
  <si>
    <t>oacevedo@ups.com</t>
  </si>
  <si>
    <t>racevedo@ups.com</t>
  </si>
  <si>
    <t>rodneyacevedo@ups.com</t>
  </si>
  <si>
    <t>rosalbaacevedo@ups.com</t>
  </si>
  <si>
    <t>sacevedo@ups.com</t>
  </si>
  <si>
    <t>eacevedosanchez@ups.com</t>
  </si>
  <si>
    <t>tacevedo@ups.com</t>
  </si>
  <si>
    <t>vacevedo@ups.com</t>
  </si>
  <si>
    <t>oacevedogorrin@ups.com</t>
  </si>
  <si>
    <t>aaceves@ups.com</t>
  </si>
  <si>
    <t>caceves@ups.com</t>
  </si>
  <si>
    <t>daceves@ups.com</t>
  </si>
  <si>
    <t>gaceves@ups.com</t>
  </si>
  <si>
    <t>maceves@ups.com</t>
  </si>
  <si>
    <t>kacey@ups.com</t>
  </si>
  <si>
    <t>jacfalle@ups.com</t>
  </si>
  <si>
    <t>macgar@ups.com</t>
  </si>
  <si>
    <t>achbln@ups.com</t>
  </si>
  <si>
    <t>achbuf@ups.com</t>
  </si>
  <si>
    <t>achcha@ups.com</t>
  </si>
  <si>
    <t>ACHDEBITS@HADLEY-PRODUCTS.COM</t>
  </si>
  <si>
    <t>ach@etekcity.com</t>
  </si>
  <si>
    <t>achrom@ups.com</t>
  </si>
  <si>
    <t>oacha@ups.com</t>
  </si>
  <si>
    <t>racha@ups.com</t>
  </si>
  <si>
    <t>machahbar@ups.com</t>
  </si>
  <si>
    <t>aomkar@ups.com</t>
  </si>
  <si>
    <t>ashraddha@ups.com</t>
  </si>
  <si>
    <t>aprashant@ups.com</t>
  </si>
  <si>
    <t>aacharyya@ups.com</t>
  </si>
  <si>
    <t>achase@radiantsystems.com</t>
  </si>
  <si>
    <t>sachbar@ups.com</t>
  </si>
  <si>
    <t>achdetail@ups.com</t>
  </si>
  <si>
    <t>racheampong@ups.com</t>
  </si>
  <si>
    <t>luiseacher@ups.com</t>
  </si>
  <si>
    <t>pacheson@ups.com</t>
  </si>
  <si>
    <t>thomas.achillius@europe.ups.com</t>
  </si>
  <si>
    <t>iachlihi@ups.com</t>
  </si>
  <si>
    <t>machmaoui@ups.com</t>
  </si>
  <si>
    <t>aachmet@ups.com</t>
  </si>
  <si>
    <t>ahiraman@ups.com</t>
  </si>
  <si>
    <t>jachor@ups.com</t>
  </si>
  <si>
    <t>sachor@ups.com</t>
  </si>
  <si>
    <t>fachour@ups.com</t>
  </si>
  <si>
    <t>machour@ups.com</t>
  </si>
  <si>
    <t>lachtenberg@ups.com</t>
  </si>
  <si>
    <t>jachu@ups.com</t>
  </si>
  <si>
    <t>aciregistrationtrial@ups.com</t>
  </si>
  <si>
    <t>acisupporttrial@ups.com</t>
  </si>
  <si>
    <t>raciego@ups.com</t>
  </si>
  <si>
    <t>daciek@ups.com</t>
  </si>
  <si>
    <t>lacierto@ups.com</t>
  </si>
  <si>
    <t>racierto@ups.com</t>
  </si>
  <si>
    <t>tacito@ups.com</t>
  </si>
  <si>
    <t>cacker@ups.com</t>
  </si>
  <si>
    <t>jacker@ups.com</t>
  </si>
  <si>
    <t>kacker@ups.com</t>
  </si>
  <si>
    <t>sacker@ups.com</t>
  </si>
  <si>
    <t>sackerland@ups.com</t>
  </si>
  <si>
    <t>dackerman@ups.com</t>
  </si>
  <si>
    <t>douglasackerman@ups.com</t>
  </si>
  <si>
    <t>dackerman1@ups.com</t>
  </si>
  <si>
    <t>gackerman@ups.com</t>
  </si>
  <si>
    <t>kentackerman@ups.com</t>
  </si>
  <si>
    <t>nackerman@ups.com</t>
  </si>
  <si>
    <t>rackerman@ups.com</t>
  </si>
  <si>
    <t>tackerman@ups.com</t>
  </si>
  <si>
    <t>thomasackerman@ups.com</t>
  </si>
  <si>
    <t>dackermann@ups.com</t>
  </si>
  <si>
    <t>mackermann@ups.com</t>
  </si>
  <si>
    <t>rackermann@ups.com</t>
  </si>
  <si>
    <t>uwe.ackermann@europe.ups.com</t>
  </si>
  <si>
    <t>aackermoffett@ups.com</t>
  </si>
  <si>
    <t>brittanyackerscott@ups.com</t>
  </si>
  <si>
    <t>jimackerson@ups.com</t>
  </si>
  <si>
    <t>kackerson@ups.com</t>
  </si>
  <si>
    <t>tackerson@ups.com</t>
  </si>
  <si>
    <t>christopherackiss@ups.com</t>
  </si>
  <si>
    <t>dackley@ups.com</t>
  </si>
  <si>
    <t>dacklin@ups.com</t>
  </si>
  <si>
    <t>kacklin@ups.com</t>
  </si>
  <si>
    <t>hiltrud.acksel@europe.ups.com</t>
  </si>
  <si>
    <t>tacksteiner@ups.com</t>
  </si>
  <si>
    <t>acliffor@ctron.com</t>
  </si>
  <si>
    <t>acmstech@ups.com</t>
  </si>
  <si>
    <t>acmxaccountspayable@ups.com</t>
  </si>
  <si>
    <t>amcm@ups.com</t>
  </si>
  <si>
    <t>acmxaircomm@ups.com</t>
  </si>
  <si>
    <t>acmxl2727notifications@ups.com</t>
  </si>
  <si>
    <t>acmxtechsupport@ups.com</t>
  </si>
  <si>
    <t>gacob@ups.com</t>
  </si>
  <si>
    <t>ageraldine@ups.com</t>
  </si>
  <si>
    <t>aacord@ups.com</t>
  </si>
  <si>
    <t>cacord@ups.com</t>
  </si>
  <si>
    <t>lacord@ups.com</t>
  </si>
  <si>
    <t>zacord@ups.com</t>
  </si>
  <si>
    <t>pacorda@ups.com</t>
  </si>
  <si>
    <t>dacordagoitiasanchez@ups.com</t>
  </si>
  <si>
    <t>acarolina@ups.com</t>
  </si>
  <si>
    <t>adrianacosta@ups.com</t>
  </si>
  <si>
    <t>adrianaacosta@ups.com</t>
  </si>
  <si>
    <t>aacosta@ups.com</t>
  </si>
  <si>
    <t>angelinaacosta@ups.com</t>
  </si>
  <si>
    <t>yacostaarias@ups.com</t>
  </si>
  <si>
    <t>bacosta@ups.com</t>
  </si>
  <si>
    <t>brianaacosta@ups.com</t>
  </si>
  <si>
    <t>carlosacosta@ups.com</t>
  </si>
  <si>
    <t>cacosta1@ups.com</t>
  </si>
  <si>
    <t>celesteacosta@ups.com</t>
  </si>
  <si>
    <t>christinaacosta@ups.com</t>
  </si>
  <si>
    <t>coreyacosta@ups.com</t>
  </si>
  <si>
    <t>cristobalacosta@ups.com</t>
  </si>
  <si>
    <t>danielacosta@ups.com</t>
  </si>
  <si>
    <t>dacosta@ups.com</t>
  </si>
  <si>
    <t>dzacosta@ups.com</t>
  </si>
  <si>
    <t>eduardoacosta@ups.com</t>
  </si>
  <si>
    <t>eacosta1@ups.com</t>
  </si>
  <si>
    <t>eacosta@ups.com</t>
  </si>
  <si>
    <t>erikacosta@ups.com</t>
  </si>
  <si>
    <t>facosta@ups.com</t>
  </si>
  <si>
    <t>greissyacosta@ups.com</t>
  </si>
  <si>
    <t>gacosta@ups.com</t>
  </si>
  <si>
    <t>lacostagutierrez@ups.com</t>
  </si>
  <si>
    <t>jaycobacosta@ups.com</t>
  </si>
  <si>
    <t>jennyacosta@ups.com</t>
  </si>
  <si>
    <t>jacosta@parcelpro.com</t>
  </si>
  <si>
    <t>joseacosta@ups.com</t>
  </si>
  <si>
    <t>kacosta@ups.com</t>
  </si>
  <si>
    <t>leonardoacosta@ups.com</t>
  </si>
  <si>
    <t>lacosta@ups.com</t>
  </si>
  <si>
    <t>leonelacosta@ups.com</t>
  </si>
  <si>
    <t>luisacosta@ups.com</t>
  </si>
  <si>
    <t>macosta@ups.com</t>
  </si>
  <si>
    <t>manuelacosta@ups.com</t>
  </si>
  <si>
    <t>marcoacosta@ups.com</t>
  </si>
  <si>
    <t>marianaacosta@ups.com</t>
  </si>
  <si>
    <t>mayraacosta@ups.com</t>
  </si>
  <si>
    <t>michelleacosta@ups.com</t>
  </si>
  <si>
    <t>miguelacosta@ups.com</t>
  </si>
  <si>
    <t>nacosta@ups.com</t>
  </si>
  <si>
    <t>aacostanunez@ups.com</t>
  </si>
  <si>
    <t>oacosta@ups.com</t>
  </si>
  <si>
    <t>ralphacosta@ups.com</t>
  </si>
  <si>
    <t>reneacosta@ups.com</t>
  </si>
  <si>
    <t>rcacosta@ups.com</t>
  </si>
  <si>
    <t>roseacosta@ups.com</t>
  </si>
  <si>
    <t>ryanacosta@ups.com</t>
  </si>
  <si>
    <t>scsacosta@ups.com</t>
  </si>
  <si>
    <t>smacosta@ups.com</t>
  </si>
  <si>
    <t>tacosta@ups.com</t>
  </si>
  <si>
    <t>dacostausquiano@ups.com</t>
  </si>
  <si>
    <t>vacosta@ups.com</t>
  </si>
  <si>
    <t>wacosta@ups.com</t>
  </si>
  <si>
    <t>wendyacosta@ups.com</t>
  </si>
  <si>
    <t>yacosta@ups.com</t>
  </si>
  <si>
    <t>racosta@upslogistics.com.bo</t>
  </si>
  <si>
    <t>jonathanacox@ups.com</t>
  </si>
  <si>
    <t>tacox@ups.com</t>
  </si>
  <si>
    <t>aacquati@ups.com</t>
  </si>
  <si>
    <t>sacquaye@ups.com</t>
  </si>
  <si>
    <t>racquiatan@ups.com</t>
  </si>
  <si>
    <t>dacquisto@ups.com</t>
  </si>
  <si>
    <t>caseyacree@ups.com</t>
  </si>
  <si>
    <t>cacree@ups.com</t>
  </si>
  <si>
    <t>jacree@ups.com</t>
  </si>
  <si>
    <t>kacree@ups.com</t>
  </si>
  <si>
    <t>lacree@ups.com</t>
  </si>
  <si>
    <t>amandaacrey@ups.com</t>
  </si>
  <si>
    <t>aacrey@ups.com</t>
  </si>
  <si>
    <t>acscap@ups.com</t>
  </si>
  <si>
    <t>actocaf@ups.com</t>
  </si>
  <si>
    <t>actionlearningse@ups.com</t>
  </si>
  <si>
    <t>sacton@ups.com</t>
  </si>
  <si>
    <t>pacuesta@ups.com</t>
  </si>
  <si>
    <t>sacuff@ups.com</t>
  </si>
  <si>
    <t>aacuna@ups.com</t>
  </si>
  <si>
    <t>lacuna@ups.com</t>
  </si>
  <si>
    <t>cacunaperez@ups.com</t>
  </si>
  <si>
    <t>ashariepinky@ups.com</t>
  </si>
  <si>
    <t>vacuna@ups.com</t>
  </si>
  <si>
    <t>adinfragrp@ups.com</t>
  </si>
  <si>
    <t>adpwcompliance@ups.com</t>
  </si>
  <si>
    <t>adsecuritygrp@ups.com</t>
  </si>
  <si>
    <t>aanjenet@ups.com</t>
  </si>
  <si>
    <t>cada@ups.com</t>
  </si>
  <si>
    <t>ada.shi@ups.com</t>
  </si>
  <si>
    <t>madab@ups.com</t>
  </si>
  <si>
    <t>aadabala@ups.com</t>
  </si>
  <si>
    <t>ALakshmiNarayana@ups.com</t>
  </si>
  <si>
    <t>amieko@ups.com</t>
  </si>
  <si>
    <t>eadade@ups.com</t>
  </si>
  <si>
    <t>jadaimy@ups.com</t>
  </si>
  <si>
    <t>badair@ups.com</t>
  </si>
  <si>
    <t>dadair@ups.com</t>
  </si>
  <si>
    <t>dustinadair@ups.com</t>
  </si>
  <si>
    <t>eadair@ups.com</t>
  </si>
  <si>
    <t>jadair@ups.com</t>
  </si>
  <si>
    <t>aadaku@ups.com</t>
  </si>
  <si>
    <t>gunnar.adalberth@ups.com</t>
  </si>
  <si>
    <t>madali@ups.com</t>
  </si>
  <si>
    <t>abdullahiadam@ups.com</t>
  </si>
  <si>
    <t>adamd@recordxpress.ca</t>
  </si>
  <si>
    <t>grabasadam@ups.com</t>
  </si>
  <si>
    <t>ahanna@franklintraffic.com</t>
  </si>
  <si>
    <t>adam.henkle@viasat.com</t>
  </si>
  <si>
    <t>jeanfrancoisadam@ups.com</t>
  </si>
  <si>
    <t>maikadam@ups.com</t>
  </si>
  <si>
    <t>sataog@earthlink.net</t>
  </si>
  <si>
    <t>adam.murphy@tnb.com</t>
  </si>
  <si>
    <t>nadam@ups.com</t>
  </si>
  <si>
    <t>adam.pawlak@poltraf.pl</t>
  </si>
  <si>
    <t>padam@ups.com</t>
  </si>
  <si>
    <t>adam@golfcarts-unlimited.com</t>
  </si>
  <si>
    <t>sebastianadam@ups.com</t>
  </si>
  <si>
    <t>sadam@ups.com</t>
  </si>
  <si>
    <t>adam_wheeler@dell.com</t>
  </si>
  <si>
    <t>Adam.wolfe@catalina.com</t>
  </si>
  <si>
    <t>jadamczak@ups.com</t>
  </si>
  <si>
    <t>gadamczewski@ups.com</t>
  </si>
  <si>
    <t>aadamczyk@ups.com</t>
  </si>
  <si>
    <t>madamczyk@ups.com</t>
  </si>
  <si>
    <t>sadamczyk@ups.com</t>
  </si>
  <si>
    <t>tadamczyk@ups.com</t>
  </si>
  <si>
    <t>badamczykstepaniuk@ups.com</t>
  </si>
  <si>
    <t>dadame@ups.com</t>
  </si>
  <si>
    <t>fadame@ups.com</t>
  </si>
  <si>
    <t>kadame@ups.com</t>
  </si>
  <si>
    <t>cadamek@ups.com</t>
  </si>
  <si>
    <t>aadames@ups.com</t>
  </si>
  <si>
    <t>badamiak@ups.com</t>
  </si>
  <si>
    <t>ladamiec@ups.com</t>
  </si>
  <si>
    <t>jenniferadamik@ups.com</t>
  </si>
  <si>
    <t>rolf.adamopoulos@europe.ups.com</t>
  </si>
  <si>
    <t>kadamopoulou@ups.com</t>
  </si>
  <si>
    <t>dadamova@ups.com</t>
  </si>
  <si>
    <t>padamovsky@ups.com</t>
  </si>
  <si>
    <t>kadamowicz@ups.com</t>
  </si>
  <si>
    <t>aaronadams@ups.com</t>
  </si>
  <si>
    <t>adanteadams@ups.com</t>
  </si>
  <si>
    <t>adrianmirkoadams@ups.com</t>
  </si>
  <si>
    <t>ahleyhaadams@ups.com</t>
  </si>
  <si>
    <t>alexadams@ups.com</t>
  </si>
  <si>
    <t>alishaadams@ups.com</t>
  </si>
  <si>
    <t>aadams@ups.com</t>
  </si>
  <si>
    <t>amberadams@ups.com</t>
  </si>
  <si>
    <t>angelaadams1@ups.com</t>
  </si>
  <si>
    <t>anthonyadams@ups.com</t>
  </si>
  <si>
    <t>aadams1@ups.com</t>
  </si>
  <si>
    <t>apriladams@ups.com</t>
  </si>
  <si>
    <t>austenadams@ups.com</t>
  </si>
  <si>
    <t>baileyadams@ups.com</t>
  </si>
  <si>
    <t>barryadams@ups.com</t>
  </si>
  <si>
    <t>bwadams@ups.com</t>
  </si>
  <si>
    <t>badams@ups.com</t>
  </si>
  <si>
    <t>bradleyadams@ups.com</t>
  </si>
  <si>
    <t>brandonadams@ups.com</t>
  </si>
  <si>
    <t>badams3@ups.com</t>
  </si>
  <si>
    <t>badams1@ups.com</t>
  </si>
  <si>
    <t>briceadams@ups.com</t>
  </si>
  <si>
    <t>britneyiaadams@ups.com</t>
  </si>
  <si>
    <t>brittanyadams@ups.com</t>
  </si>
  <si>
    <t>bryanadams@ups.com</t>
  </si>
  <si>
    <t>badams2@ups.com</t>
  </si>
  <si>
    <t>carladams@ups.com</t>
  </si>
  <si>
    <t>carolynadams@ups.com</t>
  </si>
  <si>
    <t>charlesadams@ups.com</t>
  </si>
  <si>
    <t>chelseaadams@ups.com</t>
  </si>
  <si>
    <t>cadams1@ups.com</t>
  </si>
  <si>
    <t>christinaadams@ups.com</t>
  </si>
  <si>
    <t>cadams@ups.com</t>
  </si>
  <si>
    <t>christopheradams@ups.com</t>
  </si>
  <si>
    <t>colin.adams@ups.com</t>
  </si>
  <si>
    <t>coreyadams@ups.com</t>
  </si>
  <si>
    <t>adams.cynthia@ups.com</t>
  </si>
  <si>
    <t>dwadams@ups.com</t>
  </si>
  <si>
    <t>dadams1@ups.com</t>
  </si>
  <si>
    <t>danieladams@ups.com</t>
  </si>
  <si>
    <t>daryladams@ups.com</t>
  </si>
  <si>
    <t>davidadams@ups.com</t>
  </si>
  <si>
    <t>dadams2@ups.com</t>
  </si>
  <si>
    <t>deanadams@ups.com</t>
  </si>
  <si>
    <t>deannaadams@ups.com</t>
  </si>
  <si>
    <t>djadams@ups.com</t>
  </si>
  <si>
    <t>dadams@ups.com</t>
  </si>
  <si>
    <t>destinyadams@ups.com</t>
  </si>
  <si>
    <t>douglasadams@ups.com</t>
  </si>
  <si>
    <t>duonadams@ups.com</t>
  </si>
  <si>
    <t>dustinadams@ups.com</t>
  </si>
  <si>
    <t>elaineadams@ups.com</t>
  </si>
  <si>
    <t>eadams@ups.com</t>
  </si>
  <si>
    <t>francisadams@ups.com</t>
  </si>
  <si>
    <t>fadams@ups.com</t>
  </si>
  <si>
    <t>gailadams@ups.com</t>
  </si>
  <si>
    <t>hamidadams@ups.com</t>
  </si>
  <si>
    <t>sadamsiii@ups.com</t>
  </si>
  <si>
    <t>iadams@ups.com</t>
  </si>
  <si>
    <t>jadams2@ups.com</t>
  </si>
  <si>
    <t>jacobadams@ups.com</t>
  </si>
  <si>
    <t>jadams@ups.com</t>
  </si>
  <si>
    <t>jamieadams@ups.com</t>
  </si>
  <si>
    <t>jaredadams@ups.com</t>
  </si>
  <si>
    <t>jarrettadams@ups.com</t>
  </si>
  <si>
    <t>jasonadams@ups.com</t>
  </si>
  <si>
    <t>jladams@ups.com</t>
  </si>
  <si>
    <t>jefferyadams@ups.com</t>
  </si>
  <si>
    <t>jeffreyadams@ups.com</t>
  </si>
  <si>
    <t>jesseadams@ups.com</t>
  </si>
  <si>
    <t>jessicaadams@ups.com</t>
  </si>
  <si>
    <t>joanieadams@ups.com</t>
  </si>
  <si>
    <t>jbadams@ups.com</t>
  </si>
  <si>
    <t>jonadams@ups.com</t>
  </si>
  <si>
    <t>jonathanadams@ups.com</t>
  </si>
  <si>
    <t>jadams1@ups.com</t>
  </si>
  <si>
    <t>josephadams@ups.com</t>
  </si>
  <si>
    <t>aadamsjr@ups.com</t>
  </si>
  <si>
    <t>jadamsjr@ups.com</t>
  </si>
  <si>
    <t>jfadams@ups.com</t>
  </si>
  <si>
    <t>justinadams@ups.com</t>
  </si>
  <si>
    <t>kathyadams@ups.com</t>
  </si>
  <si>
    <t>kaylaadams@ups.com</t>
  </si>
  <si>
    <t>kennethadams@ups.com</t>
  </si>
  <si>
    <t>kirklandadams@ups.com</t>
  </si>
  <si>
    <t>kadams1@ups.com</t>
  </si>
  <si>
    <t>kadams@ups.com</t>
  </si>
  <si>
    <t>larryadams@ups.com</t>
  </si>
  <si>
    <t>ladams@ups.com</t>
  </si>
  <si>
    <t>lawrenceadams@ups.com</t>
  </si>
  <si>
    <t>leciaadams@ups.com</t>
  </si>
  <si>
    <t>lladams@ups.com</t>
  </si>
  <si>
    <t>leslieadams@ups.com</t>
  </si>
  <si>
    <t>lindseyadams@ups.com</t>
  </si>
  <si>
    <t>lgadams@ups.com</t>
  </si>
  <si>
    <t>lorenzoadams@ups.com</t>
  </si>
  <si>
    <t>lorrieadams@ups.com</t>
  </si>
  <si>
    <t>lucyadams@ups.com</t>
  </si>
  <si>
    <t>lukeadams@ups.com</t>
  </si>
  <si>
    <t>lyndaadams@ups.com</t>
  </si>
  <si>
    <t>marianitaadams@ups.com</t>
  </si>
  <si>
    <t>marioadams@ups.com</t>
  </si>
  <si>
    <t>madams1@ups.com</t>
  </si>
  <si>
    <t>marquezadams@ups.com</t>
  </si>
  <si>
    <t>martynadams@ups.com</t>
  </si>
  <si>
    <t>mbadams@ups.com</t>
  </si>
  <si>
    <t>matthewadams@ups.com</t>
  </si>
  <si>
    <t>mauryadams@ups.com</t>
  </si>
  <si>
    <t>meccaadams@ups.com</t>
  </si>
  <si>
    <t>meeshaadams@ups.com</t>
  </si>
  <si>
    <t>melissaadams@ups.com</t>
  </si>
  <si>
    <t>madams@ups.com</t>
  </si>
  <si>
    <t>michaeladams@ups.com</t>
  </si>
  <si>
    <t>madams7@ups.com</t>
  </si>
  <si>
    <t>madams4@ups.com</t>
  </si>
  <si>
    <t>madams3@ups.com</t>
  </si>
  <si>
    <t>mdadams@ups.com</t>
  </si>
  <si>
    <t>michelleadams@ups.com</t>
  </si>
  <si>
    <t>madams2@ups.com</t>
  </si>
  <si>
    <t>natashaadams@ups.com</t>
  </si>
  <si>
    <t>nealadams@ups.com</t>
  </si>
  <si>
    <t>nicholasadams@ups.com</t>
  </si>
  <si>
    <t>nadams@ups.com</t>
  </si>
  <si>
    <t>oadams@ups.com</t>
  </si>
  <si>
    <t>pamelaadams@ups.com</t>
  </si>
  <si>
    <t>peytonadams@ups.com</t>
  </si>
  <si>
    <t>padams@ups.com</t>
  </si>
  <si>
    <t>qadams@ups.com</t>
  </si>
  <si>
    <t>ramseyadams@ups.com</t>
  </si>
  <si>
    <t>renaadams@ups.com</t>
  </si>
  <si>
    <t>reneadams@ups.com</t>
  </si>
  <si>
    <t>radams1@ups.com</t>
  </si>
  <si>
    <t>richardadams@ups.com</t>
  </si>
  <si>
    <t>radams@ups.com</t>
  </si>
  <si>
    <t>ryanadams@ups.com</t>
  </si>
  <si>
    <t>sabrinaadams@ups.com</t>
  </si>
  <si>
    <t>samanthaadams@ups.com</t>
  </si>
  <si>
    <t>samiadams@ups.com</t>
  </si>
  <si>
    <t>sarahadams@ups.com</t>
  </si>
  <si>
    <t>sadams1@ups.com</t>
  </si>
  <si>
    <t>sadams@ups.com</t>
  </si>
  <si>
    <t>shaunadams@ups.com</t>
  </si>
  <si>
    <t>susanadams@ups.com</t>
  </si>
  <si>
    <t>suzannaadams@ups.com</t>
  </si>
  <si>
    <t>tamaraadams@ups.com</t>
  </si>
  <si>
    <t>tammyadams@ups.com</t>
  </si>
  <si>
    <t>tladams@ups.com</t>
  </si>
  <si>
    <t>adamst7@rjrt.com</t>
  </si>
  <si>
    <t>tayloradams@ups.com</t>
  </si>
  <si>
    <t>teresaadams@ups.com</t>
  </si>
  <si>
    <t>tadams@ups.com</t>
  </si>
  <si>
    <t>terryadams@ups.com</t>
  </si>
  <si>
    <t>tadams2@ups.com</t>
  </si>
  <si>
    <t>twadams@ups.com</t>
  </si>
  <si>
    <t>tadams1@ups.com</t>
  </si>
  <si>
    <t>timothyadams@ups.com</t>
  </si>
  <si>
    <t>tjadams@ups.com</t>
  </si>
  <si>
    <t>troyadams@ups.com</t>
  </si>
  <si>
    <t>tadams3@ups.com</t>
  </si>
  <si>
    <t>wadams1@ups.com</t>
  </si>
  <si>
    <t>wadams@ups.com</t>
  </si>
  <si>
    <t>williamadams@ups.com</t>
  </si>
  <si>
    <t>zadams1@ups.com</t>
  </si>
  <si>
    <t>zacharyadams@ups.com</t>
  </si>
  <si>
    <t>zadams@ups.com</t>
  </si>
  <si>
    <t>zadamska@ups.com</t>
  </si>
  <si>
    <t>jadamski@ups.com</t>
  </si>
  <si>
    <t>madamski@ups.com</t>
  </si>
  <si>
    <t>sadamski@ups.com</t>
  </si>
  <si>
    <t>tadamski@ups.com</t>
  </si>
  <si>
    <t>badamson1@ups.com</t>
  </si>
  <si>
    <t>badamson@ups.com</t>
  </si>
  <si>
    <t>jadamsoncrews@ups.com</t>
  </si>
  <si>
    <t>davidadamson@ups.com</t>
  </si>
  <si>
    <t>jadamson@ups.com</t>
  </si>
  <si>
    <t>kadamson@ups.com</t>
  </si>
  <si>
    <t>micaelaadamson@ups.com</t>
  </si>
  <si>
    <t>sadamson@ups.com</t>
  </si>
  <si>
    <t>madamson@livingstoninc.com</t>
  </si>
  <si>
    <t>tadamswaingarten@ups.com</t>
  </si>
  <si>
    <t>madamusnosal@ups.com</t>
  </si>
  <si>
    <t>sadapa@ups.com</t>
  </si>
  <si>
    <t>sivasaikrishnaadapa@ups.com</t>
  </si>
  <si>
    <t>radarlo@ups.com</t>
  </si>
  <si>
    <t>radas@ups.com</t>
  </si>
  <si>
    <t>badasiak@ups.com</t>
  </si>
  <si>
    <t>jadcock@ups.com</t>
  </si>
  <si>
    <t>johnnaadcock@ups.com</t>
  </si>
  <si>
    <t>kradcock@ups.com</t>
  </si>
  <si>
    <t>markadcock@ups.com</t>
  </si>
  <si>
    <t>madcock@ups.com</t>
  </si>
  <si>
    <t>randyadcock@ups.com</t>
  </si>
  <si>
    <t>sadcock@ups.com</t>
  </si>
  <si>
    <t>madcoxjr@ups.com</t>
  </si>
  <si>
    <t>adcvdconcerns@ups.com</t>
  </si>
  <si>
    <t>addtosciatmdc@ups.com</t>
  </si>
  <si>
    <t>radda@ups.com</t>
  </si>
  <si>
    <t>zaddai@ups.com</t>
  </si>
  <si>
    <t>zaddair@ups.com</t>
  </si>
  <si>
    <t>aaddala@ups.com</t>
  </si>
  <si>
    <t>raddanki@ups.com</t>
  </si>
  <si>
    <t>daddario@ups.com</t>
  </si>
  <si>
    <t>silvia.addario@europe.ups.com</t>
  </si>
  <si>
    <t>saddesso@ups.com</t>
  </si>
  <si>
    <t>maddi@ups.com</t>
  </si>
  <si>
    <t>aaddington@ups.com</t>
  </si>
  <si>
    <t>daddis@ups.com</t>
  </si>
  <si>
    <t>alexaddison@ups.com</t>
  </si>
  <si>
    <t>aaddison@ups.com</t>
  </si>
  <si>
    <t>baddison@ups.com</t>
  </si>
  <si>
    <t>chantiraeaddison@ups.com</t>
  </si>
  <si>
    <t>caddison@ups.com</t>
  </si>
  <si>
    <t>daddison@ups.com</t>
  </si>
  <si>
    <t>eaddison@ups.com</t>
  </si>
  <si>
    <t>gaddison@ups.com</t>
  </si>
  <si>
    <t>paddison@ups.com</t>
  </si>
  <si>
    <t>raddison@ups.com</t>
  </si>
  <si>
    <t>saddison@ups.com</t>
  </si>
  <si>
    <t>addisond@us.ibm.com</t>
  </si>
  <si>
    <t>danaaddleman@ups.com</t>
  </si>
  <si>
    <t>maddleman@ups.com</t>
  </si>
  <si>
    <t>naddleman@ups.com</t>
  </si>
  <si>
    <t>rnt.migrated.adachicago@ups.com</t>
  </si>
  <si>
    <t>apurushottam@ups.com</t>
  </si>
  <si>
    <t>adeyemiadebayo@ups.com</t>
  </si>
  <si>
    <t>ayotundeadebayo@ups.com</t>
  </si>
  <si>
    <t>jadebiyi@ups.com</t>
  </si>
  <si>
    <t>badedeji@ups.com</t>
  </si>
  <si>
    <t>sadegboruwa@ups.com</t>
  </si>
  <si>
    <t>madegoke@ups.com</t>
  </si>
  <si>
    <t>adewaleadegunju@ups.com</t>
  </si>
  <si>
    <t>taiwoadeite@ups.com</t>
  </si>
  <si>
    <t>dadejoh@ups.com</t>
  </si>
  <si>
    <t>aadelaal@ups.com</t>
  </si>
  <si>
    <t>auadlsp@ups.com</t>
  </si>
  <si>
    <t>aadelakun@ups.com</t>
  </si>
  <si>
    <t>madelberg@ups.com</t>
  </si>
  <si>
    <t>oadeleke@ups.com</t>
  </si>
  <si>
    <t>jadelmann@ups.com</t>
  </si>
  <si>
    <t>canexports@ups.com</t>
  </si>
  <si>
    <t>nadem@ups.com</t>
  </si>
  <si>
    <t>dadema@ups.com</t>
  </si>
  <si>
    <t>tademi@ups.com</t>
  </si>
  <si>
    <t>aademovic@ups.com</t>
  </si>
  <si>
    <t>baden@ups.com</t>
  </si>
  <si>
    <t>aadeniji@ups.com</t>
  </si>
  <si>
    <t>kadeniji@ups.com</t>
  </si>
  <si>
    <t>sadeniran@ups.com</t>
  </si>
  <si>
    <t>aaderele@ups.com</t>
  </si>
  <si>
    <t>iaderibigbe@ups.com</t>
  </si>
  <si>
    <t>aaderoju@ups.com</t>
  </si>
  <si>
    <t>maderras@ups.com</t>
  </si>
  <si>
    <t>kimberlyades@ups.com</t>
  </si>
  <si>
    <t>aadesina@ups.com</t>
  </si>
  <si>
    <t>aadetugboboh@ups.com</t>
  </si>
  <si>
    <t>aadetula@ups.com</t>
  </si>
  <si>
    <t>ladetunji@ups.com</t>
  </si>
  <si>
    <t>cadetunla@ups.com</t>
  </si>
  <si>
    <t>eadewale@ups.com</t>
  </si>
  <si>
    <t>gadewole@ups.com</t>
  </si>
  <si>
    <t>georgeadewole@ups.com</t>
  </si>
  <si>
    <t>oadewole@ups.com</t>
  </si>
  <si>
    <t>adebisiadeyemi@ups.com</t>
  </si>
  <si>
    <t>gadeyemi@ups.com</t>
  </si>
  <si>
    <t>aadeyemo@ups.com</t>
  </si>
  <si>
    <t>oadeyeri@ups.com</t>
  </si>
  <si>
    <t>adfalert@ups.com</t>
  </si>
  <si>
    <t>adgtraining@ups.com</t>
  </si>
  <si>
    <t>adgtrainingorders@ups.com</t>
  </si>
  <si>
    <t>radger@ups.com</t>
  </si>
  <si>
    <t>jadhav@ups.com</t>
  </si>
  <si>
    <t>aadhikari@ups.com</t>
  </si>
  <si>
    <t>badhikari@ups.com</t>
  </si>
  <si>
    <t>kadhikari@ups.com</t>
  </si>
  <si>
    <t>madhikarikc@ups.com</t>
  </si>
  <si>
    <t>aram@ups.com</t>
  </si>
  <si>
    <t>radhikari@ups.com</t>
  </si>
  <si>
    <t>asucheta@ups.com</t>
  </si>
  <si>
    <t>tadhikari@ups.com</t>
  </si>
  <si>
    <t>yadhikari@ups.com</t>
  </si>
  <si>
    <t>iadhin@ups.com</t>
  </si>
  <si>
    <t>sadhipuram@ups.com</t>
  </si>
  <si>
    <t>apramod@ups.com</t>
  </si>
  <si>
    <t>aradityo@ups.com</t>
  </si>
  <si>
    <t>eadibnazari@ups.com</t>
  </si>
  <si>
    <t>adidaslogistics@ups.com</t>
  </si>
  <si>
    <t>dadie@ups.com</t>
  </si>
  <si>
    <t>padie@ups.com</t>
  </si>
  <si>
    <t>mikeadiele@ups.com</t>
  </si>
  <si>
    <t>radiele@ups.com</t>
  </si>
  <si>
    <t>aadigun@ups.com</t>
  </si>
  <si>
    <t>madiguzel@ups.com</t>
  </si>
  <si>
    <t>eadil@ups.com</t>
  </si>
  <si>
    <t>cadimora@ups.com</t>
  </si>
  <si>
    <t>sadimou@ups.com</t>
  </si>
  <si>
    <t>radinarayanappa@ups.com</t>
  </si>
  <si>
    <t>fadinarayanin@ups.com</t>
  </si>
  <si>
    <t>nadipudi@ups.com</t>
  </si>
  <si>
    <t>adirb@ups.co.il</t>
  </si>
  <si>
    <t>oadirbelli@ups.com</t>
  </si>
  <si>
    <t>asomashekar@ups.com</t>
  </si>
  <si>
    <t>prakashaditya@ups.com</t>
  </si>
  <si>
    <t>saditya@ups.com</t>
  </si>
  <si>
    <t>adityayustiantomohammad@ups.com</t>
  </si>
  <si>
    <t>fuat.adiyaman@europe.ups.com</t>
  </si>
  <si>
    <t>kadjeikoranteng@ups.com</t>
  </si>
  <si>
    <t>nadjeitwum@ups.com</t>
  </si>
  <si>
    <t>aadjeteysowa@ups.com</t>
  </si>
  <si>
    <t>madjiri@ups.com</t>
  </si>
  <si>
    <t>kadjoua1@ups.com</t>
  </si>
  <si>
    <t>aadkins2@ups.com</t>
  </si>
  <si>
    <t>aadkins@ups.com</t>
  </si>
  <si>
    <t>badkins@ups.com</t>
  </si>
  <si>
    <t>cadkins1@ups.com</t>
  </si>
  <si>
    <t>cbadkins@ups.com</t>
  </si>
  <si>
    <t>cadkins@upsstore.com</t>
  </si>
  <si>
    <t>cynithiaadkins@ups.com</t>
  </si>
  <si>
    <t>daadkins@ups.com</t>
  </si>
  <si>
    <t>debraadkins@ups.com</t>
  </si>
  <si>
    <t>dxadkins@ups.com</t>
  </si>
  <si>
    <t>erinadkins@ups.com</t>
  </si>
  <si>
    <t>fadkins@ups.com</t>
  </si>
  <si>
    <t>hadkins@ups.com</t>
  </si>
  <si>
    <t>jadkinsiii@ups.com</t>
  </si>
  <si>
    <t>jadkins@ups.com</t>
  </si>
  <si>
    <t>johnadkins@ups.com</t>
  </si>
  <si>
    <t>kadkins@ups.com</t>
  </si>
  <si>
    <t>kerryadkins@ups.com</t>
  </si>
  <si>
    <t>nadkins@ups.com</t>
  </si>
  <si>
    <t>padkins@ups.com</t>
  </si>
  <si>
    <t>radkins1@ups.com</t>
  </si>
  <si>
    <t>radkins@ups.com</t>
  </si>
  <si>
    <t>shelbyadkins@ups.com</t>
  </si>
  <si>
    <t>lisaadkinson@ups.com</t>
  </si>
  <si>
    <t>cadkison@ups.com</t>
  </si>
  <si>
    <t>agauri@ups.com</t>
  </si>
  <si>
    <t>cadlam@ups.com</t>
  </si>
  <si>
    <t>radlam@ups.com</t>
  </si>
  <si>
    <t>aadler@ups.com</t>
  </si>
  <si>
    <t>andreas.adler@europe.ups.com</t>
  </si>
  <si>
    <t>hadler@ups.com</t>
  </si>
  <si>
    <t>iadler@ups.com</t>
  </si>
  <si>
    <t>jutta.adler@ups.com</t>
  </si>
  <si>
    <t>melanie.adler@ups.com</t>
  </si>
  <si>
    <t>madler@ups.com</t>
  </si>
  <si>
    <t>radler@ups.com</t>
  </si>
  <si>
    <t>susanneadler@ups.com</t>
  </si>
  <si>
    <t>tadlersflugel@ups.com</t>
  </si>
  <si>
    <t>tadley@ups.com</t>
  </si>
  <si>
    <t>madlich@ups.com</t>
  </si>
  <si>
    <t>jadlington@ups.com</t>
  </si>
  <si>
    <t>fadly@ups.com</t>
  </si>
  <si>
    <t>Adam.Wheeler@dell.com</t>
  </si>
  <si>
    <t>admanenikhil@ups.com</t>
  </si>
  <si>
    <t>madme@ups.com</t>
  </si>
  <si>
    <t>aramchandra@ups.com</t>
  </si>
  <si>
    <t>admoncoslada@ups.com</t>
  </si>
  <si>
    <t>Easy.Admin@uni-data.de</t>
  </si>
  <si>
    <t>admin@lightefficientdepot.com</t>
  </si>
  <si>
    <t>WL.Admin@uni-data.de</t>
  </si>
  <si>
    <t>admin_infra@ups-scs.com</t>
  </si>
  <si>
    <t>administrativeca@ups.com</t>
  </si>
  <si>
    <t>notes.administrator@polysys.ch</t>
  </si>
  <si>
    <t>adminit@ups.com</t>
  </si>
  <si>
    <t>jadmire@ups.com</t>
  </si>
  <si>
    <t>aaishah@ups.com</t>
  </si>
  <si>
    <t>madnan@ups.com</t>
  </si>
  <si>
    <t>amohdrodzuan@ups.com</t>
  </si>
  <si>
    <t>nadney@ups.com</t>
  </si>
  <si>
    <t>sadogamhe@ups.com</t>
  </si>
  <si>
    <t>eadolfsson@ups.com</t>
  </si>
  <si>
    <t>jadolph@ups.com</t>
  </si>
  <si>
    <t>padonis@ups.com</t>
  </si>
  <si>
    <t>anikita@ups.com</t>
  </si>
  <si>
    <t>adanilo@ups.com</t>
  </si>
  <si>
    <t>gadorno@ups.com</t>
  </si>
  <si>
    <t>jadorno@ups.com</t>
  </si>
  <si>
    <t>RBN0RVM@ups.com</t>
  </si>
  <si>
    <t>coumos@apple.com</t>
  </si>
  <si>
    <t>aranft@illuminations.com</t>
  </si>
  <si>
    <t>abratu@ostusa.com</t>
  </si>
  <si>
    <t>badrian@ups.com</t>
  </si>
  <si>
    <t>adrian.linda@ups.com</t>
  </si>
  <si>
    <t>aquinones@burtsbeesbaby.com</t>
  </si>
  <si>
    <t>Aliem@morningtoncorp.com</t>
  </si>
  <si>
    <t>adrianaroman@romanfamily.net</t>
  </si>
  <si>
    <t>Adriana.Valencia@cipla.com</t>
  </si>
  <si>
    <t>aprincessracquel@ups.com</t>
  </si>
  <si>
    <t>adriano.rolando@ups.com</t>
  </si>
  <si>
    <t>aruffa@ups.com</t>
  </si>
  <si>
    <t>ADS-WKAB3.0@aetna.com</t>
  </si>
  <si>
    <t>tofik.adschalow@europe.ups.com</t>
  </si>
  <si>
    <t>amayuri@ups.com</t>
  </si>
  <si>
    <t>kadu@ups.com</t>
  </si>
  <si>
    <t>aduanaexport@ups.com</t>
  </si>
  <si>
    <t>mxclmexport@ups.com</t>
  </si>
  <si>
    <t>mxclmimport@ups.com</t>
  </si>
  <si>
    <t>lsgimport@ups.com</t>
  </si>
  <si>
    <t>lsgexport@ups.com</t>
  </si>
  <si>
    <t>mtyprealert@ups.com</t>
  </si>
  <si>
    <t>expbrokerage2@ups.com</t>
  </si>
  <si>
    <t>mxtijexport@ups.com</t>
  </si>
  <si>
    <t>michaeladubato@ups.com</t>
  </si>
  <si>
    <t>aadrian@ups.com</t>
  </si>
  <si>
    <t>taduca@ups.com</t>
  </si>
  <si>
    <t>madulla@ups.com</t>
  </si>
  <si>
    <t>afrederic@ups.com</t>
  </si>
  <si>
    <t>vadvaitha@ups.com</t>
  </si>
  <si>
    <t>advpay@ups.com</t>
  </si>
  <si>
    <t>upsfreighturgentast@ups.com</t>
  </si>
  <si>
    <t>astsupport@ups.com</t>
  </si>
  <si>
    <t>aabhinay@ups.com</t>
  </si>
  <si>
    <t>badvincula@ups.com</t>
  </si>
  <si>
    <t>auma@ups.com</t>
  </si>
  <si>
    <t>aarjun@ups.com</t>
  </si>
  <si>
    <t>madwent@ups.com</t>
  </si>
  <si>
    <t>madyniec@ups.com</t>
  </si>
  <si>
    <t>aadzemovic@ups.com</t>
  </si>
  <si>
    <t>aeinterest@ups.com</t>
  </si>
  <si>
    <t>LopezAE@worldkitchen.com</t>
  </si>
  <si>
    <t>aescspayables@ups.com</t>
  </si>
  <si>
    <t>aesppayables@ups.com</t>
  </si>
  <si>
    <t>kimberlyaebersold@ups.com</t>
  </si>
  <si>
    <t>aehlenbe@sms.fld4.sms.com</t>
  </si>
  <si>
    <t>KNF5NNC@ups.com</t>
  </si>
  <si>
    <t>DXW5FLT@ups.com</t>
  </si>
  <si>
    <t>YKJ5DJY@ups.com</t>
  </si>
  <si>
    <t>tom.aelbrecht@ups.com</t>
  </si>
  <si>
    <t>maellig@ups.com</t>
  </si>
  <si>
    <t>ayejee@ups.com</t>
  </si>
  <si>
    <t>aepps@babyjogger.com</t>
  </si>
  <si>
    <t>sclapto@ups.com</t>
  </si>
  <si>
    <t>aerospace@ups.com</t>
  </si>
  <si>
    <t>aerospatiale@ups.com</t>
  </si>
  <si>
    <t>iaerts@ups.com</t>
  </si>
  <si>
    <t>thierry.aerts@europe.ups.com</t>
  </si>
  <si>
    <t>raeschliman@ups.com</t>
  </si>
  <si>
    <t>upspca@ups.com</t>
  </si>
  <si>
    <t>afquoteuk@ups.com</t>
  </si>
  <si>
    <t>wafaifia@ups.com</t>
  </si>
  <si>
    <t>aafanador@ups.com</t>
  </si>
  <si>
    <t>safaq@ups.com</t>
  </si>
  <si>
    <t>afcfrance@ups.com</t>
  </si>
  <si>
    <t>afcpl@ups.com</t>
  </si>
  <si>
    <t>OmnibusMBX@ups.com</t>
  </si>
  <si>
    <t>yonusaffamohamed@ups.com</t>
  </si>
  <si>
    <t>raffeldt@ups.com</t>
  </si>
  <si>
    <t>saffholder@ups.com</t>
  </si>
  <si>
    <t>aaffinitoiii@ups.com</t>
  </si>
  <si>
    <t>lcci@ups.com</t>
  </si>
  <si>
    <t>takecharge@ups.com</t>
  </si>
  <si>
    <t>jaffolter@ups.com</t>
  </si>
  <si>
    <t>aaffoya@upslogistics.fr</t>
  </si>
  <si>
    <t>mafify@ups.com</t>
  </si>
  <si>
    <t>daflague@ups.com</t>
  </si>
  <si>
    <t>gafoakwa@ups.com</t>
  </si>
  <si>
    <t>lafonso@ups.com</t>
  </si>
  <si>
    <t>tafonso@ups.com</t>
  </si>
  <si>
    <t>davidafrem@ups.com</t>
  </si>
  <si>
    <t>FRA1MXA@europe.ups.com</t>
  </si>
  <si>
    <t>aabrgnorthatlantic@ups.com</t>
  </si>
  <si>
    <t>aabrg@ups.com</t>
  </si>
  <si>
    <t>africapricingaf@ups.com</t>
  </si>
  <si>
    <t>africapricingof@ups.com</t>
  </si>
  <si>
    <t>jafsar@ups.com</t>
  </si>
  <si>
    <t>safsar@ups.com</t>
  </si>
  <si>
    <t>aafshapour@ups.com</t>
  </si>
  <si>
    <t>bafterhourscontact@ups.com</t>
  </si>
  <si>
    <t>aftf@ups.com</t>
  </si>
  <si>
    <t>upsfreightaftonchemical@ups.com</t>
  </si>
  <si>
    <t>waftring@ups.com</t>
  </si>
  <si>
    <t>zaftyka@ups.com</t>
  </si>
  <si>
    <t>yafzal@ups.com</t>
  </si>
  <si>
    <t>agdb@ups.com</t>
  </si>
  <si>
    <t>aglinkedin@ups.com</t>
  </si>
  <si>
    <t>aglincluster@ups.com</t>
  </si>
  <si>
    <t>agstorage@ups.com</t>
  </si>
  <si>
    <t>agvmware@ups.com</t>
  </si>
  <si>
    <t>agwindows@ups.com</t>
  </si>
  <si>
    <t>elvinagababayev@ups.com</t>
  </si>
  <si>
    <t>magacki@ups.com</t>
  </si>
  <si>
    <t>magag@ups.com</t>
  </si>
  <si>
    <t>jagaga@ups.com</t>
  </si>
  <si>
    <t>jagalsoff@ups.com</t>
  </si>
  <si>
    <t>anaveen@ups.com</t>
  </si>
  <si>
    <t>agamataraymond@ups.com</t>
  </si>
  <si>
    <t>cagampodi@ups.com</t>
  </si>
  <si>
    <t>aarjay@ups.com</t>
  </si>
  <si>
    <t>sagang@ups.com</t>
  </si>
  <si>
    <t>aaganikian@ups.com</t>
  </si>
  <si>
    <t>aaganspahic@ups.com</t>
  </si>
  <si>
    <t>aagarwal@ups.com</t>
  </si>
  <si>
    <t>alkaagarwal@ups.com</t>
  </si>
  <si>
    <t>anirudhagarwal@ups.com</t>
  </si>
  <si>
    <t>agarwalarjun@ups.com</t>
  </si>
  <si>
    <t>nikhilagarwal@ups.com</t>
  </si>
  <si>
    <t>nagarwal@ups.com</t>
  </si>
  <si>
    <t>ragarwal@ups.com</t>
  </si>
  <si>
    <t>asagar@ups.com</t>
  </si>
  <si>
    <t>agarwalshankar@ups.com</t>
  </si>
  <si>
    <t>sunnyagarwal@ups.com</t>
  </si>
  <si>
    <t>bagas@ups.com</t>
  </si>
  <si>
    <t>magas@ups.com</t>
  </si>
  <si>
    <t>ragashe@ups.com</t>
  </si>
  <si>
    <t>aswapnil@ups.com</t>
  </si>
  <si>
    <t>magatic@ups.com</t>
  </si>
  <si>
    <t>amasahiko@ups.com</t>
  </si>
  <si>
    <t>iagayev@ups.com</t>
  </si>
  <si>
    <t>lagazzi@ups.com</t>
  </si>
  <si>
    <t>magbaba@ups.com</t>
  </si>
  <si>
    <t>dagbabiaka@ups.com</t>
  </si>
  <si>
    <t>anadine@ups.com</t>
  </si>
  <si>
    <t>jagbatey@ups.com</t>
  </si>
  <si>
    <t>aedgardo@ups.com</t>
  </si>
  <si>
    <t>tagbede@ups.com</t>
  </si>
  <si>
    <t>fagbemaple@ups.com</t>
  </si>
  <si>
    <t>jagbezuke@ups.com</t>
  </si>
  <si>
    <t>agbingnelson@ups.com</t>
  </si>
  <si>
    <t>ragbo@ups.com</t>
  </si>
  <si>
    <t>charles.agbolosu@europe.ups.com</t>
  </si>
  <si>
    <t>omotolaagbomabiwon@ups.com</t>
  </si>
  <si>
    <t>gagbons@ups.com</t>
  </si>
  <si>
    <t>eagborsangaya@ups.com</t>
  </si>
  <si>
    <t>hagca@ups.com</t>
  </si>
  <si>
    <t>pagcaoili@ups.com</t>
  </si>
  <si>
    <t>abinggirl@ups.com</t>
  </si>
  <si>
    <t>acharlotte@ups.com</t>
  </si>
  <si>
    <t>bagee@ups.com</t>
  </si>
  <si>
    <t>lagee@ups.com</t>
  </si>
  <si>
    <t>ragee@ups.com</t>
  </si>
  <si>
    <t>sagee@ups.com</t>
  </si>
  <si>
    <t>sageeru@ups.com</t>
  </si>
  <si>
    <t>bagema@ups.com</t>
  </si>
  <si>
    <t>carteraagencia@ups.com</t>
  </si>
  <si>
    <t>agentstlmntrpt@ups.com</t>
  </si>
  <si>
    <t>lagersborg@ups.com</t>
  </si>
  <si>
    <t>nagersnap@ups.com</t>
  </si>
  <si>
    <t>aaggarwal@ups.com</t>
  </si>
  <si>
    <t>haggarwal@ups.com</t>
  </si>
  <si>
    <t>aggarwal.rajive@ups.com</t>
  </si>
  <si>
    <t>raggarwal@ups.com</t>
  </si>
  <si>
    <t>taggarwal@ups.com</t>
  </si>
  <si>
    <t>vaggarwal@ups.com</t>
  </si>
  <si>
    <t>magha@ups.com</t>
  </si>
  <si>
    <t>taghabi@ups.com</t>
  </si>
  <si>
    <t>dagic@ups.com</t>
  </si>
  <si>
    <t>sagic@ups.com</t>
  </si>
  <si>
    <t>agiledevopscoe@ups.com</t>
  </si>
  <si>
    <t>magim@ups.com</t>
  </si>
  <si>
    <t>agldsl@ups.com</t>
  </si>
  <si>
    <t>cagler@ups.com</t>
  </si>
  <si>
    <t>jagler@ups.com</t>
  </si>
  <si>
    <t>ashirley@ups.com</t>
  </si>
  <si>
    <t>jagnello@ups.com</t>
  </si>
  <si>
    <t>ragnello@ups.com</t>
  </si>
  <si>
    <t>sagnello@ups.com</t>
  </si>
  <si>
    <t>Agnelo@ups.com</t>
  </si>
  <si>
    <t>aolever@ups.com</t>
  </si>
  <si>
    <t>areynalea@ups.com</t>
  </si>
  <si>
    <t>kagnew@ups.com</t>
  </si>
  <si>
    <t>tagnew3@ups.com</t>
  </si>
  <si>
    <t>agnieszka@easternaccents.com</t>
  </si>
  <si>
    <t>aagnihotri@ups.com</t>
  </si>
  <si>
    <t>aagnis@ups.com</t>
  </si>
  <si>
    <t>fagnissan@upslogistics.fr</t>
  </si>
  <si>
    <t>eagno@ups.com</t>
  </si>
  <si>
    <t>tagnor@ups.com</t>
  </si>
  <si>
    <t>acatherine@ups.com</t>
  </si>
  <si>
    <t>lagocs@ups.com</t>
  </si>
  <si>
    <t>jagoney@ups.com</t>
  </si>
  <si>
    <t>aagosti@ups.com</t>
  </si>
  <si>
    <t>aagostini@ups.com</t>
  </si>
  <si>
    <t>cagostini@ups.com</t>
  </si>
  <si>
    <t>agostini.renato@ups.com</t>
  </si>
  <si>
    <t>magostino@ups.com</t>
  </si>
  <si>
    <t>aagosto@ups.com</t>
  </si>
  <si>
    <t>bagosto@ups.com</t>
  </si>
  <si>
    <t>nagostomorales@ups.com</t>
  </si>
  <si>
    <t>kagoston@ups.com</t>
  </si>
  <si>
    <t>aagovic@ups.com</t>
  </si>
  <si>
    <t>jagravat@ups.com</t>
  </si>
  <si>
    <t>iagrawal@ups.com</t>
  </si>
  <si>
    <t>aomprakash@ups.com</t>
  </si>
  <si>
    <t>pagrawal@ups.com</t>
  </si>
  <si>
    <t>rishavagrawal@ups.com</t>
  </si>
  <si>
    <t>rohitagrawal@ups.com</t>
  </si>
  <si>
    <t>seemaagrawal@ups.com</t>
  </si>
  <si>
    <t>ashaily@ups.com</t>
  </si>
  <si>
    <t>sagrawal@ups.com</t>
  </si>
  <si>
    <t>sagredaosinaga@ups.com</t>
  </si>
  <si>
    <t>magredo@ups.com</t>
  </si>
  <si>
    <t>akhristian@ups.com</t>
  </si>
  <si>
    <t>sagro@ups.com</t>
  </si>
  <si>
    <t>bagronovitz@ups.com</t>
  </si>
  <si>
    <t>aagrusa@ups.com</t>
  </si>
  <si>
    <t>emeritaagtarap@ups.com</t>
  </si>
  <si>
    <t>iagu@ups.com</t>
  </si>
  <si>
    <t>caguado@ups.com</t>
  </si>
  <si>
    <t>akimberlyjoy@ups.com</t>
  </si>
  <si>
    <t>achristianjay@ups.com</t>
  </si>
  <si>
    <t>taguas@ups.com</t>
  </si>
  <si>
    <t>cxaguayo@ups.com</t>
  </si>
  <si>
    <t>jaguayo@ups.com</t>
  </si>
  <si>
    <t>juanaguayo@ups.com</t>
  </si>
  <si>
    <t>oaguayo@ups.com</t>
  </si>
  <si>
    <t>yaguayo@ups.com</t>
  </si>
  <si>
    <t>aagudelo@ups.com</t>
  </si>
  <si>
    <t>iagudelocarmona@ups.com</t>
  </si>
  <si>
    <t>jagudelo@ups.com</t>
  </si>
  <si>
    <t>jagudelomontoya@ups.com</t>
  </si>
  <si>
    <t>dagudeloospina@ups.com</t>
  </si>
  <si>
    <t>paolaagudelo@ups.com</t>
  </si>
  <si>
    <t>dagudelotascon@ups.com</t>
  </si>
  <si>
    <t>arovy@ups.com</t>
  </si>
  <si>
    <t>aaguenegou@ups.com</t>
  </si>
  <si>
    <t>Andres.Aguera@ups.com</t>
  </si>
  <si>
    <t>FRA3CXA@europe.ups.com</t>
  </si>
  <si>
    <t>caguiar@ups.com</t>
  </si>
  <si>
    <t>edward_aguiar@techdinamics.com</t>
  </si>
  <si>
    <t>jaguiar@ups.com</t>
  </si>
  <si>
    <t>karolinyaguiar@ups.com</t>
  </si>
  <si>
    <t>maguiar@ups.com</t>
  </si>
  <si>
    <t>waguiar@ups.com</t>
  </si>
  <si>
    <t>EAguiar@livingstoninc.com</t>
  </si>
  <si>
    <t>daguila@ups.com</t>
  </si>
  <si>
    <t>edbertaguila@ups.com</t>
  </si>
  <si>
    <t>eaguila@ups.com</t>
  </si>
  <si>
    <t>aroncalvin@ups.com</t>
  </si>
  <si>
    <t>aaguilar@ups.com</t>
  </si>
  <si>
    <t>benignoaguilar@ups.com</t>
  </si>
  <si>
    <t>baguilar@ups.com</t>
  </si>
  <si>
    <t>brianaguilar@ups.com</t>
  </si>
  <si>
    <t>waguilarcampos@ups.com</t>
  </si>
  <si>
    <t>caguilar@ups.com</t>
  </si>
  <si>
    <t>coleaguilar@ups.com</t>
  </si>
  <si>
    <t>daguilar@ups.com</t>
  </si>
  <si>
    <t>deaguilar@ups.com</t>
  </si>
  <si>
    <t>caguilardurand@ups.com</t>
  </si>
  <si>
    <t>eduardoaguilar@ups.com</t>
  </si>
  <si>
    <t>emilioaaguilar@ups.com</t>
  </si>
  <si>
    <t>enriquejaguilar@ups.com</t>
  </si>
  <si>
    <t>ericaguilar@ups.com</t>
  </si>
  <si>
    <t>estebanaguilar@ups.com</t>
  </si>
  <si>
    <t>eaguilar@ups.com</t>
  </si>
  <si>
    <t>fabianaguilar@ups.com</t>
  </si>
  <si>
    <t>jacquelineaguilar@ups.com</t>
  </si>
  <si>
    <t>ajeromeii@ups.com</t>
  </si>
  <si>
    <t>jaguilar@ups.com</t>
  </si>
  <si>
    <t>ajohnmar@ups.com</t>
  </si>
  <si>
    <t>jonathanaguilar@ups.com</t>
  </si>
  <si>
    <t>jxaguilar@ups.com</t>
  </si>
  <si>
    <t>haguilarjr@ups.com</t>
  </si>
  <si>
    <t>karlalorenaaguilar@ups.com</t>
  </si>
  <si>
    <t>kaguilar@ups.com</t>
  </si>
  <si>
    <t>laguilar@ups.com</t>
  </si>
  <si>
    <t>aleslieann@ups.com</t>
  </si>
  <si>
    <t>luisaaguilar@ups.com</t>
  </si>
  <si>
    <t>marcusaguilar@ups.com</t>
  </si>
  <si>
    <t>michaelaguilar@ups.com</t>
  </si>
  <si>
    <t>michelaguilar@ups.com</t>
  </si>
  <si>
    <t>miguelaguilar@ups.com</t>
  </si>
  <si>
    <t>maguilar@ups.com</t>
  </si>
  <si>
    <t>oxaguilar@ups.com</t>
  </si>
  <si>
    <t>oaguilar@ups.com</t>
  </si>
  <si>
    <t>paguilar@ups.com</t>
  </si>
  <si>
    <t>pjaguilar@ups.com</t>
  </si>
  <si>
    <t>raguilar@ups.com</t>
  </si>
  <si>
    <t>reggaeaguilar@ups.com</t>
  </si>
  <si>
    <t>ricardoaguilar@ups.com</t>
  </si>
  <si>
    <t>yaguilarroldan@ups.com</t>
  </si>
  <si>
    <t>saulaguilar@ups.com</t>
  </si>
  <si>
    <t>sergioaguilar@ups.com</t>
  </si>
  <si>
    <t>jaguilarsierra@ups.com</t>
  </si>
  <si>
    <t>saguilar@ups.com</t>
  </si>
  <si>
    <t>stephanieaguilar@ups.com</t>
  </si>
  <si>
    <t>yaguilar@ups.com</t>
  </si>
  <si>
    <t>baguilargarcia@ups.com</t>
  </si>
  <si>
    <t>yaguilarvasquez@ups.com</t>
  </si>
  <si>
    <t>daguileraalfaro@ups.com</t>
  </si>
  <si>
    <t>angelaaguilera@ups.com</t>
  </si>
  <si>
    <t>jaguileracaballero@ups.com</t>
  </si>
  <si>
    <t>gaguilera5@ups.com</t>
  </si>
  <si>
    <t>gaguilera@ups.com</t>
  </si>
  <si>
    <t>iaguilera@ups.com</t>
  </si>
  <si>
    <t>jaguilera@ups.com</t>
  </si>
  <si>
    <t>marcoaguilera@ups.com</t>
  </si>
  <si>
    <t>maguilera@ups.com</t>
  </si>
  <si>
    <t>sarahaguilera@ups.com</t>
  </si>
  <si>
    <t>saguilera@ups.com</t>
  </si>
  <si>
    <t>taguilera1@ups.com</t>
  </si>
  <si>
    <t>taguilera@ups.com</t>
  </si>
  <si>
    <t>waguilera@ups.com</t>
  </si>
  <si>
    <t>akayezel@ups.com</t>
  </si>
  <si>
    <t>amariakarla@ups.com</t>
  </si>
  <si>
    <t>jaguinaga@ups.com</t>
  </si>
  <si>
    <t>akate@ups.com</t>
  </si>
  <si>
    <t>haguiniga@ups.com</t>
  </si>
  <si>
    <t>maguiniga@ups.com</t>
  </si>
  <si>
    <t>aaguirre1@ups.com</t>
  </si>
  <si>
    <t>aaguirre@ups.com</t>
  </si>
  <si>
    <t>baguirre@ups.com</t>
  </si>
  <si>
    <t>caguirre@ups.com</t>
  </si>
  <si>
    <t>carole.aguirre@ups.com</t>
  </si>
  <si>
    <t>eaguirre1@ups.com</t>
  </si>
  <si>
    <t>enriqueaguirre@ups.com</t>
  </si>
  <si>
    <t>erickaaguirre@ups.com</t>
  </si>
  <si>
    <t>eaguirre@ups.com</t>
  </si>
  <si>
    <t>faguirre@ups.com</t>
  </si>
  <si>
    <t>jacobaguirre@ups.com</t>
  </si>
  <si>
    <t>joanaguirre@ups.com</t>
  </si>
  <si>
    <t>johannaaguirre@ups.com</t>
  </si>
  <si>
    <t>joseaguirre@ups.com</t>
  </si>
  <si>
    <t>josueaguirre@ups.com</t>
  </si>
  <si>
    <t>juanita.aguirre@ups.com</t>
  </si>
  <si>
    <t>laguirre@ups.com</t>
  </si>
  <si>
    <t>manuelaguirre@ups.com</t>
  </si>
  <si>
    <t>martinaguirre@ups.com</t>
  </si>
  <si>
    <t>mynoraaguirre@ups.com</t>
  </si>
  <si>
    <t>ramonaguirre@ups.com</t>
  </si>
  <si>
    <t>raguirre@ups.com</t>
  </si>
  <si>
    <t>ronalaguirre@ups.com</t>
  </si>
  <si>
    <t>ryanaguirre@ups.com</t>
  </si>
  <si>
    <t>samuelaguirre@ups.com</t>
  </si>
  <si>
    <t>saguirre@ups.com</t>
  </si>
  <si>
    <t>starraguirre@ups.com</t>
  </si>
  <si>
    <t>yaguirre@ups.com</t>
  </si>
  <si>
    <t>zaguirre@ups.com</t>
  </si>
  <si>
    <t>lagulonu@ups.com</t>
  </si>
  <si>
    <t>oagun@ups.com</t>
  </si>
  <si>
    <t>ragun@ups.com</t>
  </si>
  <si>
    <t>aagunbiade@ups.com</t>
  </si>
  <si>
    <t>taguoji@ups.com</t>
  </si>
  <si>
    <t>aagureev@ups.com</t>
  </si>
  <si>
    <t>alvaroagustin@ups.com</t>
  </si>
  <si>
    <t>aaracelestine@ups.com</t>
  </si>
  <si>
    <t>aarvin@ups.com</t>
  </si>
  <si>
    <t>jagustin@ups.com</t>
  </si>
  <si>
    <t>lucy.agustin@ups.com</t>
  </si>
  <si>
    <t>magustin@ups.com</t>
  </si>
  <si>
    <t>apascualjr@ups.com</t>
  </si>
  <si>
    <t>vagustin@ups.com</t>
  </si>
  <si>
    <t>asigmund@ups.com</t>
  </si>
  <si>
    <t>amonarose@ups.com</t>
  </si>
  <si>
    <t>fagwu@ups.com</t>
  </si>
  <si>
    <t>iagyar@ups.com</t>
  </si>
  <si>
    <t>sagyar@ups.com</t>
  </si>
  <si>
    <t>dagyei@ups.com</t>
  </si>
  <si>
    <t>bagyekum@ups.com</t>
  </si>
  <si>
    <t>gagyekum@ups.com</t>
  </si>
  <si>
    <t>jagyeman@ups.com</t>
  </si>
  <si>
    <t>oagyeman@ups.com</t>
  </si>
  <si>
    <t>eagyemang@ups.com</t>
  </si>
  <si>
    <t>jagyemang@ups.com</t>
  </si>
  <si>
    <t>laila.agzennai@europe.ups.com</t>
  </si>
  <si>
    <t>aneo@ups.com</t>
  </si>
  <si>
    <t>ajanette@ups.com</t>
  </si>
  <si>
    <t>jahquin@ups.com</t>
  </si>
  <si>
    <t>ah110174@ncr.com</t>
  </si>
  <si>
    <t>aiva@ups.com</t>
  </si>
  <si>
    <t>mahale@ups.com</t>
  </si>
  <si>
    <t>aahamada@ups.com</t>
  </si>
  <si>
    <t>bahamath@ups.com</t>
  </si>
  <si>
    <t>afaslan@ups.com</t>
  </si>
  <si>
    <t>mahamed@ups.com</t>
  </si>
  <si>
    <t>sabeerahamed@ups.com</t>
  </si>
  <si>
    <t>sahamed@ups.com</t>
  </si>
  <si>
    <t>zahamed@ups.com</t>
  </si>
  <si>
    <t>iaharon@ups.com</t>
  </si>
  <si>
    <t>aharper@atlas-na.com</t>
  </si>
  <si>
    <t>Ahashimo@ctron.com</t>
  </si>
  <si>
    <t>tahchin@ups.com</t>
  </si>
  <si>
    <t>lahelmarani@ups.com</t>
  </si>
  <si>
    <t>raher@ups.com</t>
  </si>
  <si>
    <t>asheetal@ups.com</t>
  </si>
  <si>
    <t>bahern@ups.com</t>
  </si>
  <si>
    <t>danielleahern@ups.com</t>
  </si>
  <si>
    <t>dahern@ups.com</t>
  </si>
  <si>
    <t>mahern@ups.com</t>
  </si>
  <si>
    <t>pahern@ups.com</t>
  </si>
  <si>
    <t>pahiaba@ups.com</t>
  </si>
  <si>
    <t>wahillen@ups.com</t>
  </si>
  <si>
    <t>mahl@ups.com</t>
  </si>
  <si>
    <t>meleshaahlberg@ups.com</t>
  </si>
  <si>
    <t>aahlbergprice@ups.com</t>
  </si>
  <si>
    <t>bahlbin@ups.com</t>
  </si>
  <si>
    <t>kahlem@ups.com</t>
  </si>
  <si>
    <t>andreas.ahlers@europe.ups.com</t>
  </si>
  <si>
    <t>kahles@ups.com</t>
  </si>
  <si>
    <t>vahlfield@ups.com</t>
  </si>
  <si>
    <t>pahlin@ups.com</t>
  </si>
  <si>
    <t>tahlstrom@ups.com</t>
  </si>
  <si>
    <t>pahltaylor@ups.com</t>
  </si>
  <si>
    <t>aabdulganibin@ups.com</t>
  </si>
  <si>
    <t>ahmadahmad@ups.com</t>
  </si>
  <si>
    <t>aleemahmad@ups.com</t>
  </si>
  <si>
    <t>aahmad@ups.com</t>
  </si>
  <si>
    <t>ayeshaahmad@ups.com</t>
  </si>
  <si>
    <t>bahmad@ups.com</t>
  </si>
  <si>
    <t>dahmad@ups.com</t>
  </si>
  <si>
    <t>faheemahmad@ups.com</t>
  </si>
  <si>
    <t>fahmad@ups.com</t>
  </si>
  <si>
    <t>afazil@ups.com</t>
  </si>
  <si>
    <t>iahmad@ups.com</t>
  </si>
  <si>
    <t>amohamedtahar@ups.com</t>
  </si>
  <si>
    <t>asaipulnizam@ups.com</t>
  </si>
  <si>
    <t>rohana.ahmad@ups.com</t>
  </si>
  <si>
    <t>sxahmad@ups.com</t>
  </si>
  <si>
    <t>sapuanahmad@ups.com</t>
  </si>
  <si>
    <t>sahmad@ups.com</t>
  </si>
  <si>
    <t>tahmad@ups.com</t>
  </si>
  <si>
    <t>wahmad@ups.com</t>
  </si>
  <si>
    <t>aahmadinajafabadi@ups.com</t>
  </si>
  <si>
    <t>ahmbrokerage@ups.com</t>
  </si>
  <si>
    <t>abdulahmed@ups.com</t>
  </si>
  <si>
    <t>abubakrahmed@ups.com</t>
  </si>
  <si>
    <t>aahmed@ups.com</t>
  </si>
  <si>
    <t>aftabahmed@ups.com</t>
  </si>
  <si>
    <t>alielsayedahmed@ups.com</t>
  </si>
  <si>
    <t>arifahmed@ups.com</t>
  </si>
  <si>
    <t>arshadahmed@ups.com</t>
  </si>
  <si>
    <t>iahmedbutt@ups.com</t>
  </si>
  <si>
    <t>emranahmed@ups.com</t>
  </si>
  <si>
    <t>fxahmed@ups.com</t>
  </si>
  <si>
    <t>fahmed@ups.com</t>
  </si>
  <si>
    <t>fatimaahmed@ups.com</t>
  </si>
  <si>
    <t>hahmed@ups.com</t>
  </si>
  <si>
    <t>aahmedhusseinmansour@ups.com</t>
  </si>
  <si>
    <t>ibtiahmed@ups.com</t>
  </si>
  <si>
    <t>imtiazahmed@ups.com</t>
  </si>
  <si>
    <t>iqbalahmed@ups.com</t>
  </si>
  <si>
    <t>iahmed@ups.com</t>
  </si>
  <si>
    <t>jahid.a@ups.com</t>
  </si>
  <si>
    <t>jamaahmed@ups.com</t>
  </si>
  <si>
    <t>jahmed1@ups.com</t>
  </si>
  <si>
    <t>jazeelahmed@ups.com</t>
  </si>
  <si>
    <t>jeylaniahmed@ups.com</t>
  </si>
  <si>
    <t>juniedahmed@ups.com</t>
  </si>
  <si>
    <t>mmahmed@ups.com</t>
  </si>
  <si>
    <t>maqsoodahmed@ups.com</t>
  </si>
  <si>
    <t>mahmed@ups.com</t>
  </si>
  <si>
    <t>mohammedghiyasahmed@ups.com</t>
  </si>
  <si>
    <t>mohammediqbalahmed@ups.com</t>
  </si>
  <si>
    <t>amoinuddin@ups.com</t>
  </si>
  <si>
    <t>mokhtarahmed@ups.com</t>
  </si>
  <si>
    <t>amubeen@ups.com</t>
  </si>
  <si>
    <t>munirahmed@ups.com</t>
  </si>
  <si>
    <t>ahmedmusa@ups.com</t>
  </si>
  <si>
    <t>rafiqahmed@ups.com</t>
  </si>
  <si>
    <t>rahmed@ups.com</t>
  </si>
  <si>
    <t>rajaahmed@ups.com</t>
  </si>
  <si>
    <t>saimaahmed@ups.com</t>
  </si>
  <si>
    <t>samirahmed@ups.com</t>
  </si>
  <si>
    <t>saniaahmed@ups.com</t>
  </si>
  <si>
    <t>sayedebrahimahmed@ups.com</t>
  </si>
  <si>
    <t>shafiqueahmed@ups.com</t>
  </si>
  <si>
    <t>shahekahmed@ups.com</t>
  </si>
  <si>
    <t>shahtazahmed@ups.com</t>
  </si>
  <si>
    <t>sahmed2@ups.com</t>
  </si>
  <si>
    <t>sheikhahmed@ups.com</t>
  </si>
  <si>
    <t>sifayathahmed@ups.com</t>
  </si>
  <si>
    <t>sumairahmed@ups.com</t>
  </si>
  <si>
    <t>sahmed@ups.com</t>
  </si>
  <si>
    <t>syedahmed@ups.com</t>
  </si>
  <si>
    <t>tahmed@ups.com</t>
  </si>
  <si>
    <t>thufaleahmed@ups.com</t>
  </si>
  <si>
    <t>waleedahmed@ups.com</t>
  </si>
  <si>
    <t>wahmed@ups.com</t>
  </si>
  <si>
    <t>zeshanahmed@ups.com</t>
  </si>
  <si>
    <t>zahmed@ups.com</t>
  </si>
  <si>
    <t>zubairahmed@ups.com</t>
  </si>
  <si>
    <t>ahmedabadops@ups.com</t>
  </si>
  <si>
    <t>dahmetspahic@ups.com</t>
  </si>
  <si>
    <t>mahmetspahic@ups.com</t>
  </si>
  <si>
    <t>abcahn@hyosung.com</t>
  </si>
  <si>
    <t>adongeun@ups.com</t>
  </si>
  <si>
    <t>mahnemann@ups.com</t>
  </si>
  <si>
    <t>dahner@ups.com</t>
  </si>
  <si>
    <t>lahokovi@ups.com</t>
  </si>
  <si>
    <t>raholelei@ups.com</t>
  </si>
  <si>
    <t>ahonen.paivi@ups.com</t>
  </si>
  <si>
    <t>jahrens@ups.com</t>
  </si>
  <si>
    <t>mahsam@ups.com</t>
  </si>
  <si>
    <t>mahsan@ups.com</t>
  </si>
  <si>
    <t>jahtava@ups.com</t>
  </si>
  <si>
    <t>ahughey@nwacourier.com</t>
  </si>
  <si>
    <t>aahuja@ups.com</t>
  </si>
  <si>
    <t>rahuka@ups.com</t>
  </si>
  <si>
    <t>marcoahumada@ups.com</t>
  </si>
  <si>
    <t>aahumadamartinez@ups.com</t>
  </si>
  <si>
    <t>bahuwan@ups.com</t>
  </si>
  <si>
    <t>auvarajan@ups.com</t>
  </si>
  <si>
    <t>ahillyard@futabaindiana.com</t>
  </si>
  <si>
    <t>amengqin@ups.com</t>
  </si>
  <si>
    <t>ashiyao@ups.com</t>
  </si>
  <si>
    <t>faiba@ups.com</t>
  </si>
  <si>
    <t>ahideki@ups.com</t>
  </si>
  <si>
    <t>baickelin@ups.com</t>
  </si>
  <si>
    <t>raicone@ups.com</t>
  </si>
  <si>
    <t>aida@oliviaandhenry.com</t>
  </si>
  <si>
    <t>ADIZON@HOMEWEARLINENS.COM</t>
  </si>
  <si>
    <t>aidakazuyo@ups.com</t>
  </si>
  <si>
    <t>akazuyo@ups.com</t>
  </si>
  <si>
    <t>oaideyan@ups.com</t>
  </si>
  <si>
    <t>aaiello@ups.com</t>
  </si>
  <si>
    <t>andreaaiello@ups.com</t>
  </si>
  <si>
    <t>ginaaiello@ups.com</t>
  </si>
  <si>
    <t>gaiello@ups.com</t>
  </si>
  <si>
    <t>johnaiello@ups.com</t>
  </si>
  <si>
    <t>naiello@ups.com</t>
  </si>
  <si>
    <t>paiello@ups.com</t>
  </si>
  <si>
    <t>elisabetaiezza@ups.com</t>
  </si>
  <si>
    <t>oaigbedion@ups.com</t>
  </si>
  <si>
    <t>oaigbogun@ups.com</t>
  </si>
  <si>
    <t>jaigner@ups.com</t>
  </si>
  <si>
    <t>maikawa@ups.com</t>
  </si>
  <si>
    <t>aikenaoteam2@ups.com</t>
  </si>
  <si>
    <t>baiken@ups.com</t>
  </si>
  <si>
    <t>aikenbta@ups.com</t>
  </si>
  <si>
    <t>caiken@ups.com</t>
  </si>
  <si>
    <t>daiken@ups.com</t>
  </si>
  <si>
    <t>aikendispatch@ups.com</t>
  </si>
  <si>
    <t>aikdtopening@ups.com</t>
  </si>
  <si>
    <t>aikenfda@ups.com</t>
  </si>
  <si>
    <t>aoaikprealerts@ups.com</t>
  </si>
  <si>
    <t>gaiken@ups.com</t>
  </si>
  <si>
    <t>aikhcfrt@ups.com</t>
  </si>
  <si>
    <t>matthewaiken@ups.com</t>
  </si>
  <si>
    <t>maiken@ups.com</t>
  </si>
  <si>
    <t>aiknsfrt1@ups.com</t>
  </si>
  <si>
    <t>aikenreynoldsteam@ups.com</t>
  </si>
  <si>
    <t>aikensmallparcelbrokerage@ups.com</t>
  </si>
  <si>
    <t>taiken@ups.com</t>
  </si>
  <si>
    <t>caiken-mcgee@ups.com</t>
  </si>
  <si>
    <t>maikey@ups.com</t>
  </si>
  <si>
    <t>aaikhionbare@ups.com</t>
  </si>
  <si>
    <t>eaikman@ups.com</t>
  </si>
  <si>
    <t>aildasani.mahesh@ups.com</t>
  </si>
  <si>
    <t>pailiff@ups.com</t>
  </si>
  <si>
    <t>Ailyn@datacapture.com.ph</t>
  </si>
  <si>
    <t>maimar@ups.com</t>
  </si>
  <si>
    <t>naimoni@ups.com</t>
  </si>
  <si>
    <t>amohd@ups.com</t>
  </si>
  <si>
    <t>aimsaudit@ups.com</t>
  </si>
  <si>
    <t>aimscontrol@ups.com</t>
  </si>
  <si>
    <t>aims@ups.com</t>
  </si>
  <si>
    <t>aimsau@ups.com</t>
  </si>
  <si>
    <t>baina@ups.com</t>
  </si>
  <si>
    <t>naina@ups.com</t>
  </si>
  <si>
    <t>oaina@ups.com</t>
  </si>
  <si>
    <t>jainapure@ups.com</t>
  </si>
  <si>
    <t>gainge@ups.com</t>
  </si>
  <si>
    <t>kainsley@ups.com</t>
  </si>
  <si>
    <t>dainsworth@upsstore.com</t>
  </si>
  <si>
    <t>eainsworth@ups.com</t>
  </si>
  <si>
    <t>kainsworth@ups.com</t>
  </si>
  <si>
    <t>waiona@ups.com</t>
  </si>
  <si>
    <t>jaiosa@ups.com</t>
  </si>
  <si>
    <t>raiple@ups.com</t>
  </si>
  <si>
    <t>cargobooking@ups.com</t>
  </si>
  <si>
    <t>acsccompliance@ups.com</t>
  </si>
  <si>
    <t>aircargoemailbook@ups.com</t>
  </si>
  <si>
    <t>aircargofeetransmittals@ups.com</t>
  </si>
  <si>
    <t>aircargosales@ups.com</t>
  </si>
  <si>
    <t>cargosales@ups.com</t>
  </si>
  <si>
    <t>cgosalestw@ups.com</t>
  </si>
  <si>
    <t>aircomm@ups.com</t>
  </si>
  <si>
    <t>airdistricthr@ups.com</t>
  </si>
  <si>
    <t>adroster@ups.com</t>
  </si>
  <si>
    <t>exportbookings@ups.com</t>
  </si>
  <si>
    <t>airexportcph@ups.com</t>
  </si>
  <si>
    <t>airexportpl@ups.com</t>
  </si>
  <si>
    <t>airfinanceandaccountinginterns@ups.com</t>
  </si>
  <si>
    <t>airfreight@tstate.com</t>
  </si>
  <si>
    <t>odqair@ups.com</t>
  </si>
  <si>
    <t>airfreightch@ups.com</t>
  </si>
  <si>
    <t>airwhsbe@ups.com</t>
  </si>
  <si>
    <t>agbenefit@ups.com</t>
  </si>
  <si>
    <t>airgroupemployeecomm@ups.com</t>
  </si>
  <si>
    <t>airgrouphr@ups.com</t>
  </si>
  <si>
    <t>airiesouthcal@ups.com</t>
  </si>
  <si>
    <t>airimportbookings@ups.com</t>
  </si>
  <si>
    <t>airimportcph@ups.com</t>
  </si>
  <si>
    <t>airimportpl@ups.com</t>
  </si>
  <si>
    <t>sainsburysbhx@ups.com</t>
  </si>
  <si>
    <t>amapsupport@ups.com</t>
  </si>
  <si>
    <t>airningbo@ups.com</t>
  </si>
  <si>
    <t>airpayroll@ups.com</t>
  </si>
  <si>
    <t>airregioncompensation@ups.com</t>
  </si>
  <si>
    <t>airregionhealthandsafety@ups.com</t>
  </si>
  <si>
    <t>upssdf@airbus.com</t>
  </si>
  <si>
    <t>SYN7QQJ@ups.com</t>
  </si>
  <si>
    <t>acmxnw@ups.com</t>
  </si>
  <si>
    <t>acmxpayroll@ups.com</t>
  </si>
  <si>
    <t>airfeedprealerts@ups.com</t>
  </si>
  <si>
    <t>airgroupmiscap@ups.com</t>
  </si>
  <si>
    <t>imports@cmcair.co.uk</t>
  </si>
  <si>
    <t>landfeedback@ups.com</t>
  </si>
  <si>
    <t>airlineemployment@ups.com</t>
  </si>
  <si>
    <t>afasupport@ups.com</t>
  </si>
  <si>
    <t>airlinefueling@ups.com</t>
  </si>
  <si>
    <t>aie@ups.com</t>
  </si>
  <si>
    <t>intlfin@ups.com</t>
  </si>
  <si>
    <t>als@ups.com</t>
  </si>
  <si>
    <t>airlinewarranty@ups.com</t>
  </si>
  <si>
    <t>AirLineCrewHDMbx@ups.com</t>
  </si>
  <si>
    <t>airlinemanuals@ups.com</t>
  </si>
  <si>
    <t>airljwm@air.ups.com</t>
  </si>
  <si>
    <t>airlllc@air.ups.com</t>
  </si>
  <si>
    <t>airlthd@air.ups.com</t>
  </si>
  <si>
    <t>mairo@ups.com</t>
  </si>
  <si>
    <t>nogar@ups.com</t>
  </si>
  <si>
    <t>airportproperties@ups.com</t>
  </si>
  <si>
    <t>5515027186@txt.att.net</t>
  </si>
  <si>
    <t>5022357585@txt.att.net</t>
  </si>
  <si>
    <t>5022357135@txt.att.net</t>
  </si>
  <si>
    <t>5022357128@txt.att.net</t>
  </si>
  <si>
    <t>airupsers@ups.com</t>
  </si>
  <si>
    <t>gaisbitt@ups.com</t>
  </si>
  <si>
    <t>iaisha@ups.com</t>
  </si>
  <si>
    <t>maispuro@ups.com</t>
  </si>
  <si>
    <t>yaissani@ups.com</t>
  </si>
  <si>
    <t>saissaoui@ups.com</t>
  </si>
  <si>
    <t>saisthorpe@ups.com</t>
  </si>
  <si>
    <t>eaisuebeogun@ups.com</t>
  </si>
  <si>
    <t>naitahcene@ups.com</t>
  </si>
  <si>
    <t>naitchttou@ups.com</t>
  </si>
  <si>
    <t>saitelhaj@ups.com</t>
  </si>
  <si>
    <t>maitlaydi@ups.com</t>
  </si>
  <si>
    <t>saitmansour@ups.com</t>
  </si>
  <si>
    <t>maitrahou@ups.com</t>
  </si>
  <si>
    <t>naitcheson@ups.com</t>
  </si>
  <si>
    <t>saitha@ups.com</t>
  </si>
  <si>
    <t>caitken@ups.com</t>
  </si>
  <si>
    <t>daitkins@iship.com</t>
  </si>
  <si>
    <t>laivatzidis@ups.com</t>
  </si>
  <si>
    <t>kaiyub@ups.com</t>
  </si>
  <si>
    <t>oajaegbu@ups.com</t>
  </si>
  <si>
    <t>tajani@ups.com</t>
  </si>
  <si>
    <t>aajavon@ups.com</t>
  </si>
  <si>
    <t>sylvestreajavon@ups.com</t>
  </si>
  <si>
    <t>akumarsingh@ups.com</t>
  </si>
  <si>
    <t>aajayi@ups.com</t>
  </si>
  <si>
    <t>eajayi@ups.com</t>
  </si>
  <si>
    <t>fajayi@ups.com</t>
  </si>
  <si>
    <t>majayi@ups.com</t>
  </si>
  <si>
    <t>majdacic@ups.com</t>
  </si>
  <si>
    <t>zajdini@ups.com</t>
  </si>
  <si>
    <t>aajello@ups.com</t>
  </si>
  <si>
    <t>xajeti@ups.com</t>
  </si>
  <si>
    <t>aaji@ups.com</t>
  </si>
  <si>
    <t>aajikumar@ups.com</t>
  </si>
  <si>
    <t>duncanajiboye@ups.com</t>
  </si>
  <si>
    <t>rajili@ups.com</t>
  </si>
  <si>
    <t>oajilo@ups.com</t>
  </si>
  <si>
    <t>tajith@ups.com</t>
  </si>
  <si>
    <t>jajmal@ups.com</t>
  </si>
  <si>
    <t>dajmera@ups.com</t>
  </si>
  <si>
    <t>gajmire@ups.com</t>
  </si>
  <si>
    <t>cajomiwe@ups.com</t>
  </si>
  <si>
    <t>sajouaou@ups.com</t>
  </si>
  <si>
    <t>sajuria@ups.com</t>
  </si>
  <si>
    <t>rajxup@ups.com</t>
  </si>
  <si>
    <t>ancdocoffice@ups.com</t>
  </si>
  <si>
    <t>kak@ups.com</t>
  </si>
  <si>
    <t>murat.ak@europe.ups.com</t>
  </si>
  <si>
    <t>mak@ups.com</t>
  </si>
  <si>
    <t>baka@ups.com</t>
  </si>
  <si>
    <t>oakabey@ups.com</t>
  </si>
  <si>
    <t>nakabi@ups.com</t>
  </si>
  <si>
    <t>aakachar@ups.com</t>
  </si>
  <si>
    <t>akagi.gary@ups.com</t>
  </si>
  <si>
    <t>FRA2CXA@europe.ups.com</t>
  </si>
  <si>
    <t>sakakpomartin@ups.com</t>
  </si>
  <si>
    <t>rakalski@ups.com</t>
  </si>
  <si>
    <t>ufku.akaltan@europe.ups.com</t>
  </si>
  <si>
    <t>eakan@ups.com</t>
  </si>
  <si>
    <t>takan@ups.com</t>
  </si>
  <si>
    <t>aakana@ups.com</t>
  </si>
  <si>
    <t>lakana@ups.com</t>
  </si>
  <si>
    <t>fakandouch@ups.com</t>
  </si>
  <si>
    <t>jakanni@ups.com</t>
  </si>
  <si>
    <t>pakanni@ups.com</t>
  </si>
  <si>
    <t>uakar@ups.com</t>
  </si>
  <si>
    <t>dakarca@ups.com</t>
  </si>
  <si>
    <t>makard@ups.com</t>
  </si>
  <si>
    <t>aakarsu@ups.com</t>
  </si>
  <si>
    <t>akashamit@ups.com</t>
  </si>
  <si>
    <t>kakash@ups.com</t>
  </si>
  <si>
    <t>aakason@ups.com</t>
  </si>
  <si>
    <t>sarithaakavaram@ups.com</t>
  </si>
  <si>
    <t>vakavaram@ups.com</t>
  </si>
  <si>
    <t>yakaychouh@ups.com</t>
  </si>
  <si>
    <t>amasami@ups.com</t>
  </si>
  <si>
    <t>lakbar@ups.com</t>
  </si>
  <si>
    <t>makbar@ups.com</t>
  </si>
  <si>
    <t>oakbar@ups.com</t>
  </si>
  <si>
    <t>sakbar@ups.com</t>
  </si>
  <si>
    <t>saeedakbar@ups.com</t>
  </si>
  <si>
    <t>eakbari@ups.com</t>
  </si>
  <si>
    <t>dakbarov@ups.com</t>
  </si>
  <si>
    <t>bakbas@ups.com</t>
  </si>
  <si>
    <t>sakbas@ups.com</t>
  </si>
  <si>
    <t>ahmed.akbulut@europe.ups.com</t>
  </si>
  <si>
    <t>eakcam@ups.com</t>
  </si>
  <si>
    <t>aakcay@ups.com</t>
  </si>
  <si>
    <t>makcay@ups.com</t>
  </si>
  <si>
    <t>zakchat@ups.com</t>
  </si>
  <si>
    <t>hakci@ups.com</t>
  </si>
  <si>
    <t>bakdas@ups.com</t>
  </si>
  <si>
    <t>cakdogan@ups.com</t>
  </si>
  <si>
    <t>dakdogan@ups.com</t>
  </si>
  <si>
    <t>nakeb@ups.com</t>
  </si>
  <si>
    <t>jakeo@ups.com</t>
  </si>
  <si>
    <t>makerblom@ups.com</t>
  </si>
  <si>
    <t>jakerelrea@ups.com</t>
  </si>
  <si>
    <t>eakers@ups.com</t>
  </si>
  <si>
    <t>gakers@ups.com</t>
  </si>
  <si>
    <t>jeffakers@ups.com</t>
  </si>
  <si>
    <t>jimmyakers@ups.com</t>
  </si>
  <si>
    <t>jakers@ups.com</t>
  </si>
  <si>
    <t>makers@ups.com</t>
  </si>
  <si>
    <t>nakers@ups.com</t>
  </si>
  <si>
    <t>tlakers@ups.com</t>
  </si>
  <si>
    <t>takers@ups.com</t>
  </si>
  <si>
    <t>rakerstrom@ups.com</t>
  </si>
  <si>
    <t>oakesson@ups.com</t>
  </si>
  <si>
    <t>aoukid@ups.com</t>
  </si>
  <si>
    <t>nakewanlope@ups.com</t>
  </si>
  <si>
    <t>eakey@ups.com</t>
  </si>
  <si>
    <t>jakey@ups.com</t>
  </si>
  <si>
    <t>ahmetakgun@ups.com</t>
  </si>
  <si>
    <t>makhand@ups.com</t>
  </si>
  <si>
    <t>makhideno@ups.com</t>
  </si>
  <si>
    <t>aakhmetov@ups.com</t>
  </si>
  <si>
    <t>nakhmetova@ups.com</t>
  </si>
  <si>
    <t>iakhtar@ups.com</t>
  </si>
  <si>
    <t>mo.akhtar@europe.ups.com</t>
  </si>
  <si>
    <t>wakhtar@ups.com</t>
  </si>
  <si>
    <t>aatia@ups.com</t>
  </si>
  <si>
    <t>eakhter@ups.com</t>
  </si>
  <si>
    <t>ehsanakhter@ups.com</t>
  </si>
  <si>
    <t>kakhund@ups.com</t>
  </si>
  <si>
    <t>ikejiri@izawa-america.com</t>
  </si>
  <si>
    <t>areggie@ups.com</t>
  </si>
  <si>
    <t>abarker@asmo-na.com</t>
  </si>
  <si>
    <t>akiko_tarman@acushnetgolf.com</t>
  </si>
  <si>
    <t>ali.akil@europe.ups.com</t>
  </si>
  <si>
    <t>eakil@ups.com</t>
  </si>
  <si>
    <t>jakil@ups.com</t>
  </si>
  <si>
    <t>lakilan@ups.com</t>
  </si>
  <si>
    <t>dakileng@ups.com</t>
  </si>
  <si>
    <t>eakimana@ups.com</t>
  </si>
  <si>
    <t>atakashi@ups.com</t>
  </si>
  <si>
    <t>cakimseu@ups.com</t>
  </si>
  <si>
    <t>dakin@ups.com</t>
  </si>
  <si>
    <t>makin@ups.com</t>
  </si>
  <si>
    <t>rakin@ups.com</t>
  </si>
  <si>
    <t>oakinbola@ups.com</t>
  </si>
  <si>
    <t>aakinci@ups.com</t>
  </si>
  <si>
    <t>makinci@ups.com</t>
  </si>
  <si>
    <t>davidakindeko@ups.com</t>
  </si>
  <si>
    <t>nakinmolayan@ups.com</t>
  </si>
  <si>
    <t>aakins@ups.com</t>
  </si>
  <si>
    <t>dakins@ups.com</t>
  </si>
  <si>
    <t>kakins@ups.com</t>
  </si>
  <si>
    <t>makins@ups.com</t>
  </si>
  <si>
    <t>princeakins@ups.com</t>
  </si>
  <si>
    <t>rakins@ups.com</t>
  </si>
  <si>
    <t>sakins@ups.com</t>
  </si>
  <si>
    <t>wakins@ups.com</t>
  </si>
  <si>
    <t>oakintola@ups.com</t>
  </si>
  <si>
    <t>oakintunde@ups.com</t>
  </si>
  <si>
    <t>sundayakinwande@ups.com</t>
  </si>
  <si>
    <t>jakinyele@ups.com</t>
  </si>
  <si>
    <t>kakinyemi@ups.com</t>
  </si>
  <si>
    <t>ayoshizaki@ioten.com</t>
  </si>
  <si>
    <t>kakita@ups.com</t>
  </si>
  <si>
    <t>ashuichiro@ups.com</t>
  </si>
  <si>
    <t>makkari@ups.com</t>
  </si>
  <si>
    <t>nakkasali@ups.com</t>
  </si>
  <si>
    <t>hakkas@ups.com</t>
  </si>
  <si>
    <t>aakkaya@ups.com</t>
  </si>
  <si>
    <t>attakhanakkaya@ups.com</t>
  </si>
  <si>
    <t>oakkaymak@ups.com</t>
  </si>
  <si>
    <t>denizakkirman@ups.com</t>
  </si>
  <si>
    <t>Murat.Akkol@uni-data.de</t>
  </si>
  <si>
    <t>dakkoyun@ups.com</t>
  </si>
  <si>
    <t>fakkus@ups.com</t>
  </si>
  <si>
    <t>makkus@ups.com</t>
  </si>
  <si>
    <t>jako@ups.com</t>
  </si>
  <si>
    <t>apratiksha@ups.com</t>
  </si>
  <si>
    <t>bakoman@ups.com</t>
  </si>
  <si>
    <t>EUR8SGA@europe.ups.com</t>
  </si>
  <si>
    <t>kakomolede@ups.com</t>
  </si>
  <si>
    <t>aafsana@ups.com</t>
  </si>
  <si>
    <t>akornorders@ups.com</t>
  </si>
  <si>
    <t>kakpinar@ups.com</t>
  </si>
  <si>
    <t>takpoborie@ups.com</t>
  </si>
  <si>
    <t>mohammedakram@ups.com</t>
  </si>
  <si>
    <t>takram@ups.com</t>
  </si>
  <si>
    <t>wasimakram@ups.com</t>
  </si>
  <si>
    <t>makramy@ups.com</t>
  </si>
  <si>
    <t>makrari@ups.com</t>
  </si>
  <si>
    <t>kakren@ups.com</t>
  </si>
  <si>
    <t>aakridge@ups.com</t>
  </si>
  <si>
    <t>melodyakridge@ups.com</t>
  </si>
  <si>
    <t>pakridge@ups.com</t>
  </si>
  <si>
    <t>akrmantomas@ups.com</t>
  </si>
  <si>
    <t>akruvi@indgousa.com</t>
  </si>
  <si>
    <t>maksahin@ups.com</t>
  </si>
  <si>
    <t>oaksahin@ups.com</t>
  </si>
  <si>
    <t>daksamovic@ups.com</t>
  </si>
  <si>
    <t>raksic@ups.com</t>
  </si>
  <si>
    <t>daksoy@ups.com</t>
  </si>
  <si>
    <t>eaksoy@ups.com</t>
  </si>
  <si>
    <t>gaksoy@ups.com</t>
  </si>
  <si>
    <t>aaksu@ups.com</t>
  </si>
  <si>
    <t>aaksu1@ups.com</t>
  </si>
  <si>
    <t>maksu@ups.com</t>
  </si>
  <si>
    <t>topkapimurataksu@ups.com</t>
  </si>
  <si>
    <t>O.Aksenova@europe.ups.com</t>
  </si>
  <si>
    <t>aaktakas@ups.com</t>
  </si>
  <si>
    <t>yaktan@ups.com</t>
  </si>
  <si>
    <t>eaktar@ups.com</t>
  </si>
  <si>
    <t>fakten@ups.com</t>
  </si>
  <si>
    <t>maktepe@ups.com</t>
  </si>
  <si>
    <t>takter@ups.com</t>
  </si>
  <si>
    <t>nakturk@ups.com</t>
  </si>
  <si>
    <t>abdelakuauch@ups.com</t>
  </si>
  <si>
    <t>kakumuo@ups.com</t>
  </si>
  <si>
    <t>akutjannelyn@ups.com</t>
  </si>
  <si>
    <t>gilbert.akwei@europe.ups.com</t>
  </si>
  <si>
    <t>serdarakyildiz@ups.com</t>
  </si>
  <si>
    <t>oakyol@ups.com</t>
  </si>
  <si>
    <t>asaiman@ups.com</t>
  </si>
  <si>
    <t>engin.akyuez@europe.ups.com</t>
  </si>
  <si>
    <t>ersin.akyuez@europe.ups.com</t>
  </si>
  <si>
    <t>kerem.akyuez@europe.ups.com</t>
  </si>
  <si>
    <t>oakyuz@ups.com</t>
  </si>
  <si>
    <t>malachach@ups.com</t>
  </si>
  <si>
    <t>alaaal@ups.com</t>
  </si>
  <si>
    <t>aalanbaki@ups.com</t>
  </si>
  <si>
    <t>alarulananthamsathianathan@ups.com</t>
  </si>
  <si>
    <t>talaseeri@ups.com</t>
  </si>
  <si>
    <t>mohammadalassaf@ups.com</t>
  </si>
  <si>
    <t>malazouli@ups.com</t>
  </si>
  <si>
    <t>malbahrani@ups.com</t>
  </si>
  <si>
    <t>kalbalushi@ups.com</t>
  </si>
  <si>
    <t>galbriefkani@ups.com</t>
  </si>
  <si>
    <t>Al_coughlan@canadacartage.com</t>
  </si>
  <si>
    <t>galgharbi@ups.com</t>
  </si>
  <si>
    <t>algunasegaranarun@ups.com</t>
  </si>
  <si>
    <t>malhajsharif@ups.com</t>
  </si>
  <si>
    <t>salhajri@ups.com</t>
  </si>
  <si>
    <t>aalhanen@ups.com</t>
  </si>
  <si>
    <t>ealhaq@ups.com</t>
  </si>
  <si>
    <t>malharbi@ups.com</t>
  </si>
  <si>
    <t>aalhashemi@ups.com</t>
  </si>
  <si>
    <t>walhijari@ups.com</t>
  </si>
  <si>
    <t>jalhinai@ups.com</t>
  </si>
  <si>
    <t>ali.alhrasheh@europe.ups.com</t>
  </si>
  <si>
    <t>salissa@ups.com</t>
  </si>
  <si>
    <t>aaljabari@ups.com</t>
  </si>
  <si>
    <t>raljunaini@ups.com</t>
  </si>
  <si>
    <t>calkilani@ups.com</t>
  </si>
  <si>
    <t>amohanraj@ups.com</t>
  </si>
  <si>
    <t>malmalki@ups.com</t>
  </si>
  <si>
    <t>balmasoud@ups.com</t>
  </si>
  <si>
    <t>zainalnajjar@ups.com</t>
  </si>
  <si>
    <t>salnofair@ups.com</t>
  </si>
  <si>
    <t>malnofli@ups.com</t>
  </si>
  <si>
    <t>haloraifi@ups.com</t>
  </si>
  <si>
    <t>aalosaimi@ups.com</t>
  </si>
  <si>
    <t>aalrahbi@ups.com</t>
  </si>
  <si>
    <t>amuralrahbi@ups.com</t>
  </si>
  <si>
    <t>asatthis@ups.com</t>
  </si>
  <si>
    <t>nalrasbi@ups.com</t>
  </si>
  <si>
    <t>malrawahi@ups.com</t>
  </si>
  <si>
    <t>aalrumhi@ups.com</t>
  </si>
  <si>
    <t>aganeshan@ups.com</t>
  </si>
  <si>
    <t>lalsaati@ups.com</t>
  </si>
  <si>
    <t>aalsabhan@ups.com</t>
  </si>
  <si>
    <t>abalasubramaniam@ups.com</t>
  </si>
  <si>
    <t>aalsayed@ups.com</t>
  </si>
  <si>
    <t>salshaikh@ups.com</t>
  </si>
  <si>
    <t>ebtesamalshamma@ups.com</t>
  </si>
  <si>
    <t>talsidchikh@ups.com</t>
  </si>
  <si>
    <t>adarryljason@ups.com</t>
  </si>
  <si>
    <t>yaltayab@ups.com</t>
  </si>
  <si>
    <t>aaltayebali@ups.com</t>
  </si>
  <si>
    <t>oaltayyar@ups.com</t>
  </si>
  <si>
    <t>dalabakoff@ups.com</t>
  </si>
  <si>
    <t>alabangapcostingteam@ups.com</t>
  </si>
  <si>
    <t>alabangpaymentsteam@ups.com</t>
  </si>
  <si>
    <t>alabangscsapteam@ups.com</t>
  </si>
  <si>
    <t>alabangspapteam@ups.com</t>
  </si>
  <si>
    <t>agianbrandon@ups.com</t>
  </si>
  <si>
    <t>aalabdulaziz@ups.com</t>
  </si>
  <si>
    <t>dalabduljaleel@ups.com</t>
  </si>
  <si>
    <t>palabi@ups.com</t>
  </si>
  <si>
    <t>baladesuyi@ups.com</t>
  </si>
  <si>
    <t>maladnani@ups.com</t>
  </si>
  <si>
    <t>saladwan@ups.com</t>
  </si>
  <si>
    <t>asheena@ups.com</t>
  </si>
  <si>
    <t>ajoycel@ups.com</t>
  </si>
  <si>
    <t>asittiekhairiya@ups.com</t>
  </si>
  <si>
    <t>yalagha@ups.com</t>
  </si>
  <si>
    <t>malagic@ups.com</t>
  </si>
  <si>
    <t>malagna@ups.com</t>
  </si>
  <si>
    <t>jalagunahernandez@ups.com</t>
  </si>
  <si>
    <t>aalahari@ups.com</t>
  </si>
  <si>
    <t>ralahmari@ups.com</t>
  </si>
  <si>
    <t>palain@ups.com</t>
  </si>
  <si>
    <t>Alaina_Clark@canadacartage.com</t>
  </si>
  <si>
    <t>aalaka@ups.com</t>
  </si>
  <si>
    <t>falakji@ups.com</t>
  </si>
  <si>
    <t>ralakson@ups.com</t>
  </si>
  <si>
    <t>nalam@ups.com</t>
  </si>
  <si>
    <t>malamsiddiqui@ups.com</t>
  </si>
  <si>
    <t>talam@ups.com</t>
  </si>
  <si>
    <t>zalam@ups.com</t>
  </si>
  <si>
    <t>balamako@ups.com</t>
  </si>
  <si>
    <t>acarla@ups.com</t>
  </si>
  <si>
    <t>oalamiabouhafs@ups.com</t>
  </si>
  <si>
    <t>nalamin@ups.com</t>
  </si>
  <si>
    <t>asheryll@ups.com</t>
  </si>
  <si>
    <t>palamwar@ups.com</t>
  </si>
  <si>
    <t>aatard@mal.com</t>
  </si>
  <si>
    <t>Abowers31@gmail.com</t>
  </si>
  <si>
    <t>balan@ups.com</t>
  </si>
  <si>
    <t>aerickson@westerntimber.com</t>
  </si>
  <si>
    <t>alangershenhornoffice@ups.com</t>
  </si>
  <si>
    <t>amalak@lang.com</t>
  </si>
  <si>
    <t>alan@cajunboy.net</t>
  </si>
  <si>
    <t>alan.wei@ups.com</t>
  </si>
  <si>
    <t>alanyeoh@ups.com</t>
  </si>
  <si>
    <t>alan.grey@qualxserv.net</t>
  </si>
  <si>
    <t>alizajane@ups.com</t>
  </si>
  <si>
    <t>aalanis@ups.com</t>
  </si>
  <si>
    <t>calanis@ups.com</t>
  </si>
  <si>
    <t>aalaniz@ups.com</t>
  </si>
  <si>
    <t>lalaniz@ups.com</t>
  </si>
  <si>
    <t>malanocacondori@ups.com</t>
  </si>
  <si>
    <t>malaoui@ups.com</t>
  </si>
  <si>
    <t>jalapatt@ups.com</t>
  </si>
  <si>
    <t>salaqqad@ups.com</t>
  </si>
  <si>
    <t>oalarape@ups.com</t>
  </si>
  <si>
    <t>jalarconamador@ups.com</t>
  </si>
  <si>
    <t>ealarcon@ups.com</t>
  </si>
  <si>
    <t>ericalarcon@ups.com</t>
  </si>
  <si>
    <t>erikalarcon@ups.com</t>
  </si>
  <si>
    <t>faberalarcon@ups.com</t>
  </si>
  <si>
    <t>falarcon@ups.com</t>
  </si>
  <si>
    <t>aglessa@ups.com</t>
  </si>
  <si>
    <t>jalarcon1@ups.com</t>
  </si>
  <si>
    <t>josealarcon@ups.com</t>
  </si>
  <si>
    <t>GCK0LYY@ups.com</t>
  </si>
  <si>
    <t>kalarcon@ups.com</t>
  </si>
  <si>
    <t>malarcon@ups.com</t>
  </si>
  <si>
    <t>aalarconpiedrahita@ups.com</t>
  </si>
  <si>
    <t>talarcon@ups.com</t>
  </si>
  <si>
    <t>Alaris_FSL_@kodakalaris.com</t>
  </si>
  <si>
    <t>aalashiri@ups.com</t>
  </si>
  <si>
    <t>alaskaodc9969d@ups.com</t>
  </si>
  <si>
    <t>lalassauma@ups.com</t>
  </si>
  <si>
    <t>alastair.glass@7c.net</t>
  </si>
  <si>
    <t>ralati@ups.com</t>
  </si>
  <si>
    <t>talati@ups.com</t>
  </si>
  <si>
    <t>malatini@ups.com</t>
  </si>
  <si>
    <t>ealatorre@ups.com</t>
  </si>
  <si>
    <t>nalavala@ups.com</t>
  </si>
  <si>
    <t>asantosh@ups.com</t>
  </si>
  <si>
    <t>salaverntian@ups.com</t>
  </si>
  <si>
    <t>ruben.alavez@ups.com</t>
  </si>
  <si>
    <t>malavi@ups.com</t>
  </si>
  <si>
    <t>yalawaji@ups.com</t>
  </si>
  <si>
    <t>falawi@ups.com</t>
  </si>
  <si>
    <t>alawiyah.siti@ups.com</t>
  </si>
  <si>
    <t>aalawneh@ups.com</t>
  </si>
  <si>
    <t>zalayan@ups.com</t>
  </si>
  <si>
    <t>balayon@ups.com</t>
  </si>
  <si>
    <t>aalba@ups.com</t>
  </si>
  <si>
    <t>calba@ups.com</t>
  </si>
  <si>
    <t>fredrickalbajr@ups.com</t>
  </si>
  <si>
    <t>avismark@ups.com</t>
  </si>
  <si>
    <t>aalbader@ups.com</t>
  </si>
  <si>
    <t>aalballero@ups.com</t>
  </si>
  <si>
    <t>aalbalushi@ups.com</t>
  </si>
  <si>
    <t>kalbanfreire@ups.com</t>
  </si>
  <si>
    <t>jalban@ups.com</t>
  </si>
  <si>
    <t>aalbanes@ups.com</t>
  </si>
  <si>
    <t>marcalbanese@ups.com</t>
  </si>
  <si>
    <t>salbanese@ups.com</t>
  </si>
  <si>
    <t>cristina.albani@europe.ups.com</t>
  </si>
  <si>
    <t>alcustsvc@ups.com</t>
  </si>
  <si>
    <t>talbanidis@ups.com</t>
  </si>
  <si>
    <t>albanygateway@ups.com</t>
  </si>
  <si>
    <t>jalbarati@ups.com</t>
  </si>
  <si>
    <t>salbarico@ups.com</t>
  </si>
  <si>
    <t>jemaalbarran@ups.com</t>
  </si>
  <si>
    <t>jalbarran@ups.com</t>
  </si>
  <si>
    <t>nalbaum@ups.com</t>
  </si>
  <si>
    <t>balbayrak@ups.com</t>
  </si>
  <si>
    <t>iris.albelo@ups.com</t>
  </si>
  <si>
    <t>valbelo@ups.com</t>
  </si>
  <si>
    <t>amarkemerson@ups.com</t>
  </si>
  <si>
    <t>aalber@ups.com</t>
  </si>
  <si>
    <t>ralber@ups.com</t>
  </si>
  <si>
    <t>aalberico@ups.com</t>
  </si>
  <si>
    <t>malberni@ups.com</t>
  </si>
  <si>
    <t>jalbers@ups.com</t>
  </si>
  <si>
    <t>talbers@ups.com</t>
  </si>
  <si>
    <t>toddalbers@ups.com</t>
  </si>
  <si>
    <t>alexalbert@ups.com</t>
  </si>
  <si>
    <t>ashleyalbert@ups.com</t>
  </si>
  <si>
    <t>balbert@ups.com</t>
  </si>
  <si>
    <t>christian.albert@europe.ups.com</t>
  </si>
  <si>
    <t>calbert@ups.com</t>
  </si>
  <si>
    <t>ealbert@ups.com</t>
  </si>
  <si>
    <t>afrarye@ups.com</t>
  </si>
  <si>
    <t>gabrielealbert@ups.com</t>
  </si>
  <si>
    <t>galbert@ups.com</t>
  </si>
  <si>
    <t>georgealbert@ups.com</t>
  </si>
  <si>
    <t>kalbert@ups.com</t>
  </si>
  <si>
    <t>kylealbert@ups.com</t>
  </si>
  <si>
    <t>mnalbdmp@ups.com</t>
  </si>
  <si>
    <t>lalbert@ups.com</t>
  </si>
  <si>
    <t>philipalbert@ups.com</t>
  </si>
  <si>
    <t>ralbert@ups.com</t>
  </si>
  <si>
    <t>sbalbert@ups.com</t>
  </si>
  <si>
    <t>salbert@ups.com</t>
  </si>
  <si>
    <t>albert.tsao@capricemotion.com</t>
  </si>
  <si>
    <t>albert@tracha.com</t>
  </si>
  <si>
    <t>albertajobs@ups.com</t>
  </si>
  <si>
    <t>ealbertazzi@ups.com</t>
  </si>
  <si>
    <t>valberteris@ups.com</t>
  </si>
  <si>
    <t>alexeialberti@ups.com</t>
  </si>
  <si>
    <t>aalberti@ups.com</t>
  </si>
  <si>
    <t>ialberticastillo@ups.com</t>
  </si>
  <si>
    <t>ingrid.alberti@europe.ups.com</t>
  </si>
  <si>
    <t>malbertin@ups.com</t>
  </si>
  <si>
    <t>alessandroalbertini@ups.com</t>
  </si>
  <si>
    <t>palbertini@ups.com</t>
  </si>
  <si>
    <t>malbertino@ups.com</t>
  </si>
  <si>
    <t>malberts@ups.com</t>
  </si>
  <si>
    <t>talberts@ups.com</t>
  </si>
  <si>
    <t>dpalbertsen@ups.com</t>
  </si>
  <si>
    <t>ralbertsen@ups.com</t>
  </si>
  <si>
    <t>aalbertson@ups.com</t>
  </si>
  <si>
    <t>galbertson@ups.com</t>
  </si>
  <si>
    <t>jalbertson@ups.com</t>
  </si>
  <si>
    <t>malbertson@ups.com</t>
  </si>
  <si>
    <t>achelliemae@ups.com</t>
  </si>
  <si>
    <t>salbin@ups.com</t>
  </si>
  <si>
    <t>ralbinda@ups.com</t>
  </si>
  <si>
    <t>ralbinger@ups.com</t>
  </si>
  <si>
    <t>calbino@ups.com</t>
  </si>
  <si>
    <t>kalbino@ups.com</t>
  </si>
  <si>
    <t>FRA1FTA@europe.ups.com</t>
  </si>
  <si>
    <t>jalbornoz@ups.com</t>
  </si>
  <si>
    <t>nalbouchi@ups.com</t>
  </si>
  <si>
    <t>malbracht@ups.com</t>
  </si>
  <si>
    <t>balbrecht@ups.com</t>
  </si>
  <si>
    <t>christian.albrecht@europe.ups.com</t>
  </si>
  <si>
    <t>debbiealbrecht@ups.com</t>
  </si>
  <si>
    <t>dralbrecht@ups.com</t>
  </si>
  <si>
    <t>ealbrecht@ups.com</t>
  </si>
  <si>
    <t>frank.albrecht@europe.ups.com</t>
  </si>
  <si>
    <t>jalbrecht@ups.com</t>
  </si>
  <si>
    <t>karl-heinz.albrecht@europe.ups.com</t>
  </si>
  <si>
    <t>kalbrecht@ups.com</t>
  </si>
  <si>
    <t>lalbrecht@ups.com</t>
  </si>
  <si>
    <t>maalbrecht@ups.com</t>
  </si>
  <si>
    <t>nadin.albrecht@europe.ups.com</t>
  </si>
  <si>
    <t>sandraalbrecht@ups.com</t>
  </si>
  <si>
    <t>scottalbrecht@ups.com</t>
  </si>
  <si>
    <t>salbrecht@ups.com</t>
  </si>
  <si>
    <t>balbright@ups.com</t>
  </si>
  <si>
    <t>clalbright@ups.com</t>
  </si>
  <si>
    <t>dalbright@ups.com</t>
  </si>
  <si>
    <t>deaunzaalbright@ups.com</t>
  </si>
  <si>
    <t>halbright@ups.com</t>
  </si>
  <si>
    <t>kalbright@ups.com</t>
  </si>
  <si>
    <t>kylealbright@ups.com</t>
  </si>
  <si>
    <t>lalbright@ups.com</t>
  </si>
  <si>
    <t>malbright@ups.com</t>
  </si>
  <si>
    <t>salbrite@ups.com</t>
  </si>
  <si>
    <t>galbritton@ups.com</t>
  </si>
  <si>
    <t>talbritton@ups.com</t>
  </si>
  <si>
    <t>zalbritton@ups.com</t>
  </si>
  <si>
    <t>galbrot@ups.com</t>
  </si>
  <si>
    <t>falbuquerque@ups.com</t>
  </si>
  <si>
    <t>givaldo.albuquerque@ups.com</t>
  </si>
  <si>
    <t>michaelholt@5053419350</t>
  </si>
  <si>
    <t>falcaide@ups.com</t>
  </si>
  <si>
    <t>nalcainomunoz@ups.com</t>
  </si>
  <si>
    <t>dalcala@ups.com</t>
  </si>
  <si>
    <t>galcala@ups.com</t>
  </si>
  <si>
    <t>jalcala@ups.com</t>
  </si>
  <si>
    <t>joseangelalcala@ups.com</t>
  </si>
  <si>
    <t>lalcala@ups.com</t>
  </si>
  <si>
    <t>michellealcala@ups.com</t>
  </si>
  <si>
    <t>malcala@ups.com</t>
  </si>
  <si>
    <t>natashaalcala@ups.com</t>
  </si>
  <si>
    <t>palcala@ups.com</t>
  </si>
  <si>
    <t>luis-maria.alcalde@europe.ups.com</t>
  </si>
  <si>
    <t>raquel.alcalde@europe.ups.com</t>
  </si>
  <si>
    <t>ealcan@ups.com</t>
  </si>
  <si>
    <t>ealcantar@ups.com</t>
  </si>
  <si>
    <t>ialcantar@ups.com</t>
  </si>
  <si>
    <t>lalcantar@ups.com</t>
  </si>
  <si>
    <t>ralcantar@ups.com</t>
  </si>
  <si>
    <t>salcantar@ups.com</t>
  </si>
  <si>
    <t>ajunior@ups.com</t>
  </si>
  <si>
    <t>alcantarakristian@ups.com</t>
  </si>
  <si>
    <t>lalcantara@ups.com</t>
  </si>
  <si>
    <t>malcantara@ups.com</t>
  </si>
  <si>
    <t>marielmargaritaalcantara@ups.com</t>
  </si>
  <si>
    <t>ialcantaramontano@ups.com</t>
  </si>
  <si>
    <t>jalcantarasanchez@ups.com</t>
  </si>
  <si>
    <t>ealcaraz@ups.com</t>
  </si>
  <si>
    <t>josealcaraz@ups.com</t>
  </si>
  <si>
    <t>ajossel@ups.com</t>
  </si>
  <si>
    <t>jalcaraz@ups.com</t>
  </si>
  <si>
    <t>valcaraz@ups.com</t>
  </si>
  <si>
    <t>falcarez@ups.com</t>
  </si>
  <si>
    <t>malcarez@ups.com</t>
  </si>
  <si>
    <t>malchalati@ups.com</t>
  </si>
  <si>
    <t>jalchorne@ups.com</t>
  </si>
  <si>
    <t>ralcibar@ups.com</t>
  </si>
  <si>
    <t>calcindor@ups.com</t>
  </si>
  <si>
    <t>kalcindor@ups.com</t>
  </si>
  <si>
    <t>jalcobendas@ups.com</t>
  </si>
  <si>
    <t>jaimealcocer@ups.com</t>
  </si>
  <si>
    <t>robertoalcon@ups.com</t>
  </si>
  <si>
    <t>asherlyn@ups.com</t>
  </si>
  <si>
    <t>btalcorn@ups.com</t>
  </si>
  <si>
    <t>ealcorn@ups.com</t>
  </si>
  <si>
    <t>lalcorn@ups.com</t>
  </si>
  <si>
    <t>oalcorn@ups.com</t>
  </si>
  <si>
    <t>akaren@ups.com</t>
  </si>
  <si>
    <t>jennyalcott@ups.com</t>
  </si>
  <si>
    <t>ricardo.alcubierre@ups.com</t>
  </si>
  <si>
    <t>adodgepatrick@ups.com</t>
  </si>
  <si>
    <t>myrna.aldaba@ups.com</t>
  </si>
  <si>
    <t>ealdaco@ups.com</t>
  </si>
  <si>
    <t>caldana@ups.com</t>
  </si>
  <si>
    <t>galdana@ups.com</t>
  </si>
  <si>
    <t>saldana@ups.com</t>
  </si>
  <si>
    <t>raldanatorres@ups.com</t>
  </si>
  <si>
    <t>jaldapa@ups.com</t>
  </si>
  <si>
    <t>caldape@ups.com</t>
  </si>
  <si>
    <t>saldape@ups.com</t>
  </si>
  <si>
    <t>lgaldarondo@ups.com</t>
  </si>
  <si>
    <t>saldaylam@ups.com</t>
  </si>
  <si>
    <t>saldaz@ups.com</t>
  </si>
  <si>
    <t>aileen.alde@ups.com</t>
  </si>
  <si>
    <t>aldekim@ups.com</t>
  </si>
  <si>
    <t>mariete.alde@ups.com</t>
  </si>
  <si>
    <t>malde@ups.com</t>
  </si>
  <si>
    <t>kalden@ups.com</t>
  </si>
  <si>
    <t>malden@ups.com</t>
  </si>
  <si>
    <t>jalden@ups.com</t>
  </si>
  <si>
    <t>sherialdenlane@ups.com</t>
  </si>
  <si>
    <t>balder@ups.com</t>
  </si>
  <si>
    <t>alder.james@ups.com</t>
  </si>
  <si>
    <t>talderete@ups.com</t>
  </si>
  <si>
    <t>valderete@ups.com</t>
  </si>
  <si>
    <t>balderman@ups.com</t>
  </si>
  <si>
    <t>ealderman@ups.com</t>
  </si>
  <si>
    <t>kalderman@ups.com</t>
  </si>
  <si>
    <t>lalderman@ups.com</t>
  </si>
  <si>
    <t>christopher.alderson@ups.com</t>
  </si>
  <si>
    <t>ralderson@ups.com</t>
  </si>
  <si>
    <t>shaun.alderson@europe.ups.com</t>
  </si>
  <si>
    <t>jaldert@ups.com</t>
  </si>
  <si>
    <t>aaldi@ups.com</t>
  </si>
  <si>
    <t>baldiwan@ups.com</t>
  </si>
  <si>
    <t>jaldoferreiradefarias@ups.com</t>
  </si>
  <si>
    <t>taldogan@ups.com</t>
  </si>
  <si>
    <t>taldosari@ups.com</t>
  </si>
  <si>
    <t>aaldosary@ups.com</t>
  </si>
  <si>
    <t>maldred@ups.com</t>
  </si>
  <si>
    <t>aaldrich@ups.com</t>
  </si>
  <si>
    <t>caldrich@ups.com</t>
  </si>
  <si>
    <t>christopheraldrich@ups.com</t>
  </si>
  <si>
    <t>galdrich@ups.com</t>
  </si>
  <si>
    <t>jaldrich@ups.com</t>
  </si>
  <si>
    <t>kaldrich@ups.com</t>
  </si>
  <si>
    <t>baldridge@ups.com</t>
  </si>
  <si>
    <t>calebaldridge@ups.com</t>
  </si>
  <si>
    <t>charlottealdridge@ups.com</t>
  </si>
  <si>
    <t>chelseaaldridge@ups.com</t>
  </si>
  <si>
    <t>daldridge@ups.com</t>
  </si>
  <si>
    <t>laldridge@ups.com</t>
  </si>
  <si>
    <t>lorenzoaldridge@ups.com</t>
  </si>
  <si>
    <t>maldridge@ups.com</t>
  </si>
  <si>
    <t>raldridge@ups.com</t>
  </si>
  <si>
    <t>peteraldwinckle@ups.com</t>
  </si>
  <si>
    <t>kale@ups.com</t>
  </si>
  <si>
    <t>lale@ups.com</t>
  </si>
  <si>
    <t>yalebiosu@ups.com</t>
  </si>
  <si>
    <t>ALEC.CHRISTIANSON@SENSIENT.COM</t>
  </si>
  <si>
    <t>laleciogiron@ups.com</t>
  </si>
  <si>
    <t>aalecsa@ups.com</t>
  </si>
  <si>
    <t>alauren@ups.com</t>
  </si>
  <si>
    <t>jalegre@ups.com</t>
  </si>
  <si>
    <t>saleithe@ups.com</t>
  </si>
  <si>
    <t>laleixo@ups.com</t>
  </si>
  <si>
    <t>alromero@nexansauto.com</t>
  </si>
  <si>
    <t>aalejandre@ups.com</t>
  </si>
  <si>
    <t>galejandrez@ups.com</t>
  </si>
  <si>
    <t>ralejandrez@ups.com</t>
  </si>
  <si>
    <t>AA@enkei.com</t>
  </si>
  <si>
    <t>aalejandro@ups.com</t>
  </si>
  <si>
    <t>calejandro@ups.com</t>
  </si>
  <si>
    <t>salejandroperez@ups.com</t>
  </si>
  <si>
    <t>jalejo@ups.com</t>
  </si>
  <si>
    <t>dalejos@ups.com</t>
  </si>
  <si>
    <t>asanjay@ups.com</t>
  </si>
  <si>
    <t>EUR1ALA@europe.ups.com</t>
  </si>
  <si>
    <t>kaleknavicius@ups.com</t>
  </si>
  <si>
    <t>saleksandrova@ups.com</t>
  </si>
  <si>
    <t>maleksandrowski@ups.com</t>
  </si>
  <si>
    <t>aalekseev@ups.com</t>
  </si>
  <si>
    <t>salekseeva@ups.com</t>
  </si>
  <si>
    <t>daleksic@ups.com</t>
  </si>
  <si>
    <t>saleksieva@ups.com</t>
  </si>
  <si>
    <t>valeksiukov@ups.com</t>
  </si>
  <si>
    <t>daleksiunaite@ups.com</t>
  </si>
  <si>
    <t>ialeksova@ups.com</t>
  </si>
  <si>
    <t>beatricealeman@ups.com</t>
  </si>
  <si>
    <t>ealeman@ups.com</t>
  </si>
  <si>
    <t>jaleman@ups.com</t>
  </si>
  <si>
    <t>halemanjr@ups.com</t>
  </si>
  <si>
    <t>julietaaleman@ups.com</t>
  </si>
  <si>
    <t>laleman@ups.com</t>
  </si>
  <si>
    <t>maleman@ups.com</t>
  </si>
  <si>
    <t>oaleman@ups.com</t>
  </si>
  <si>
    <t>paleman@ups.com</t>
  </si>
  <si>
    <t>pedroaleman@ups.com</t>
  </si>
  <si>
    <t>taleman@ups.com</t>
  </si>
  <si>
    <t>waleman@ups.com</t>
  </si>
  <si>
    <t>yaleman@ups.com</t>
  </si>
  <si>
    <t>falemao@ups.com</t>
  </si>
  <si>
    <t>dalemayehu@ups.com</t>
  </si>
  <si>
    <t>dalenckis@ups.com</t>
  </si>
  <si>
    <t>naleno@ups.com</t>
  </si>
  <si>
    <t>alert@ups.com</t>
  </si>
  <si>
    <t>alertcustomizationrequests@ups.com</t>
  </si>
  <si>
    <t>amarkjayson@ups.com</t>
  </si>
  <si>
    <t>aalerte@ups.com</t>
  </si>
  <si>
    <t>alerts-uscan@external.cisco.com</t>
  </si>
  <si>
    <t>dalery@ups.com</t>
  </si>
  <si>
    <t>malesandro@ups.com</t>
  </si>
  <si>
    <t>caleshire@ups.com</t>
  </si>
  <si>
    <t>alesia.allen@astellas.com</t>
  </si>
  <si>
    <t>balesia@ups.com</t>
  </si>
  <si>
    <t>palesia@ups.com</t>
  </si>
  <si>
    <t>naleskevits@ups.com</t>
  </si>
  <si>
    <t>salessandra@ups.com</t>
  </si>
  <si>
    <t>malessandrini@ups.com</t>
  </si>
  <si>
    <t>smolfesi@aeromar.com.py</t>
  </si>
  <si>
    <t>FRA1NXA@europe.ups.com</t>
  </si>
  <si>
    <t>salevizou@ups.com</t>
  </si>
  <si>
    <t>kalewelt@ups.com</t>
  </si>
  <si>
    <t>Alexchang@ups.com</t>
  </si>
  <si>
    <t>ablanco@lenovo.com</t>
  </si>
  <si>
    <t>ALEXBOXHORN@LOEWEN.COM</t>
  </si>
  <si>
    <t>alex.camacho@fritz.com</t>
  </si>
  <si>
    <t>acariello@pch.com</t>
  </si>
  <si>
    <t>alexchen@ups.com</t>
  </si>
  <si>
    <t>adenault@cititrucks.com</t>
  </si>
  <si>
    <t>alex.federle@vw.com</t>
  </si>
  <si>
    <t>myspaceselfstoragelansing@gmail.com</t>
  </si>
  <si>
    <t>axel@fastdeliverydc.com</t>
  </si>
  <si>
    <t>alex.ivory@coyote.com</t>
  </si>
  <si>
    <t>jaxyalex@ups.com</t>
  </si>
  <si>
    <t>alex@kamazu.com</t>
  </si>
  <si>
    <t>nicholasalex@ups.com</t>
  </si>
  <si>
    <t>nalex@ups.com</t>
  </si>
  <si>
    <t>pancorvoa@cintas.com</t>
  </si>
  <si>
    <t>aquintaba@cqluxe.com</t>
  </si>
  <si>
    <t>alex.rahn@univarsolutions.com</t>
  </si>
  <si>
    <t>arebroff@its.jnj.com</t>
  </si>
  <si>
    <t>calexrodrigues@ups.com</t>
  </si>
  <si>
    <t>alex@barami.com</t>
  </si>
  <si>
    <t>asoto@aerocav.com</t>
  </si>
  <si>
    <t>abwood@us.ibm.com</t>
  </si>
  <si>
    <t>alexyip@ups.com</t>
  </si>
  <si>
    <t>Alex.Ricafrente@netapp.com</t>
  </si>
  <si>
    <t>jalexa@ups.com</t>
  </si>
  <si>
    <t>albertoalexander@ups.com</t>
  </si>
  <si>
    <t>aliciaalexander@ups.com</t>
  </si>
  <si>
    <t>aialexander@ups.com</t>
  </si>
  <si>
    <t>angiealexander@ups.com</t>
  </si>
  <si>
    <t>anishalexander@ups.com</t>
  </si>
  <si>
    <t>aalexander@ups.com</t>
  </si>
  <si>
    <t>abeniel@ups.com</t>
  </si>
  <si>
    <t>brandonalexander@ups.com</t>
  </si>
  <si>
    <t>breonaalexander@ups.com</t>
  </si>
  <si>
    <t>balexander@ups.com</t>
  </si>
  <si>
    <t>byronalexander@ups.com</t>
  </si>
  <si>
    <t>chalexander@ups.com</t>
  </si>
  <si>
    <t>ckalexander@ups.com</t>
  </si>
  <si>
    <t>chadalexander@ups.com</t>
  </si>
  <si>
    <t>ccalexander@ups.com</t>
  </si>
  <si>
    <t>christopheralexander@ups.com</t>
  </si>
  <si>
    <t>cordellalexander@ups.com</t>
  </si>
  <si>
    <t>coreyalexander@ups.com</t>
  </si>
  <si>
    <t>danalexander@ups.com</t>
  </si>
  <si>
    <t>danielalexander@ups.com</t>
  </si>
  <si>
    <t>dalexander@ups.com</t>
  </si>
  <si>
    <t>dalexander1@ups.com</t>
  </si>
  <si>
    <t>davidalexander@ups.com</t>
  </si>
  <si>
    <t>dlalexander@ups.com</t>
  </si>
  <si>
    <t>dianealexander@ups.com</t>
  </si>
  <si>
    <t>adiaz@procourier.com</t>
  </si>
  <si>
    <t>donnaalexander@ups.com</t>
  </si>
  <si>
    <t>donovanalexander@ups.com</t>
  </si>
  <si>
    <t>dontealexander@ups.com</t>
  </si>
  <si>
    <t>dwalexander@ups.com</t>
  </si>
  <si>
    <t>drewalexander@ups.com</t>
  </si>
  <si>
    <t>ealexander@ups.com</t>
  </si>
  <si>
    <t>emalexander@ups.com</t>
  </si>
  <si>
    <t>elijahalexander@ups.com</t>
  </si>
  <si>
    <t>erinalexander@ups.com</t>
  </si>
  <si>
    <t>eralexander@ups.com</t>
  </si>
  <si>
    <t>fionaalexander@ups.com</t>
  </si>
  <si>
    <t>galexander@upsstore.com</t>
  </si>
  <si>
    <t>jamesalexander@ups.com</t>
  </si>
  <si>
    <t>jjalexander@ups.com</t>
  </si>
  <si>
    <t>jcalexander@ups.com</t>
  </si>
  <si>
    <t>jamillealexander@ups.com</t>
  </si>
  <si>
    <t>janiecealexander@ups.com</t>
  </si>
  <si>
    <t>jaredalexander@ups.com</t>
  </si>
  <si>
    <t>jalexander3@ups.com</t>
  </si>
  <si>
    <t>jarvisalexander@ups.com</t>
  </si>
  <si>
    <t>jasminealexander@ups.com</t>
  </si>
  <si>
    <t>jasonalexander@ups.com</t>
  </si>
  <si>
    <t>jayalexander@ups.com</t>
  </si>
  <si>
    <t>jeanalexander@ups.com</t>
  </si>
  <si>
    <t>jerryalexander@ups.com</t>
  </si>
  <si>
    <t>jocelynalexander@ups.com</t>
  </si>
  <si>
    <t>jralexander@ups.com</t>
  </si>
  <si>
    <t>joemalalexander@ups.com</t>
  </si>
  <si>
    <t>jalexander1@ups.com</t>
  </si>
  <si>
    <t>kalebalexander@ups.com</t>
  </si>
  <si>
    <t>kaliymaalexander@ups.com</t>
  </si>
  <si>
    <t>karlialexander@ups.com</t>
  </si>
  <si>
    <t>katrinaalexander@ups.com</t>
  </si>
  <si>
    <t>keshiaalexander@ups.com</t>
  </si>
  <si>
    <t>kalexander@ups.com</t>
  </si>
  <si>
    <t>kimalexander@ups.com</t>
  </si>
  <si>
    <t>kaalexander@ups.com</t>
  </si>
  <si>
    <t>lakeshiaalexander@ups.com</t>
  </si>
  <si>
    <t>llalexander@ups.com</t>
  </si>
  <si>
    <t>lutronalexander@ups.com</t>
  </si>
  <si>
    <t>markalexander@ups.com</t>
  </si>
  <si>
    <t>marlenealexander@upsstore.com</t>
  </si>
  <si>
    <t>malexander@ups.com</t>
  </si>
  <si>
    <t>nalexander@ups.com</t>
  </si>
  <si>
    <t>palexander@ups.com</t>
  </si>
  <si>
    <t>ralexander@ups.com</t>
  </si>
  <si>
    <t>rooseveltalexander@ups.com</t>
  </si>
  <si>
    <t>sallyannalexander@ups.com</t>
  </si>
  <si>
    <t>sealexander@ups.com</t>
  </si>
  <si>
    <t>serenaalexander@ups.com</t>
  </si>
  <si>
    <t>shantaalexander@ups.com</t>
  </si>
  <si>
    <t>sdalexander@ups.com</t>
  </si>
  <si>
    <t>stephanniealexander@ups.com</t>
  </si>
  <si>
    <t>stephenalexander@ups.com</t>
  </si>
  <si>
    <t>salexander@ups.com</t>
  </si>
  <si>
    <t>sxalexander@ups.com</t>
  </si>
  <si>
    <t>alexander.tanya@ups.com</t>
  </si>
  <si>
    <t>tzalexander@ups.com</t>
  </si>
  <si>
    <t>theresaalexander@ups.com</t>
  </si>
  <si>
    <t>tiffanyalexander@ups.com</t>
  </si>
  <si>
    <t>timothyalexander@ups.com</t>
  </si>
  <si>
    <t>talexander@ups.com</t>
  </si>
  <si>
    <t>tonyaalexander@ups.com</t>
  </si>
  <si>
    <t>tyrellalexander@ups.com</t>
  </si>
  <si>
    <t>valexander@ups.com</t>
  </si>
  <si>
    <t>vinayalexander@ups.com</t>
  </si>
  <si>
    <t>whitneyalexander@ups.com</t>
  </si>
  <si>
    <t>yalexander@ups.com</t>
  </si>
  <si>
    <t>falexanderdouglas@ups.com</t>
  </si>
  <si>
    <t>jalexandersson@ups.com</t>
  </si>
  <si>
    <t>aaguilar@aldogroup.com</t>
  </si>
  <si>
    <t>alexandra.bowen@emerson.com</t>
  </si>
  <si>
    <t>alatham@costco.com</t>
  </si>
  <si>
    <t>palexandrebarbosa@ups.com</t>
  </si>
  <si>
    <t>valexandredasilvasoares@ups.com</t>
  </si>
  <si>
    <t>mazzatechalexandredomingos@ups.com</t>
  </si>
  <si>
    <t>lifealexandrefiel@ups.com</t>
  </si>
  <si>
    <t>malexandre@ups.com</t>
  </si>
  <si>
    <t>ralexandre@ups.com</t>
  </si>
  <si>
    <t>ruialexandre@ups.com</t>
  </si>
  <si>
    <t>mello@colcci.com.br</t>
  </si>
  <si>
    <t>yves.alexandre@europe.ups.com</t>
  </si>
  <si>
    <t>mnaledmp@ups.com</t>
  </si>
  <si>
    <t>alexandriadmp@ups.com</t>
  </si>
  <si>
    <t>talexandrova@ups.com</t>
  </si>
  <si>
    <t>zugravualexandru@ups.com</t>
  </si>
  <si>
    <t>balexei@ups.com</t>
  </si>
  <si>
    <t>aalexiou@ups.com</t>
  </si>
  <si>
    <t>alexandraalexis@ups.com</t>
  </si>
  <si>
    <t>calexis@ups.com</t>
  </si>
  <si>
    <t>alexis@vivasbr.com</t>
  </si>
  <si>
    <t>oalexis@ups.com</t>
  </si>
  <si>
    <t>alexisszeto@ups.com</t>
  </si>
  <si>
    <t>talexis@ups.com</t>
  </si>
  <si>
    <t>malexissmith@ups.com</t>
  </si>
  <si>
    <t>ealexius@ups.com</t>
  </si>
  <si>
    <t>ajuarez@ctpower.com</t>
  </si>
  <si>
    <t>astewart@atmdelivers.com</t>
  </si>
  <si>
    <t>alfa@bonanzaboots.com</t>
  </si>
  <si>
    <t>halfardan@ups.com</t>
  </si>
  <si>
    <t>aalfaro@ups.com</t>
  </si>
  <si>
    <t>jalfaroarias@ups.com</t>
  </si>
  <si>
    <t>calfaro@ups.com</t>
  </si>
  <si>
    <t>dalfaro@ups.com</t>
  </si>
  <si>
    <t>eealfaro@ups.com</t>
  </si>
  <si>
    <t>ealfaro@ups.com</t>
  </si>
  <si>
    <t>javieralfaro@ups.com</t>
  </si>
  <si>
    <t>jalfaro@ups.com</t>
  </si>
  <si>
    <t>ajedane@ups.com</t>
  </si>
  <si>
    <t>jxalfaro@ups.com</t>
  </si>
  <si>
    <t>karlaalfaro@ups.com</t>
  </si>
  <si>
    <t>kalfaro@ups.com</t>
  </si>
  <si>
    <t>mariaalfaro@ups.com</t>
  </si>
  <si>
    <t>jalfaromurillo@ups.com</t>
  </si>
  <si>
    <t>alfaroneil@ups.com</t>
  </si>
  <si>
    <t>EED1ZDD@ups.com</t>
  </si>
  <si>
    <t>ralfaro@ups.com</t>
  </si>
  <si>
    <t>rigobertoalfaro@ups.com</t>
  </si>
  <si>
    <t>seanalfaro@ups.com</t>
  </si>
  <si>
    <t>jalfarovega@ups.com</t>
  </si>
  <si>
    <t>wilfredo.alfaro@ups.com</t>
  </si>
  <si>
    <t>info@upslogistics.co.cr</t>
  </si>
  <si>
    <t>malfawal@ups.com</t>
  </si>
  <si>
    <t>walfawicki@ups.com</t>
  </si>
  <si>
    <t>galfeche@ups.com</t>
  </si>
  <si>
    <t>ralfieri@ups.com</t>
  </si>
  <si>
    <t>alihnaa@ups.com</t>
  </si>
  <si>
    <t>aalfonso@ups.com</t>
  </si>
  <si>
    <t>andresalfonso@ups.com</t>
  </si>
  <si>
    <t>danielalfonso@ups.com</t>
  </si>
  <si>
    <t>elvisalfonso@ups.com</t>
  </si>
  <si>
    <t>galfonso@ups.com</t>
  </si>
  <si>
    <t>jorge.alfonso@ups.com</t>
  </si>
  <si>
    <t>kalfonso@ups.com</t>
  </si>
  <si>
    <t>miguelalfonso@ups.com</t>
  </si>
  <si>
    <t>malfonso@ups.com</t>
  </si>
  <si>
    <t>R.Alfonso@ups.com</t>
  </si>
  <si>
    <t>talfonso@ups.com</t>
  </si>
  <si>
    <t>Alfonzo.Williams@courierexpress.net</t>
  </si>
  <si>
    <t>candicealford@ups.com</t>
  </si>
  <si>
    <t>calford@ups.com</t>
  </si>
  <si>
    <t>galford@ups.com</t>
  </si>
  <si>
    <t>jamesalford@ups.com</t>
  </si>
  <si>
    <t>jeremiahalford@ups.com</t>
  </si>
  <si>
    <t>jalford@ups.com</t>
  </si>
  <si>
    <t>kellynalford@ups.com</t>
  </si>
  <si>
    <t>kalford@ups.com</t>
  </si>
  <si>
    <t>lalford@ups.com</t>
  </si>
  <si>
    <t>palford@ups.com</t>
  </si>
  <si>
    <t>ralford@ups.com</t>
  </si>
  <si>
    <t>ajohnlinefaith@ups.com</t>
  </si>
  <si>
    <t>ralforque@ups.com</t>
  </si>
  <si>
    <t>jalfotoneahmed@ups.com</t>
  </si>
  <si>
    <t>alainalfred@ups.com</t>
  </si>
  <si>
    <t>arunalfred@ups.com</t>
  </si>
  <si>
    <t>careyalfred@ups.com</t>
  </si>
  <si>
    <t>dalfred@ups.com</t>
  </si>
  <si>
    <t>ealfred@ups.com</t>
  </si>
  <si>
    <t>alfrediu@ups.com</t>
  </si>
  <si>
    <t>jalfred@ups.com</t>
  </si>
  <si>
    <t>alfredyu@ups.com</t>
  </si>
  <si>
    <t>balfredo@ups.com</t>
  </si>
  <si>
    <t>aalfredson@ups.com</t>
  </si>
  <si>
    <t>malfredson@ups.com</t>
  </si>
  <si>
    <t>nalfredsson@ups.com</t>
  </si>
  <si>
    <t>malfree@ups.com</t>
  </si>
  <si>
    <t>kalfson@ups.com</t>
  </si>
  <si>
    <t>ramsialgaddooa@ups.com</t>
  </si>
  <si>
    <t>jalgarin@ups.com</t>
  </si>
  <si>
    <t>algenteraofelia@ups.com</t>
  </si>
  <si>
    <t>lalghwariri@ups.com</t>
  </si>
  <si>
    <t>algcustsrv@ups.com</t>
  </si>
  <si>
    <t>malguaidy@ups.com</t>
  </si>
  <si>
    <t>ealguel@ups.com</t>
  </si>
  <si>
    <t>kalguera@ups.com</t>
  </si>
  <si>
    <t>yalhaik@ups.com</t>
  </si>
  <si>
    <t>aalhaiti@ups.com</t>
  </si>
  <si>
    <t>malhajfadel@ups.com</t>
  </si>
  <si>
    <t>falhamouri@ups.com</t>
  </si>
  <si>
    <t>salharazi@ups.com</t>
  </si>
  <si>
    <t>wga@qatar.net.qa</t>
  </si>
  <si>
    <t>yalhaswane@ups.com</t>
  </si>
  <si>
    <t>aharsha@ups.com</t>
  </si>
  <si>
    <t>raliahsan@ups.com</t>
  </si>
  <si>
    <t>aakram@ups.com</t>
  </si>
  <si>
    <t>aali@ups.com</t>
  </si>
  <si>
    <t>amjadali@ups.com</t>
  </si>
  <si>
    <t>amzadali@ups.com</t>
  </si>
  <si>
    <t>anfaalali@ups.com</t>
  </si>
  <si>
    <t>saliarap@ups.com</t>
  </si>
  <si>
    <t>ashaali@ups.com</t>
  </si>
  <si>
    <t>bali@ups.com</t>
  </si>
  <si>
    <t>areenanisha@ups.com</t>
  </si>
  <si>
    <t>bogdanali@ups.com</t>
  </si>
  <si>
    <t>cali@ups.com</t>
  </si>
  <si>
    <t>erfanali@ups.com</t>
  </si>
  <si>
    <t>fali@ups.com</t>
  </si>
  <si>
    <t>farrukhali@ups.com</t>
  </si>
  <si>
    <t>hali@ups.com</t>
  </si>
  <si>
    <t>imtiazali@ups.com</t>
  </si>
  <si>
    <t>jamalali@ups.com</t>
  </si>
  <si>
    <t>jali@ups.com</t>
  </si>
  <si>
    <t>kamranali@ups.com</t>
  </si>
  <si>
    <t>aalikarahi@ups.com</t>
  </si>
  <si>
    <t>kiftakhar@ups.com</t>
  </si>
  <si>
    <t>khalidali@ups.com</t>
  </si>
  <si>
    <t>kali@ups.com</t>
  </si>
  <si>
    <t>aalikhan@ups.com</t>
  </si>
  <si>
    <t>ralikhan@ups.com</t>
  </si>
  <si>
    <t>salikhan@ups.com</t>
  </si>
  <si>
    <t>lali@ups.com</t>
  </si>
  <si>
    <t>lxali@ups.com</t>
  </si>
  <si>
    <t>malikali@ups.com</t>
  </si>
  <si>
    <t>zalimarhaniali@ups.com</t>
  </si>
  <si>
    <t>amdsaidbin@ups.com</t>
  </si>
  <si>
    <t>mehmood.ali@emerson.com</t>
  </si>
  <si>
    <t>mianali@ups.com</t>
  </si>
  <si>
    <t>alimisnah@ups.com</t>
  </si>
  <si>
    <t>mohamedfadhelali@ups.com</t>
  </si>
  <si>
    <t>mohammadali@ups.com</t>
  </si>
  <si>
    <t>mali@ups.com</t>
  </si>
  <si>
    <t>mohammedali@ups.com</t>
  </si>
  <si>
    <t>muzammilali@ups.com</t>
  </si>
  <si>
    <t>nali@ups.com</t>
  </si>
  <si>
    <t>nayarali@ups.com</t>
  </si>
  <si>
    <t>noorali@ups.com</t>
  </si>
  <si>
    <t>pali@ups.com</t>
  </si>
  <si>
    <t>qali@ups.com</t>
  </si>
  <si>
    <t>arambli@ups.com</t>
  </si>
  <si>
    <t>aramli@ups.com</t>
  </si>
  <si>
    <t>rali@ups.com</t>
  </si>
  <si>
    <t>roslanali@ups.com</t>
  </si>
  <si>
    <t>samiali@ups.com</t>
  </si>
  <si>
    <t>sanaali@ups.com</t>
  </si>
  <si>
    <t>savitriali@ups.com</t>
  </si>
  <si>
    <t>ssali@ups.com</t>
  </si>
  <si>
    <t>sali@ups.com</t>
  </si>
  <si>
    <t>syedali@ups.com</t>
  </si>
  <si>
    <t>tali@ups.com</t>
  </si>
  <si>
    <t>vali@ups.com</t>
  </si>
  <si>
    <t>ali.zainal@ups.com</t>
  </si>
  <si>
    <t>aalia@ups.com</t>
  </si>
  <si>
    <t>amichelle@ups.com</t>
  </si>
  <si>
    <t>nlaliane@ups.com</t>
  </si>
  <si>
    <t>alexandraalias@ups.com</t>
  </si>
  <si>
    <t>salias@ups.com</t>
  </si>
  <si>
    <t>aalic@ups.com</t>
  </si>
  <si>
    <t>salic@ups.com</t>
  </si>
  <si>
    <t>lalicaway@ups.com</t>
  </si>
  <si>
    <t>maymay@qwestoffice.net</t>
  </si>
  <si>
    <t>alicecheong@ups.com</t>
  </si>
  <si>
    <t>alicechong@ups.com</t>
  </si>
  <si>
    <t>alice_gair@dell.com</t>
  </si>
  <si>
    <t>alice@odinfashion.com</t>
  </si>
  <si>
    <t>aalicea@ups.com</t>
  </si>
  <si>
    <t>elizabethalicea@ups.com</t>
  </si>
  <si>
    <t>malicea@ups.com</t>
  </si>
  <si>
    <t>ralicea@ups.com</t>
  </si>
  <si>
    <t>richardalicea@ups.com</t>
  </si>
  <si>
    <t>halici@ups.com</t>
  </si>
  <si>
    <t>hasanalici@ups.com</t>
  </si>
  <si>
    <t>balicia@ups.com</t>
  </si>
  <si>
    <t>alicia.delacruz@dgpb.com</t>
  </si>
  <si>
    <t>kalicia@ups.com</t>
  </si>
  <si>
    <t>Alicia@worldforest.com</t>
  </si>
  <si>
    <t>aliciav@fortressbp.com</t>
  </si>
  <si>
    <t>palidadi@ups.com</t>
  </si>
  <si>
    <t>jalie@ups.com</t>
  </si>
  <si>
    <t>jaliel@ups.com</t>
  </si>
  <si>
    <t>logisticscr@aligntech.com</t>
  </si>
  <si>
    <t>malih@ups.com</t>
  </si>
  <si>
    <t>malikadic@ups.com</t>
  </si>
  <si>
    <t>halikhan@ups.com</t>
  </si>
  <si>
    <t>aalim@ups.com</t>
  </si>
  <si>
    <t>malim@ups.com</t>
  </si>
  <si>
    <t>aalimadhi@ups.com</t>
  </si>
  <si>
    <t>lalimboyong@ups.com</t>
  </si>
  <si>
    <t>fijat.alimi@europe.ups.com</t>
  </si>
  <si>
    <t>ajohnmark@ups.com</t>
  </si>
  <si>
    <t>alina@nhthifi.com</t>
  </si>
  <si>
    <t>ajerito@ups.com</t>
  </si>
  <si>
    <t>ahanschristian@ups.com</t>
  </si>
  <si>
    <t>halingasa@ups.com</t>
  </si>
  <si>
    <t>calinkoff@ups.com</t>
  </si>
  <si>
    <t>amarjhun@ups.com</t>
  </si>
  <si>
    <t>faliperti@ups.com</t>
  </si>
  <si>
    <t>saliravci@ups.com</t>
  </si>
  <si>
    <t>aalire@ups.com</t>
  </si>
  <si>
    <t>raliredjo@ups.com</t>
  </si>
  <si>
    <t>malirie@ups.com</t>
  </si>
  <si>
    <t>alisa.fritchey@eiko.com</t>
  </si>
  <si>
    <t>alisak@ping.com</t>
  </si>
  <si>
    <t>ealisaari@ups.com</t>
  </si>
  <si>
    <t>amariacristy@ups.com</t>
  </si>
  <si>
    <t>ask1@tmw.com</t>
  </si>
  <si>
    <t>ralishetty@ups.com</t>
  </si>
  <si>
    <t>alisonp@customdecornet.com</t>
  </si>
  <si>
    <t>Alistair.Thomson@CFMTech.com</t>
  </si>
  <si>
    <t>saliu@ups.com</t>
  </si>
  <si>
    <t>arigen@ups.com</t>
  </si>
  <si>
    <t>haliyu@ups.com</t>
  </si>
  <si>
    <t>alirezaalizade@ups.com</t>
  </si>
  <si>
    <t>maljanabi@ups.com</t>
  </si>
  <si>
    <t>marjana.aljaz@europe.ups.com</t>
  </si>
  <si>
    <t>malkabab@ups.com</t>
  </si>
  <si>
    <t>enginalkan@ups.com</t>
  </si>
  <si>
    <t>oalkan@ups.com</t>
  </si>
  <si>
    <t>salkan@ups.com</t>
  </si>
  <si>
    <t>yilmaz.alkan@europe.ups.com</t>
  </si>
  <si>
    <t>ealkaya@ups.com</t>
  </si>
  <si>
    <t>ralkhateeb@ups.com</t>
  </si>
  <si>
    <t>aalkhatib@ups.com</t>
  </si>
  <si>
    <t>kalkire@ups.com</t>
  </si>
  <si>
    <t>ssalkire@ups.com</t>
  </si>
  <si>
    <t>balkok@ups.com</t>
  </si>
  <si>
    <t>jalksnis@ups.com</t>
  </si>
  <si>
    <t>EUR6AKN@europe.ups.com</t>
  </si>
  <si>
    <t>aalkulghi@ups.com</t>
  </si>
  <si>
    <t>kubraalkurt@ups.com</t>
  </si>
  <si>
    <t>ealla@ups.com</t>
  </si>
  <si>
    <t>jallaby@ups.com</t>
  </si>
  <si>
    <t>salladien@ups.com</t>
  </si>
  <si>
    <t>ajenny@ups.com</t>
  </si>
  <si>
    <t>callain@ups.com</t>
  </si>
  <si>
    <t>gallain@ups.com</t>
  </si>
  <si>
    <t>kallain@ups.com</t>
  </si>
  <si>
    <t>sallain@ups.com</t>
  </si>
  <si>
    <t>sallaire@ups.com</t>
  </si>
  <si>
    <t>kallal@ups.com</t>
  </si>
  <si>
    <t>sallam@ups.com</t>
  </si>
  <si>
    <t>satyanarayanaallam@ups.com</t>
  </si>
  <si>
    <t>jallan@ups.com</t>
  </si>
  <si>
    <t>bestway.allan@gmail.com</t>
  </si>
  <si>
    <t>pallan@ups.com</t>
  </si>
  <si>
    <t>wallan@ups.com</t>
  </si>
  <si>
    <t>allan.baenziger@unisys.com</t>
  </si>
  <si>
    <t>carlosallande@ups.com</t>
  </si>
  <si>
    <t>lallaoui@ups.com</t>
  </si>
  <si>
    <t>nallaoui@ups.com</t>
  </si>
  <si>
    <t>kallapuram@ups.com</t>
  </si>
  <si>
    <t>dallard@ups.com</t>
  </si>
  <si>
    <t>jallardjr@ups.com</t>
  </si>
  <si>
    <t>kallard@ups.com</t>
  </si>
  <si>
    <t>tallard@ups.com</t>
  </si>
  <si>
    <t>jxallards@ups.com</t>
  </si>
  <si>
    <t>allaremiracleangel@ups.com</t>
  </si>
  <si>
    <t>ballassane@ups.com</t>
  </si>
  <si>
    <t>sallauddin@ups.com</t>
  </si>
  <si>
    <t>ajasmin@ups.com</t>
  </si>
  <si>
    <t>gallaway@ups.com</t>
  </si>
  <si>
    <t>tallaway@ups.com</t>
  </si>
  <si>
    <t>lallbee@ups.com</t>
  </si>
  <si>
    <t>lallebe@ups.com</t>
  </si>
  <si>
    <t>jallee@ups.com</t>
  </si>
  <si>
    <t>michelleallegra@ups.com</t>
  </si>
  <si>
    <t>sallegra@ups.com</t>
  </si>
  <si>
    <t>allegroumowy@ups.com</t>
  </si>
  <si>
    <t>hallehyani@ups.com</t>
  </si>
  <si>
    <t>dallemeier@ups.com</t>
  </si>
  <si>
    <t>calebcallen@ups.com</t>
  </si>
  <si>
    <t>curtisallen@ups.com</t>
  </si>
  <si>
    <t>aaronallen@ups.com</t>
  </si>
  <si>
    <t>abbalinaallen@ups.com</t>
  </si>
  <si>
    <t>adamallen@ups.com</t>
  </si>
  <si>
    <t>alisonallen@ups.com</t>
  </si>
  <si>
    <t>andreaallen@ups.com</t>
  </si>
  <si>
    <t>andrewallen@ups.com</t>
  </si>
  <si>
    <t>aallen@ups.com</t>
  </si>
  <si>
    <t>angieallen@ups.com</t>
  </si>
  <si>
    <t>anthonyallen@ups.com</t>
  </si>
  <si>
    <t>armeniaallen@ups.com</t>
  </si>
  <si>
    <t>ashleyallen@ups.com</t>
  </si>
  <si>
    <t>ballen@ups.com</t>
  </si>
  <si>
    <t>bartholomewallen@ups.com</t>
  </si>
  <si>
    <t>abaumgarte@progressrail.com</t>
  </si>
  <si>
    <t>beatriceallen@ups.com</t>
  </si>
  <si>
    <t>bethallen@ups.com</t>
  </si>
  <si>
    <t>bethanyallen@ups.com</t>
  </si>
  <si>
    <t>bsallen@ups.com</t>
  </si>
  <si>
    <t>blakeallen@ups.com</t>
  </si>
  <si>
    <t>brandonallen@ups.com</t>
  </si>
  <si>
    <t>brianallen@ups.com</t>
  </si>
  <si>
    <t>bruceallen@ups.com</t>
  </si>
  <si>
    <t>dallencalhoun@ups.com</t>
  </si>
  <si>
    <t>cathyallen@ups.com</t>
  </si>
  <si>
    <t>celisseallen@ups.com</t>
  </si>
  <si>
    <t>cdallen@ups.com</t>
  </si>
  <si>
    <t>callen3@ups.com</t>
  </si>
  <si>
    <t>charleneallen@ups.com</t>
  </si>
  <si>
    <t>chrisallen@ups.com</t>
  </si>
  <si>
    <t>callen1@ups.com</t>
  </si>
  <si>
    <t>callen4@ups.com</t>
  </si>
  <si>
    <t>callen6@ups.com</t>
  </si>
  <si>
    <t>callen8@ups.com</t>
  </si>
  <si>
    <t>callen7@ups.com</t>
  </si>
  <si>
    <t>christopherallen@ups.com</t>
  </si>
  <si>
    <t>cierraallen@ups.com</t>
  </si>
  <si>
    <t>cliffallen@ups.com</t>
  </si>
  <si>
    <t>coltonallen@ups.com</t>
  </si>
  <si>
    <t>corrineallen@ups.com</t>
  </si>
  <si>
    <t>craigallen@ups.com</t>
  </si>
  <si>
    <t>crystalallen@ups.com</t>
  </si>
  <si>
    <t>daleallen@ups.com</t>
  </si>
  <si>
    <t>dallen5@ups.com</t>
  </si>
  <si>
    <t>danitaallen@ups.com</t>
  </si>
  <si>
    <t>darrinallen@ups.com</t>
  </si>
  <si>
    <t>davidallen@ups.com</t>
  </si>
  <si>
    <t>dawnallen@ups.com</t>
  </si>
  <si>
    <t>dallen2@ups.com</t>
  </si>
  <si>
    <t>deirdreaallen@ups.com</t>
  </si>
  <si>
    <t>deniseallen@ups.com</t>
  </si>
  <si>
    <t>dentonallen@ups.com</t>
  </si>
  <si>
    <t>donaldallen@ups.com</t>
  </si>
  <si>
    <t>douglasallen@ups.com</t>
  </si>
  <si>
    <t>dustinallen@ups.com</t>
  </si>
  <si>
    <t>eallen1@ups.com</t>
  </si>
  <si>
    <t>allen.edward@ups.com</t>
  </si>
  <si>
    <t>Aeng@yardtrucks.com</t>
  </si>
  <si>
    <t>erickaallen@ups.com</t>
  </si>
  <si>
    <t>eallen@ups.com</t>
  </si>
  <si>
    <t>fallen@ups.com</t>
  </si>
  <si>
    <t>fallen1@ups.com</t>
  </si>
  <si>
    <t>georgeallen@ups.com</t>
  </si>
  <si>
    <t>gallen1@ups.com</t>
  </si>
  <si>
    <t>hallen@ups.com</t>
  </si>
  <si>
    <t>dallenii@ups.com</t>
  </si>
  <si>
    <t>pallenii@ups.com</t>
  </si>
  <si>
    <t>nalleniii@ups.com</t>
  </si>
  <si>
    <t>iallen@ups.com</t>
  </si>
  <si>
    <t>jaclynallen@ups.com</t>
  </si>
  <si>
    <t>jtallen@ups.com</t>
  </si>
  <si>
    <t>jallen@ups.com</t>
  </si>
  <si>
    <t>jallen8@ups.com</t>
  </si>
  <si>
    <t>jallen3@ups.com</t>
  </si>
  <si>
    <t>jamesallen@ups.com</t>
  </si>
  <si>
    <t>janelleallen@ups.com</t>
  </si>
  <si>
    <t>jenniferallen@ups.com</t>
  </si>
  <si>
    <t>jennyallen@ups.com</t>
  </si>
  <si>
    <t>jeremyallen@ups.com</t>
  </si>
  <si>
    <t>jallen6@ups.com</t>
  </si>
  <si>
    <t>jerryallen@ups.com</t>
  </si>
  <si>
    <t>jallen1@ups.com</t>
  </si>
  <si>
    <t>jesseallen@ups.com</t>
  </si>
  <si>
    <t>jxallen@ups.com</t>
  </si>
  <si>
    <t>johnallen@ups.com</t>
  </si>
  <si>
    <t>Allen.John@ups.com</t>
  </si>
  <si>
    <t>jeallen@ups.com</t>
  </si>
  <si>
    <t>jallen7@ups.com</t>
  </si>
  <si>
    <t>johnathanallen@ups.com</t>
  </si>
  <si>
    <t>joleneallen@ups.com</t>
  </si>
  <si>
    <t>jonallen@ups.com</t>
  </si>
  <si>
    <t>jonasallen@ups.com</t>
  </si>
  <si>
    <t>josephallen@ups.com</t>
  </si>
  <si>
    <t>jallen2@ups.com</t>
  </si>
  <si>
    <t>jallen4@ups.com</t>
  </si>
  <si>
    <t>joyceallen@ups.com</t>
  </si>
  <si>
    <t>sallenjr@ups.com</t>
  </si>
  <si>
    <t>vallenjr@ups.com</t>
  </si>
  <si>
    <t>justinallen@ups.com</t>
  </si>
  <si>
    <t>karlallen@ups.com</t>
  </si>
  <si>
    <t>kallen1@ups.com</t>
  </si>
  <si>
    <t>kathleenallen@ups.com</t>
  </si>
  <si>
    <t>kaallen@ups.com</t>
  </si>
  <si>
    <t>kaylaallen@ups.com</t>
  </si>
  <si>
    <t>kelseyallen@ups.com</t>
  </si>
  <si>
    <t>kallen@ups.com</t>
  </si>
  <si>
    <t>kxallen@ups.com</t>
  </si>
  <si>
    <t>kevinallen@ups.com</t>
  </si>
  <si>
    <t>kimberlyallen@ups.com</t>
  </si>
  <si>
    <t>kirstyallen@ups.com</t>
  </si>
  <si>
    <t>kristinaallen@ups.com</t>
  </si>
  <si>
    <t>kyeallen@ups.com</t>
  </si>
  <si>
    <t>allenl.fls@gmail.com</t>
  </si>
  <si>
    <t>larryallen@ups.com</t>
  </si>
  <si>
    <t>lallen1@ups.com</t>
  </si>
  <si>
    <t>lfallen@ups.com</t>
  </si>
  <si>
    <t>lindaallen@ups.com</t>
  </si>
  <si>
    <t>lishaallen@ups.com</t>
  </si>
  <si>
    <t>louisallen@ups.com</t>
  </si>
  <si>
    <t>lallen2@ups.com</t>
  </si>
  <si>
    <t>lucasallen@ups.com</t>
  </si>
  <si>
    <t>lynnallen@ups.com</t>
  </si>
  <si>
    <t>mmallen@ups.com</t>
  </si>
  <si>
    <t>madisonallen@ups.com</t>
  </si>
  <si>
    <t>mallen1@ups.com</t>
  </si>
  <si>
    <t>marcusallen@ups.com</t>
  </si>
  <si>
    <t>margaretallen@ups.com</t>
  </si>
  <si>
    <t>maryallen@ups.com</t>
  </si>
  <si>
    <t>mathewallen@ups.com</t>
  </si>
  <si>
    <t>mallen6@ups.com</t>
  </si>
  <si>
    <t>mallen3@ups.com</t>
  </si>
  <si>
    <t>mallen2@ups.com</t>
  </si>
  <si>
    <t>matthewallen@upsstore.com</t>
  </si>
  <si>
    <t>mauriceallen@ups.com</t>
  </si>
  <si>
    <t>melanieallen@ups.com</t>
  </si>
  <si>
    <t>mallen7@ups.com</t>
  </si>
  <si>
    <t>mallen4@ups.com</t>
  </si>
  <si>
    <t>mallen5@ups.com</t>
  </si>
  <si>
    <t>michael.allen@europe.ups.com</t>
  </si>
  <si>
    <t>mallen@ups.com</t>
  </si>
  <si>
    <t>mikeallen@ups.com</t>
  </si>
  <si>
    <t>mitchellallen@ups.com</t>
  </si>
  <si>
    <t>mollyallen@ups.com</t>
  </si>
  <si>
    <t>monicaallen@ups.com</t>
  </si>
  <si>
    <t>naallen@ups.com</t>
  </si>
  <si>
    <t>nathanallen@ups.com</t>
  </si>
  <si>
    <t>nicholeeallen@ups.com</t>
  </si>
  <si>
    <t>noahallen@ups.com</t>
  </si>
  <si>
    <t>nonaallen@ups.com</t>
  </si>
  <si>
    <t>oallen@ups.com</t>
  </si>
  <si>
    <t>parkerallen@ups.com</t>
  </si>
  <si>
    <t>patriciaallen@ups.com</t>
  </si>
  <si>
    <t>paulallen@ups.com</t>
  </si>
  <si>
    <t>pallen@ups.com</t>
  </si>
  <si>
    <t>peytonallen@ups.com</t>
  </si>
  <si>
    <t>rallen2@ups.com</t>
  </si>
  <si>
    <t>rachelallen@ups.com</t>
  </si>
  <si>
    <t>rallen5@ups.com</t>
  </si>
  <si>
    <t>randyallen@ups.com</t>
  </si>
  <si>
    <t>rhondaallen@ups.com</t>
  </si>
  <si>
    <t>richardallen@ups.com</t>
  </si>
  <si>
    <t>rallen3@ups.com</t>
  </si>
  <si>
    <t>rallen1@ups.com</t>
  </si>
  <si>
    <t>robinallen@ups.com</t>
  </si>
  <si>
    <t>RAllen@ups.com</t>
  </si>
  <si>
    <t>rogerallen@ups.com</t>
  </si>
  <si>
    <t>roxanneallen@ups.com</t>
  </si>
  <si>
    <t>Allen.Sananda@cognizant.com</t>
  </si>
  <si>
    <t>saraallen@ups.com</t>
  </si>
  <si>
    <t>sayraallen@ups.com</t>
  </si>
  <si>
    <t>s.allen@ups.com</t>
  </si>
  <si>
    <t>serenaallen@ups.com</t>
  </si>
  <si>
    <t>sallen1@ups.com</t>
  </si>
  <si>
    <t>shannonallen@ups.com</t>
  </si>
  <si>
    <t>srallen@ups.com</t>
  </si>
  <si>
    <t>scallen@ups.com</t>
  </si>
  <si>
    <t>sgallen@ups.com</t>
  </si>
  <si>
    <t>shevonallen@ups.com</t>
  </si>
  <si>
    <t>shirleyallen@ups.com</t>
  </si>
  <si>
    <t>skylerallen@ups.com</t>
  </si>
  <si>
    <t>tallensr@ups.com</t>
  </si>
  <si>
    <t>allen.stauffacher@hp.com</t>
  </si>
  <si>
    <t>stephanieallen@ups.com</t>
  </si>
  <si>
    <t>susanallen@ups.com</t>
  </si>
  <si>
    <t>sydneeallen@ups.com</t>
  </si>
  <si>
    <t>tamiallen@ups.com</t>
  </si>
  <si>
    <t>tanjellaallen@ups.com</t>
  </si>
  <si>
    <t>taylorallen@ups.com</t>
  </si>
  <si>
    <t>tayzhaallen@ups.com</t>
  </si>
  <si>
    <t>thomasallen@ups.com</t>
  </si>
  <si>
    <t>tallen1@ups.com</t>
  </si>
  <si>
    <t>tballen@ups.com</t>
  </si>
  <si>
    <t>toddallen@ups.com</t>
  </si>
  <si>
    <t>toyahallen@ups.com</t>
  </si>
  <si>
    <t>tallen2@ups.com</t>
  </si>
  <si>
    <t>tracyallen@ups.com</t>
  </si>
  <si>
    <t>twallen@ups.com</t>
  </si>
  <si>
    <t>teallen@ups.com</t>
  </si>
  <si>
    <t>travisallen@ups.com</t>
  </si>
  <si>
    <t>trevorallen@ups.com</t>
  </si>
  <si>
    <t>tylerallen@ups.com</t>
  </si>
  <si>
    <t>vallen@ups.com</t>
  </si>
  <si>
    <t>valerieallen@ups.com</t>
  </si>
  <si>
    <t>valmayallen@ups.com</t>
  </si>
  <si>
    <t>vanessaallen@ups.com</t>
  </si>
  <si>
    <t>victoriaallen@ups.com</t>
  </si>
  <si>
    <t>winstonallen@ups.com</t>
  </si>
  <si>
    <t>yasmineallen@ups.com</t>
  </si>
  <si>
    <t>yvetteallen@ups.com</t>
  </si>
  <si>
    <t>zallen@ups.com</t>
  </si>
  <si>
    <t>CAllen@livingstoninc.com</t>
  </si>
  <si>
    <t>TAllen@livingstoninc.com</t>
  </si>
  <si>
    <t>tallende@ups.com</t>
  </si>
  <si>
    <t>wallende@ups.com</t>
  </si>
  <si>
    <t>emmaallender@ups.com</t>
  </si>
  <si>
    <t>jaller@ups.com</t>
  </si>
  <si>
    <t>maller@ups.com</t>
  </si>
  <si>
    <t>allergancs@ups.com</t>
  </si>
  <si>
    <t>allerganhccs@ups.com</t>
  </si>
  <si>
    <t>aalley@ups.com</t>
  </si>
  <si>
    <t>balley@ups.com</t>
  </si>
  <si>
    <t>calley@ups.com</t>
  </si>
  <si>
    <t>jalley@ups.com</t>
  </si>
  <si>
    <t>austinallgeier@ups.com</t>
  </si>
  <si>
    <t>dallgeierjr@ups.com</t>
  </si>
  <si>
    <t>tallgeier@ups.com</t>
  </si>
  <si>
    <t>aallgood@ups.com</t>
  </si>
  <si>
    <t>anthonyallgood@ups.com</t>
  </si>
  <si>
    <t>ballgood@ups.com</t>
  </si>
  <si>
    <t>jallgood@ups.com</t>
  </si>
  <si>
    <t>aalli@ups.com</t>
  </si>
  <si>
    <t>anthonyallia@ups.com</t>
  </si>
  <si>
    <t>lalliance@ups.com</t>
  </si>
  <si>
    <t>nallibhai@ups.com</t>
  </si>
  <si>
    <t>tallicock@ups.com</t>
  </si>
  <si>
    <t>jallie@ups.com</t>
  </si>
  <si>
    <t>kallie@ups.com</t>
  </si>
  <si>
    <t>freightbilling@alliedelec.com</t>
  </si>
  <si>
    <t>talliegro2@ups.com</t>
  </si>
  <si>
    <t>aalliet@ups.com</t>
  </si>
  <si>
    <t>aprabu@ups.com</t>
  </si>
  <si>
    <t>kallin@ups.com</t>
  </si>
  <si>
    <t>amelody@ups.com</t>
  </si>
  <si>
    <t>mallington@ups.com</t>
  </si>
  <si>
    <t>csalliquaups@ups.com</t>
  </si>
  <si>
    <t>dallis@ups.com</t>
  </si>
  <si>
    <t>aallison@ups.com</t>
  </si>
  <si>
    <t>ashleeallison@ups.com</t>
  </si>
  <si>
    <t>allison.breckheimer@coyote.com</t>
  </si>
  <si>
    <t>allison.brenda@ups.com</t>
  </si>
  <si>
    <t>brianallison@ups.com</t>
  </si>
  <si>
    <t>ccallison@ups.com</t>
  </si>
  <si>
    <t>callison@ups.com</t>
  </si>
  <si>
    <t>allison.fitch@e-pdc.com</t>
  </si>
  <si>
    <t>gallison@ups.com</t>
  </si>
  <si>
    <t>jenniferallison@ups.com</t>
  </si>
  <si>
    <t>joeallison@ups.com</t>
  </si>
  <si>
    <t>ajolly@goldmedal-intl.com</t>
  </si>
  <si>
    <t>jallison@ups.com</t>
  </si>
  <si>
    <t>kallison@ups.com</t>
  </si>
  <si>
    <t>kaylanallison@ups.com</t>
  </si>
  <si>
    <t>matthewallison@ups.com</t>
  </si>
  <si>
    <t>mallison@ups.com</t>
  </si>
  <si>
    <t>samanthaallison@ups.com</t>
  </si>
  <si>
    <t>seallison@ups.com</t>
  </si>
  <si>
    <t>sallison@ups.com</t>
  </si>
  <si>
    <t>stacyallison@ups.com</t>
  </si>
  <si>
    <t>tallison@ups.com</t>
  </si>
  <si>
    <t>tonyallison@ups.com</t>
  </si>
  <si>
    <t>lesley@cmcfreight.co.uk</t>
  </si>
  <si>
    <t>allison@jlt.ca</t>
  </si>
  <si>
    <t>calliss@ups.com</t>
  </si>
  <si>
    <t>mallo@ups.com</t>
  </si>
  <si>
    <t>lindaallot@ups.com</t>
  </si>
  <si>
    <t>balloway@iship.com</t>
  </si>
  <si>
    <t>walloway@ups.com</t>
  </si>
  <si>
    <t>aallred@aspenmg.com</t>
  </si>
  <si>
    <t>mikeallroggen@ups.com</t>
  </si>
  <si>
    <t>kallsen@ups.com</t>
  </si>
  <si>
    <t>eallsop@ups.com</t>
  </si>
  <si>
    <t>tallspach@ups.com</t>
  </si>
  <si>
    <t>jalltop@ups.com</t>
  </si>
  <si>
    <t>dallu@ups.com</t>
  </si>
  <si>
    <t>uallumneni@ups.com</t>
  </si>
  <si>
    <t>jallums@ups.com</t>
  </si>
  <si>
    <t>aalluri@ups.com</t>
  </si>
  <si>
    <t>aallwood@ups.com</t>
  </si>
  <si>
    <t>fally@ups.com</t>
  </si>
  <si>
    <t>lallyn@ups.com</t>
  </si>
  <si>
    <t>almsupport@ups.com</t>
  </si>
  <si>
    <t>balmada@ups.com</t>
  </si>
  <si>
    <t>malmaden@ups.com</t>
  </si>
  <si>
    <t>arachel@ups.com</t>
  </si>
  <si>
    <t>arodolfo@ups.com</t>
  </si>
  <si>
    <t>malmaghatheh@ups.com</t>
  </si>
  <si>
    <t>aalmaghfi@ups.com</t>
  </si>
  <si>
    <t>dalmaguer@ups.com</t>
  </si>
  <si>
    <t>jalmaguer@ups.com</t>
  </si>
  <si>
    <t>galmaliky@ups.com</t>
  </si>
  <si>
    <t>aalmalki@ups.com</t>
  </si>
  <si>
    <t>falmall@ups.com</t>
  </si>
  <si>
    <t>palman@ups.com</t>
  </si>
  <si>
    <t>apatrickjoemari@ups.com</t>
  </si>
  <si>
    <t>ajohncarl@ups.com</t>
  </si>
  <si>
    <t>mariaalmanza@ups.com</t>
  </si>
  <si>
    <t>malmanza@ups.com</t>
  </si>
  <si>
    <t>ralmanza@ups.com</t>
  </si>
  <si>
    <t>eddiealmanzar@ups.com</t>
  </si>
  <si>
    <t>ialmaraz@ups.com</t>
  </si>
  <si>
    <t>malmaraz@milesgr.com</t>
  </si>
  <si>
    <t>rebeccaalmaraz@ups.com</t>
  </si>
  <si>
    <t>ricardoalmaraz@ups.com</t>
  </si>
  <si>
    <t>aaillamhei@ups.com</t>
  </si>
  <si>
    <t>aleah@ups.com</t>
  </si>
  <si>
    <t>amarkanthony@ups.com</t>
  </si>
  <si>
    <t>calmarza@ups.com</t>
  </si>
  <si>
    <t>malmasri@ups.com</t>
  </si>
  <si>
    <t>falmasyabi@ups.com</t>
  </si>
  <si>
    <t>kalmazan@ups.com</t>
  </si>
  <si>
    <t>malmazan@ups.com</t>
  </si>
  <si>
    <t>shirleyalmazan@ups.com</t>
  </si>
  <si>
    <t>salmazan@ups.com</t>
  </si>
  <si>
    <t>ealmberg@ups.com</t>
  </si>
  <si>
    <t>adamalmeida@ups.com</t>
  </si>
  <si>
    <t>aalmeida@ups.com</t>
  </si>
  <si>
    <t>calmeida@ups.com</t>
  </si>
  <si>
    <t>christopheralmeida@ups.com</t>
  </si>
  <si>
    <t>almeidadennis@ups.com</t>
  </si>
  <si>
    <t>falmeida@ups.com</t>
  </si>
  <si>
    <t>jeremyalmeida@ups.com</t>
  </si>
  <si>
    <t>jalmeida@ups.com</t>
  </si>
  <si>
    <t>malmeida@ups.com</t>
  </si>
  <si>
    <t>palmeida@ups.com</t>
  </si>
  <si>
    <t>ppalmeida@ups.com</t>
  </si>
  <si>
    <t>talmenareslozada@ups.com</t>
  </si>
  <si>
    <t>jalmendaresguzman@ups.com</t>
  </si>
  <si>
    <t>palmendarez@ups.com</t>
  </si>
  <si>
    <t>afloramay@ups.com</t>
  </si>
  <si>
    <t>ralmendro@ups.com</t>
  </si>
  <si>
    <t>ealmengor@ups.com</t>
  </si>
  <si>
    <t>ralmero@ups.com</t>
  </si>
  <si>
    <t>galmeyda@ups.com</t>
  </si>
  <si>
    <t>exports@ecuadorcargo.com</t>
  </si>
  <si>
    <t>malmi@ups.com</t>
  </si>
  <si>
    <t>aapollo@ups.com</t>
  </si>
  <si>
    <t>aalmnezel@ups.com</t>
  </si>
  <si>
    <t>acherrielou@ups.com</t>
  </si>
  <si>
    <t>malmodova@ups.com</t>
  </si>
  <si>
    <t>ralmon@ups.com</t>
  </si>
  <si>
    <t>chloealmond@ups.com</t>
  </si>
  <si>
    <t>calmond@ups.com</t>
  </si>
  <si>
    <t>dalmond@ups.com</t>
  </si>
  <si>
    <t>aperlayolobaton@ups.com</t>
  </si>
  <si>
    <t>salmond@ups.com</t>
  </si>
  <si>
    <t>jalmonidovar@ups.com</t>
  </si>
  <si>
    <t>ealmonte@ups.com</t>
  </si>
  <si>
    <t>jorgealmonte@ups.com</t>
  </si>
  <si>
    <t>jalmonte@ups.com</t>
  </si>
  <si>
    <t>ealmony@ups.com</t>
  </si>
  <si>
    <t>lalmourtada@ups.com</t>
  </si>
  <si>
    <t>talmquist@ups.com</t>
  </si>
  <si>
    <t>zalmstrom@ups.com</t>
  </si>
  <si>
    <t>zalnajjar@ups.com</t>
  </si>
  <si>
    <t>jaloi@ups.com</t>
  </si>
  <si>
    <t>maloisio@ups.com</t>
  </si>
  <si>
    <t>raloision@ups.com</t>
  </si>
  <si>
    <t>aalokozai@ups.com</t>
  </si>
  <si>
    <t>malomarmorales@ups.com</t>
  </si>
  <si>
    <t>ealomerovic@ups.com</t>
  </si>
  <si>
    <t>alona@datacapture.com.ph</t>
  </si>
  <si>
    <t>ajhanineeve@ups.com</t>
  </si>
  <si>
    <t>aaalonso@ups.com</t>
  </si>
  <si>
    <t>alexisalonso@ups.com</t>
  </si>
  <si>
    <t>charo.alonso@ups.com</t>
  </si>
  <si>
    <t>malonsocolmenero@ups.com</t>
  </si>
  <si>
    <t>ealonso@ups.com</t>
  </si>
  <si>
    <t>falonso@ups.com</t>
  </si>
  <si>
    <t>halonso@ups.com</t>
  </si>
  <si>
    <t>jalonso@ups.com</t>
  </si>
  <si>
    <t>jralonso@ups.com</t>
  </si>
  <si>
    <t>malonso@europe.ups.com</t>
  </si>
  <si>
    <t>melhanydalonso@ups.com</t>
  </si>
  <si>
    <t>lalonsomontoya@ups.com</t>
  </si>
  <si>
    <t>oalonso@ups.com</t>
  </si>
  <si>
    <t>lalonsorivera@ups.com</t>
  </si>
  <si>
    <t>talonso@ups.com</t>
  </si>
  <si>
    <t>valonso@ups.com</t>
  </si>
  <si>
    <t>aalonso@upslogistics.fr</t>
  </si>
  <si>
    <t>aaloliver@ups.com</t>
  </si>
  <si>
    <t>andreaalonzo@ups.com</t>
  </si>
  <si>
    <t>ealonzo@ups.com</t>
  </si>
  <si>
    <t>jalonzo@ups.com</t>
  </si>
  <si>
    <t>lalonzo@ups.com</t>
  </si>
  <si>
    <t>martinalonzo@ups.com</t>
  </si>
  <si>
    <t>malonzo@ups.com</t>
  </si>
  <si>
    <t>valonzo@ups.com</t>
  </si>
  <si>
    <t>abenziger@ups.com</t>
  </si>
  <si>
    <t>aalp@ups.com</t>
  </si>
  <si>
    <t>dalpa@ups.com</t>
  </si>
  <si>
    <t>ealpay@ups.com</t>
  </si>
  <si>
    <t>nalpaydin@ups.com</t>
  </si>
  <si>
    <t>malper@ups.com</t>
  </si>
  <si>
    <t>jalpez@ups.com</t>
  </si>
  <si>
    <t>atruckthird@ups.com</t>
  </si>
  <si>
    <t>alphatruck@ups.com</t>
  </si>
  <si>
    <t>rosaalphonse@ups.com</t>
  </si>
  <si>
    <t>salpin@ups.com</t>
  </si>
  <si>
    <t>txapedmp@ups.com</t>
  </si>
  <si>
    <t>malpizaraguilar@ups.com</t>
  </si>
  <si>
    <t>salpsoy@ups.com</t>
  </si>
  <si>
    <t>aalpysbay@ups.com</t>
  </si>
  <si>
    <t>ralqasir@ups.com</t>
  </si>
  <si>
    <t>salqattan@ups.com</t>
  </si>
  <si>
    <t>aalquwatly@ups.com</t>
  </si>
  <si>
    <t>salrahmansiddique@ups.com</t>
  </si>
  <si>
    <t>salrashidi@ups.com</t>
  </si>
  <si>
    <t>ialrifai@ups.com</t>
  </si>
  <si>
    <t>afatimah@ups.com</t>
  </si>
  <si>
    <t>ralsaid@ups.com</t>
  </si>
  <si>
    <t>kholoudalsaliman@ups.com</t>
  </si>
  <si>
    <t>dianaalsept@ups.com</t>
  </si>
  <si>
    <t>aalshaer@ups.com</t>
  </si>
  <si>
    <t>salshafar@ups.com</t>
  </si>
  <si>
    <t>calshawa@ups.com</t>
  </si>
  <si>
    <t>kamranalshinawi@ups.com</t>
  </si>
  <si>
    <t>halshmari@ups.com</t>
  </si>
  <si>
    <t>ralshmari@ups.com</t>
  </si>
  <si>
    <t>galshon@ups.com</t>
  </si>
  <si>
    <t>talsleben@ups.com</t>
  </si>
  <si>
    <t>jalsobrook@ups.com</t>
  </si>
  <si>
    <t>jordanalsobrook@ups.com</t>
  </si>
  <si>
    <t>ralsobrook@ups.com</t>
  </si>
  <si>
    <t>alsolawilson@ups.com</t>
  </si>
  <si>
    <t>halsowaidan@ups.com</t>
  </si>
  <si>
    <t>kalspach@ups.com</t>
  </si>
  <si>
    <t>kalspaugh@ups.com</t>
  </si>
  <si>
    <t>dalstatt@ups.com</t>
  </si>
  <si>
    <t>balston@ups.com</t>
  </si>
  <si>
    <t>christalalston@ups.com</t>
  </si>
  <si>
    <t>dalston@ups.com</t>
  </si>
  <si>
    <t>halston@ups.com</t>
  </si>
  <si>
    <t>jalston@ups.com</t>
  </si>
  <si>
    <t>malston@ups.com</t>
  </si>
  <si>
    <t>oalston@ups.com</t>
  </si>
  <si>
    <t>tanitaalston@ups.com</t>
  </si>
  <si>
    <t>yalston@ups.com</t>
  </si>
  <si>
    <t>palstrom@ups.com</t>
  </si>
  <si>
    <t>jalsup@ups.com</t>
  </si>
  <si>
    <t>ralsup@ups.com</t>
  </si>
  <si>
    <t>dalt@ups.com</t>
  </si>
  <si>
    <t>malt@ups.com</t>
  </si>
  <si>
    <t>salt@ups.com</t>
  </si>
  <si>
    <t>naltabari@ups.com</t>
  </si>
  <si>
    <t>ualtaf@ups.com</t>
  </si>
  <si>
    <t>erickaltamirano@ups.com</t>
  </si>
  <si>
    <t>faltamirano@ups.com</t>
  </si>
  <si>
    <t>galtamirano@ups.com</t>
  </si>
  <si>
    <t>ialtamirano@ups.com</t>
  </si>
  <si>
    <t>jaltamirano@ups.com</t>
  </si>
  <si>
    <t>kkaltamirano@ups.com</t>
  </si>
  <si>
    <t>maltamirano@ups.com</t>
  </si>
  <si>
    <t>normaaltamirano@ups.com</t>
  </si>
  <si>
    <t>paltamirano@ups.com</t>
  </si>
  <si>
    <t>faltamura@ups.com</t>
  </si>
  <si>
    <t>maltariq@ups.com</t>
  </si>
  <si>
    <t>baltas@ups.com</t>
  </si>
  <si>
    <t>denizaltay@ups.com</t>
  </si>
  <si>
    <t>aalte@ups.com</t>
  </si>
  <si>
    <t>daltemose@ups.com</t>
  </si>
  <si>
    <t>daneillealtemose@ups.com</t>
  </si>
  <si>
    <t>jaltenschmidt@ups.com</t>
  </si>
  <si>
    <t>dalterman@ups.com</t>
  </si>
  <si>
    <t>walterman@ups.com</t>
  </si>
  <si>
    <t>walthamash@ups.com</t>
  </si>
  <si>
    <t>ivonnealthoff@ups.com</t>
  </si>
  <si>
    <t>laltier@ups.com</t>
  </si>
  <si>
    <t>naltieri@ups.com</t>
  </si>
  <si>
    <t>paltikat@ups.com</t>
  </si>
  <si>
    <t>haltin@ups.com</t>
  </si>
  <si>
    <t>saltinayar@ups.com</t>
  </si>
  <si>
    <t>saltingoez@ups.com</t>
  </si>
  <si>
    <t>salih.altinisik@europe.ups.com</t>
  </si>
  <si>
    <t>caltiparmak@ups.com</t>
  </si>
  <si>
    <t>galtmann@ups.com</t>
  </si>
  <si>
    <t>martinaaltmann@ups.com</t>
  </si>
  <si>
    <t>maltmann@ups.com</t>
  </si>
  <si>
    <t>daltom@ups.com</t>
  </si>
  <si>
    <t>aaltomare@ups.com</t>
  </si>
  <si>
    <t>saltomare@ups.com</t>
  </si>
  <si>
    <t>jalton@ups.com</t>
  </si>
  <si>
    <t>ralton@ups.com</t>
  </si>
  <si>
    <t>taltrui@ups.com</t>
  </si>
  <si>
    <t>fatih.altundag@europe.ups.com</t>
  </si>
  <si>
    <t>baltunisik@ups.com</t>
  </si>
  <si>
    <t>jaltura@ups.com</t>
  </si>
  <si>
    <t>daltus@ups.com</t>
  </si>
  <si>
    <t>maltzner@ups.com</t>
  </si>
  <si>
    <t>lalu@ups.com</t>
  </si>
  <si>
    <t>aalubala@ups.com</t>
  </si>
  <si>
    <t>aluexport@ups.com</t>
  </si>
  <si>
    <t>aalugo@ups.com</t>
  </si>
  <si>
    <t>palugubelli@ups.com</t>
  </si>
  <si>
    <t>daluguvelly@ups.com</t>
  </si>
  <si>
    <t>salukic@ups.com</t>
  </si>
  <si>
    <t>alumni@ups.com</t>
  </si>
  <si>
    <t>nalura@ups.com</t>
  </si>
  <si>
    <t>jalva@ups.com</t>
  </si>
  <si>
    <t>asrinivas@ups.com</t>
  </si>
  <si>
    <t>jalvanez@ups.com</t>
  </si>
  <si>
    <t>adamairaalvarado@ups.com</t>
  </si>
  <si>
    <t>adrianalbertoalvarado@ups.com</t>
  </si>
  <si>
    <t>axalvarado@ups.com</t>
  </si>
  <si>
    <t>aaalvarado@ups.com</t>
  </si>
  <si>
    <t>alejandroalvarado@ups.com</t>
  </si>
  <si>
    <t>alexanderalvarado@ups.com</t>
  </si>
  <si>
    <t>aalvarado@ups.com</t>
  </si>
  <si>
    <t>balvarado@ups.com</t>
  </si>
  <si>
    <t>bernardinoalvarado@ups.com</t>
  </si>
  <si>
    <t>calvarado@ups.com</t>
  </si>
  <si>
    <t>cesaralvarado@ups.com</t>
  </si>
  <si>
    <t>christyalvarado@ups.com</t>
  </si>
  <si>
    <t>cristianalvarado@ups.com</t>
  </si>
  <si>
    <t>dayanaalvarado@ups.com</t>
  </si>
  <si>
    <t>dalvarado@ups.com</t>
  </si>
  <si>
    <t>diegoalvarado@ups.com</t>
  </si>
  <si>
    <t>ealvarado1@ups.com</t>
  </si>
  <si>
    <t>ealvarado@ups.com</t>
  </si>
  <si>
    <t>elizabethalvarado@ups.com</t>
  </si>
  <si>
    <t>elsyalvarado@ups.com</t>
  </si>
  <si>
    <t>gabrielaalvarado@ups.com</t>
  </si>
  <si>
    <t>ixalvarado@ups.com</t>
  </si>
  <si>
    <t>jadealvarado@ups.com</t>
  </si>
  <si>
    <t>jefferyalvarado@ups.com</t>
  </si>
  <si>
    <t>jeremyalvarado@ups.com</t>
  </si>
  <si>
    <t>ajeric@ups.com</t>
  </si>
  <si>
    <t>joelalvarado@ups.com</t>
  </si>
  <si>
    <t>jorgealvarado@ups.com</t>
  </si>
  <si>
    <t>josealvarado@ups.com</t>
  </si>
  <si>
    <t>jalvarado2@ups.com</t>
  </si>
  <si>
    <t>julesalvarado@ups.com</t>
  </si>
  <si>
    <t>jalvarado@ups.com</t>
  </si>
  <si>
    <t>julioalvarado@ups.com</t>
  </si>
  <si>
    <t>lalvarado@ups.com</t>
  </si>
  <si>
    <t>luisangelalvarado@ups.com</t>
  </si>
  <si>
    <t>malvarado1@ups.com</t>
  </si>
  <si>
    <t>galvaradomedel@ups.com</t>
  </si>
  <si>
    <t>melvinalvarado@ups.com</t>
  </si>
  <si>
    <t>mercyalvarado@ups.com</t>
  </si>
  <si>
    <t>malvarado@ups.com</t>
  </si>
  <si>
    <t>monicaalvarado@ups.com</t>
  </si>
  <si>
    <t>nalvarado@ups.com</t>
  </si>
  <si>
    <t>oalvaradoramirez@ups.com</t>
  </si>
  <si>
    <t>ralvarado@ups.com</t>
  </si>
  <si>
    <t>rubenalvarado@ups.com</t>
  </si>
  <si>
    <t>rudyalvarado@ups.com</t>
  </si>
  <si>
    <t>salvarado1@ups.com</t>
  </si>
  <si>
    <t>sayraalvarado@ups.com</t>
  </si>
  <si>
    <t>silviaalvarado@ups.com</t>
  </si>
  <si>
    <t>valvarado@ups.com</t>
  </si>
  <si>
    <t>oalvarado@livingstoninc.com</t>
  </si>
  <si>
    <t>jalvarenga@ups.com</t>
  </si>
  <si>
    <t>aalvarez@ups.com</t>
  </si>
  <si>
    <t>alejandroalvarez@ups.com</t>
  </si>
  <si>
    <t>alyssaalvarez@ups.com</t>
  </si>
  <si>
    <t>amandaalvarez@ups.com</t>
  </si>
  <si>
    <t>aalvarez1@ups.com</t>
  </si>
  <si>
    <t>anaalvarez@ups.com</t>
  </si>
  <si>
    <t>anabillaalvarez@ups.com</t>
  </si>
  <si>
    <t>aalvarez2@ups.com</t>
  </si>
  <si>
    <t>augustinaalvarez@ups.com</t>
  </si>
  <si>
    <t>bernicealvarez@ups.com</t>
  </si>
  <si>
    <t>brookealvarez@ups.com</t>
  </si>
  <si>
    <t>balvarez@ups.com</t>
  </si>
  <si>
    <t>calvarez@ups.com</t>
  </si>
  <si>
    <t>carmenalvarez@ups.com</t>
  </si>
  <si>
    <t>clara.alvarez@europe.ups.com</t>
  </si>
  <si>
    <t>rossanaalvarezcontreras@ups.com</t>
  </si>
  <si>
    <t>danielalvarez@ups.com</t>
  </si>
  <si>
    <t>daphnealvarez@ups.com</t>
  </si>
  <si>
    <t>darwinalvarez@ups.com</t>
  </si>
  <si>
    <t>dalvarez@ups.com</t>
  </si>
  <si>
    <t>DNH2TWC@ups.com</t>
  </si>
  <si>
    <t>jalvarezdelcastillo@ups.com</t>
  </si>
  <si>
    <t>denisealvarez@ups.com</t>
  </si>
  <si>
    <t>dennisalvarez@ups.com</t>
  </si>
  <si>
    <t>derronalvarez@ups.com</t>
  </si>
  <si>
    <t>dianaalvarez@ups.com</t>
  </si>
  <si>
    <t>balvarezdiaz@ups.com</t>
  </si>
  <si>
    <t>dalvarez1@ups.com</t>
  </si>
  <si>
    <t>diegoalvarez@ups.com</t>
  </si>
  <si>
    <t>VRH1WHZ@ups.com</t>
  </si>
  <si>
    <t>elizabethalvarez@ups.com</t>
  </si>
  <si>
    <t>ealvarez2@ups.com</t>
  </si>
  <si>
    <t>ealvarez@ups.com</t>
  </si>
  <si>
    <t>ealvarez1@ups.com</t>
  </si>
  <si>
    <t>enriquealvarez@ups.com</t>
  </si>
  <si>
    <t>ericaalvarez@ups.com</t>
  </si>
  <si>
    <t>aevelyn@ups.com</t>
  </si>
  <si>
    <t>falvarez@ups.com</t>
  </si>
  <si>
    <t>kalvarezgarcia@ups.com</t>
  </si>
  <si>
    <t>galvarez@ups.com</t>
  </si>
  <si>
    <t>jalvarezgutierrez@ups.com</t>
  </si>
  <si>
    <t>malvarezgutierrez@ups.com</t>
  </si>
  <si>
    <t>ikeralvarez@ups.com</t>
  </si>
  <si>
    <t>ialvarez@ups.com</t>
  </si>
  <si>
    <t>jalvarez1@ups.com</t>
  </si>
  <si>
    <t>jaimealvarez@ups.com</t>
  </si>
  <si>
    <t>jalvarez2@ups.com</t>
  </si>
  <si>
    <t>jamesalvarez@ups.com</t>
  </si>
  <si>
    <t>janalvarez@ups.com</t>
  </si>
  <si>
    <t>jaquelinnemalvarez@ups.com</t>
  </si>
  <si>
    <t>lalvarezjaramillo@ups.com</t>
  </si>
  <si>
    <t>javieralvarez@ups.com</t>
  </si>
  <si>
    <t>SPA1JYA@europe.ups.com</t>
  </si>
  <si>
    <t>jenniferalvarez@ups.com</t>
  </si>
  <si>
    <t>jalvarez@ups.com</t>
  </si>
  <si>
    <t>johnalvarez@ups.com</t>
  </si>
  <si>
    <t>josefinaalvarez@ups.com</t>
  </si>
  <si>
    <t>josuealvarez@ups.com</t>
  </si>
  <si>
    <t>falvarezjr@ups.com</t>
  </si>
  <si>
    <t>juanalvarez@ups.com</t>
  </si>
  <si>
    <t>julianalvarez@ups.com</t>
  </si>
  <si>
    <t>kevinalvarez@ups.com</t>
  </si>
  <si>
    <t>kalvarez@ups.com</t>
  </si>
  <si>
    <t>llalvarez@ups.com</t>
  </si>
  <si>
    <t>lizettealvarez@ups.com</t>
  </si>
  <si>
    <t>luisalvarez@ups.com</t>
  </si>
  <si>
    <t>malvarez1@ups.com</t>
  </si>
  <si>
    <t>manuelalvarez@ups.com</t>
  </si>
  <si>
    <t>mariaalvarez@ups.com</t>
  </si>
  <si>
    <t>mariaestheralvarez@ups.com</t>
  </si>
  <si>
    <t>marilynalvarez@ups.com</t>
  </si>
  <si>
    <t>mmalvarez@ups.com</t>
  </si>
  <si>
    <t>marioalvarez@ups.com</t>
  </si>
  <si>
    <t>markalvarez@ups.com</t>
  </si>
  <si>
    <t>alvarez.marta@ups.com</t>
  </si>
  <si>
    <t>maynoralvarez@ups.com</t>
  </si>
  <si>
    <t>melinaalvarez@ups.com</t>
  </si>
  <si>
    <t>michelle.alvarez@ups.com</t>
  </si>
  <si>
    <t>miroslavaalvarez@ups.com</t>
  </si>
  <si>
    <t>nalvarez@ups.com</t>
  </si>
  <si>
    <t>nicholasalvarez@ups.com</t>
  </si>
  <si>
    <t>nyomialvarez@ups.com</t>
  </si>
  <si>
    <t>oalvarez@ups.com</t>
  </si>
  <si>
    <t>kalvarezosorio@ups.com</t>
  </si>
  <si>
    <t>pacificoalvarez@ups.com</t>
  </si>
  <si>
    <t>pkalvarez@ups.com</t>
  </si>
  <si>
    <t>palvarez@ups.com</t>
  </si>
  <si>
    <t>perlaalvarez@ups.com</t>
  </si>
  <si>
    <t>raulalvarez@ups.com</t>
  </si>
  <si>
    <t>renattoalvarez@ups.com</t>
  </si>
  <si>
    <t>rsalvarez@ups.com</t>
  </si>
  <si>
    <t>rickyreaalvarez@ups.com</t>
  </si>
  <si>
    <t>ritaalvarez@ups.com</t>
  </si>
  <si>
    <t>robertoalvarez@ups.com</t>
  </si>
  <si>
    <t>rxalvarez@ups.com</t>
  </si>
  <si>
    <t>EEE1CHH@ups.com</t>
  </si>
  <si>
    <t>ralvarez1@ups.com</t>
  </si>
  <si>
    <t>ryanalvarez@ups.com</t>
  </si>
  <si>
    <t>santiagoalvarez@ups.com</t>
  </si>
  <si>
    <t>salvarez@ups.com</t>
  </si>
  <si>
    <t>sergioalvarez@ups.com</t>
  </si>
  <si>
    <t>valvareztaborda@ups.com</t>
  </si>
  <si>
    <t>dalvareztamayo@ups.com</t>
  </si>
  <si>
    <t>teddyalvarez@ups.com</t>
  </si>
  <si>
    <t>talvarez@ups.com</t>
  </si>
  <si>
    <t>victoralvarez@ups.com</t>
  </si>
  <si>
    <t>valvarez@ups.com</t>
  </si>
  <si>
    <t>malvarez@upslogistics.fr</t>
  </si>
  <si>
    <t>ralvareztorre@ups.com</t>
  </si>
  <si>
    <t>ealvaro@ups.com</t>
  </si>
  <si>
    <t>timalvernaz@ups.com</t>
  </si>
  <si>
    <t>aalves@ups.com</t>
  </si>
  <si>
    <t>andressaalves@ups.com</t>
  </si>
  <si>
    <t>alves.dina@ups.com</t>
  </si>
  <si>
    <t>fabiennealves@ups.com</t>
  </si>
  <si>
    <t>jessicaalves@ups.com</t>
  </si>
  <si>
    <t>jalves@ups.com</t>
  </si>
  <si>
    <t>juliealves@ups.com</t>
  </si>
  <si>
    <t>nicholasalves@ups.com</t>
  </si>
  <si>
    <t>nalves@ups.com</t>
  </si>
  <si>
    <t>paulaalves@ups.com</t>
  </si>
  <si>
    <t>palves@ups.com</t>
  </si>
  <si>
    <t>salves@ups.com</t>
  </si>
  <si>
    <t>sergioalves@ups.com</t>
  </si>
  <si>
    <t>talves@ups.com</t>
  </si>
  <si>
    <t>viniciusalves@ups.com</t>
  </si>
  <si>
    <t>aalvey@ups.com</t>
  </si>
  <si>
    <t>calvey@ups.com</t>
  </si>
  <si>
    <t>dalvey@ups.com</t>
  </si>
  <si>
    <t>kalvey@ups.com</t>
  </si>
  <si>
    <t>malvey@ups.com</t>
  </si>
  <si>
    <t>samanthaalvey@ups.com</t>
  </si>
  <si>
    <t>falvi@ups.com</t>
  </si>
  <si>
    <t>salvi@ups.com</t>
  </si>
  <si>
    <t>valvia@ups.com</t>
  </si>
  <si>
    <t>calvina@ups.com</t>
  </si>
  <si>
    <t>salvino@ups.com</t>
  </si>
  <si>
    <t>aangelyka@ups.com</t>
  </si>
  <si>
    <t>galvis@ups.com</t>
  </si>
  <si>
    <t>kalvis@ups.com</t>
  </si>
  <si>
    <t>csalvogen@ups.com</t>
  </si>
  <si>
    <t>valwala@ups.com</t>
  </si>
  <si>
    <t>jalwan@ups.com</t>
  </si>
  <si>
    <t>ralward@ups.com</t>
  </si>
  <si>
    <t>calwine@ups.com</t>
  </si>
  <si>
    <t>faly@ups.com</t>
  </si>
  <si>
    <t>aalyabiev@ups.com</t>
  </si>
  <si>
    <t>kalyabyev@ups.com</t>
  </si>
  <si>
    <t>alycia.klocke@coyote.com</t>
  </si>
  <si>
    <t>alyssa.gann@cabelas.com</t>
  </si>
  <si>
    <t>alyssa@riverofgoods.com</t>
  </si>
  <si>
    <t>alyza.hang@vietranslink.com</t>
  </si>
  <si>
    <t>tmal-zaidy@ups.com</t>
  </si>
  <si>
    <t>walzain@ups.com</t>
  </si>
  <si>
    <t>federicoalzate@ups.com</t>
  </si>
  <si>
    <t>saraalzategomez@ups.com</t>
  </si>
  <si>
    <t>malzate@ups.com</t>
  </si>
  <si>
    <t>salzatetovar@ups.com</t>
  </si>
  <si>
    <t>balzatezapata@ups.com</t>
  </si>
  <si>
    <t>aalzeeban@ups.com</t>
  </si>
  <si>
    <t>aalzobaidi@ups.com</t>
  </si>
  <si>
    <t>aalexismarc@ups.com</t>
  </si>
  <si>
    <t>halzubaidi@ups.com</t>
  </si>
  <si>
    <t>balzuhairi@ups.com</t>
  </si>
  <si>
    <t>aam@ups.com</t>
  </si>
  <si>
    <t>yamable@ups.com</t>
  </si>
  <si>
    <t>samac@ups.com</t>
  </si>
  <si>
    <t>ajessajane@ups.com</t>
  </si>
  <si>
    <t>kamado@ups.com</t>
  </si>
  <si>
    <t>namado@ups.com</t>
  </si>
  <si>
    <t>araviela@zermatusa.com</t>
  </si>
  <si>
    <t>gamador@ups.com</t>
  </si>
  <si>
    <t>jamador@ups.com</t>
  </si>
  <si>
    <t>mamador@ups.com</t>
  </si>
  <si>
    <t>ramador@ups.com</t>
  </si>
  <si>
    <t>yamador@ups.com</t>
  </si>
  <si>
    <t>mamadoro@ups.com</t>
  </si>
  <si>
    <t>aamaechi@ups.com</t>
  </si>
  <si>
    <t>mamaechi@ups.com</t>
  </si>
  <si>
    <t>mamael@ups.com</t>
  </si>
  <si>
    <t>amagaya.koji@ups.com</t>
  </si>
  <si>
    <t>bamahtil@ups.com</t>
  </si>
  <si>
    <t>jamaker@ups.com</t>
  </si>
  <si>
    <t>lamaker@ups.com</t>
  </si>
  <si>
    <t>lamakom@ups.com</t>
  </si>
  <si>
    <t>mamakrane@ups.com</t>
  </si>
  <si>
    <t>camami@ups.com</t>
  </si>
  <si>
    <t>kaman@ups.com</t>
  </si>
  <si>
    <t>saman@ups.com</t>
  </si>
  <si>
    <t>damana@ups.com</t>
  </si>
  <si>
    <t>jamancio@ups.com</t>
  </si>
  <si>
    <t>amanda.ellsworth@philips.com</t>
  </si>
  <si>
    <t>dispatch1@centralilcourier.com</t>
  </si>
  <si>
    <t>ajohnson@beavex.com</t>
  </si>
  <si>
    <t>amandama@ups.com</t>
  </si>
  <si>
    <t>amanda_mares@gap.com</t>
  </si>
  <si>
    <t>amanda.mcdermand@acceltex.com</t>
  </si>
  <si>
    <t>atroup@Leedsworld.com</t>
  </si>
  <si>
    <t>amanda@schaltbau-na.com</t>
  </si>
  <si>
    <t>amanda@coopercourier.com</t>
  </si>
  <si>
    <t>Amanda_betts@canadacartage.com</t>
  </si>
  <si>
    <t>bamandine@ups.com</t>
  </si>
  <si>
    <t>aamann1@ups.com</t>
  </si>
  <si>
    <t>toddamann@ups.com</t>
  </si>
  <si>
    <t>gamante@ups.com</t>
  </si>
  <si>
    <t>kamante@ups.com</t>
  </si>
  <si>
    <t>pamanuelsr@ups.com</t>
  </si>
  <si>
    <t>maliamanullah@ups.com</t>
  </si>
  <si>
    <t>mamanullah@ups.com</t>
  </si>
  <si>
    <t>amaptooling@ups.com</t>
  </si>
  <si>
    <t>damara@ups.com</t>
  </si>
  <si>
    <t>aamaral@ups.com</t>
  </si>
  <si>
    <t>camilaamaral@ups.com</t>
  </si>
  <si>
    <t>lamaral@ups.com</t>
  </si>
  <si>
    <t>mamarante@ups.com</t>
  </si>
  <si>
    <t>aamare@ups.com</t>
  </si>
  <si>
    <t>eamare@ups.com</t>
  </si>
  <si>
    <t>an@ups.com</t>
  </si>
  <si>
    <t>araghavendra@ups.com</t>
  </si>
  <si>
    <t>nazeemamari@ups.com</t>
  </si>
  <si>
    <t>aamarilio1@ups.com</t>
  </si>
  <si>
    <t>wamarilla@ups.com</t>
  </si>
  <si>
    <t>aamarilli@ups.com</t>
  </si>
  <si>
    <t>aryangreg@ups.com</t>
  </si>
  <si>
    <t>jamaris@ups.com</t>
  </si>
  <si>
    <t>achandrashekhar@ups.com</t>
  </si>
  <si>
    <t>Amarjit_rai@canadacartage.com</t>
  </si>
  <si>
    <t>adrianaamaro@ups.com</t>
  </si>
  <si>
    <t>albertamaro@ups.com</t>
  </si>
  <si>
    <t>aamaro@ups.com</t>
  </si>
  <si>
    <t>alexanderamaro@ups.com</t>
  </si>
  <si>
    <t>damaro@ups.com</t>
  </si>
  <si>
    <t>gamaro@upsstore.com</t>
  </si>
  <si>
    <t>mamaro@ups.com</t>
  </si>
  <si>
    <t>maryamaro@ups.com</t>
  </si>
  <si>
    <t>iamaroquintero@ups.com</t>
  </si>
  <si>
    <t>yamaro@ups.com</t>
  </si>
  <si>
    <t>apaulrex@ups.com</t>
  </si>
  <si>
    <t>aadrielle@ups.com</t>
  </si>
  <si>
    <t>eamashta@ups.com</t>
  </si>
  <si>
    <t>amatordercontrols@ups.com</t>
  </si>
  <si>
    <t>samat@ups.com</t>
  </si>
  <si>
    <t>bamatetti@ups.com</t>
  </si>
  <si>
    <t>namatetti@ups.com</t>
  </si>
  <si>
    <t>lamatkarijo@ups.com</t>
  </si>
  <si>
    <t>aamato@ups.com</t>
  </si>
  <si>
    <t>camato@ups.com</t>
  </si>
  <si>
    <t>aisha@ups.com</t>
  </si>
  <si>
    <t>aamaya@ups.com</t>
  </si>
  <si>
    <t>camaya@ups.com</t>
  </si>
  <si>
    <t>eamaya@ups.com</t>
  </si>
  <si>
    <t>gamaya@ups.com</t>
  </si>
  <si>
    <t>genesisamaya@ups.com</t>
  </si>
  <si>
    <t>hamaya@ups.com</t>
  </si>
  <si>
    <t>jesusamaya@ups.com</t>
  </si>
  <si>
    <t>josephamaya@ups.com</t>
  </si>
  <si>
    <t>jamaya@ups.com</t>
  </si>
  <si>
    <t>lidiaamaya@ups.com</t>
  </si>
  <si>
    <t>eamayavanegas@ups.com</t>
  </si>
  <si>
    <t>famayaamador@ups.com</t>
  </si>
  <si>
    <t>jamayoiv@ups.com</t>
  </si>
  <si>
    <t>lamayo@ups.com</t>
  </si>
  <si>
    <t>amazonsetupsupport@ups.com</t>
  </si>
  <si>
    <t>amazonaessetup@ups.com</t>
  </si>
  <si>
    <t>amazonups@ups.com</t>
  </si>
  <si>
    <t>amazonbookings@ups.com</t>
  </si>
  <si>
    <t>amazoncaexceptions@ups.com</t>
  </si>
  <si>
    <t>amazoncmh1@ups.com</t>
  </si>
  <si>
    <t>amazoncmh2@ups.com</t>
  </si>
  <si>
    <t>brokeramazon@ups.com</t>
  </si>
  <si>
    <t>amazonnavigator@ups.com</t>
  </si>
  <si>
    <t>AmazonUSDocs@ups.com</t>
  </si>
  <si>
    <t>upsamazonedi@ups.com</t>
  </si>
  <si>
    <t>amazonexceptions@ups.com</t>
  </si>
  <si>
    <t>amazonisf@ups.com</t>
  </si>
  <si>
    <t>mke1amazon@ups.com</t>
  </si>
  <si>
    <t>amazonmsp1@ups.com</t>
  </si>
  <si>
    <t>amazonprt@ups.com</t>
  </si>
  <si>
    <t>amazonsmallpk@ups.com</t>
  </si>
  <si>
    <t>gbsamazon@ups.com</t>
  </si>
  <si>
    <t>amazonteam@ups.com</t>
  </si>
  <si>
    <t>amazonteamus@ups.com</t>
  </si>
  <si>
    <t>amazonupsbrokerageams@ups.com</t>
  </si>
  <si>
    <t>amazonupsbrokeragebhxair@ups.com</t>
  </si>
  <si>
    <t>amazonupsbrokeragebhxocean@ups.com</t>
  </si>
  <si>
    <t>amazonupsbrokeragespain@ups.com</t>
  </si>
  <si>
    <t>amazonwepay@ups.com</t>
  </si>
  <si>
    <t>AmazonCCFMbx@ups.com</t>
  </si>
  <si>
    <t>amazondeintake@ups.com</t>
  </si>
  <si>
    <t>amazondr@ups.com</t>
  </si>
  <si>
    <t>amazoneacollections@ups.com</t>
  </si>
  <si>
    <t>amazones@ups.com</t>
  </si>
  <si>
    <t>amazonie@ups.com</t>
  </si>
  <si>
    <t>amazonismx@ups.com</t>
  </si>
  <si>
    <t>amazonpartneredcarrierprogram@ups.com</t>
  </si>
  <si>
    <t>amazonupgf@ups.com</t>
  </si>
  <si>
    <t>amazonupsbrokeragefra@ups.com</t>
  </si>
  <si>
    <t>amazonupsbrokerageham@ups.com</t>
  </si>
  <si>
    <t>amazonupsf@ups.com</t>
  </si>
  <si>
    <t>amazonupsi@ups.com</t>
  </si>
  <si>
    <t>amazonupsm@ups.com</t>
  </si>
  <si>
    <t>amazonupsn@ups.com</t>
  </si>
  <si>
    <t>amazonupsr@ups.com</t>
  </si>
  <si>
    <t>amazonzaimports@ups.com</t>
  </si>
  <si>
    <t>sambalathingal@ups.com</t>
  </si>
  <si>
    <t>sambardekar@ups.com</t>
  </si>
  <si>
    <t>zarehambarsoom@ups.com</t>
  </si>
  <si>
    <t>kambartsoumean@ups.com</t>
  </si>
  <si>
    <t>ambaskristine@ups.com</t>
  </si>
  <si>
    <t>sambati@ups.com</t>
  </si>
  <si>
    <t>jambe@ups.com</t>
  </si>
  <si>
    <t>sambekar@ups.com</t>
  </si>
  <si>
    <t>amber@cbces.com</t>
  </si>
  <si>
    <t>amber.huber@swit-tx.com</t>
  </si>
  <si>
    <t>angelo@rentcss.com</t>
  </si>
  <si>
    <t>amber.mcleod@xerox.com</t>
  </si>
  <si>
    <t>amber@nowexpressinc.net</t>
  </si>
  <si>
    <t>yamberkar@ups.com</t>
  </si>
  <si>
    <t>ajuilee@ups.com</t>
  </si>
  <si>
    <t>ewwiph@mlh.com.my</t>
  </si>
  <si>
    <t>ajaclynnicole@ups.com</t>
  </si>
  <si>
    <t>cambitho@ups.com</t>
  </si>
  <si>
    <t>aambre@ups.com</t>
  </si>
  <si>
    <t>ashridhar@ups.com</t>
  </si>
  <si>
    <t>oambris@ups.com</t>
  </si>
  <si>
    <t>fambriz@ups.com</t>
  </si>
  <si>
    <t>abigailambrose@ups.com</t>
  </si>
  <si>
    <t>aambrose@ups.com</t>
  </si>
  <si>
    <t>charlesambrose@ups.com</t>
  </si>
  <si>
    <t>cambrose@ups.com</t>
  </si>
  <si>
    <t>gambrose@ups.com</t>
  </si>
  <si>
    <t>nancyambrose@ups.com</t>
  </si>
  <si>
    <t>cambrosi@ups.com</t>
  </si>
  <si>
    <t>dambrosiani@ups.com</t>
  </si>
  <si>
    <t>lambrosino@ups.com</t>
  </si>
  <si>
    <t>fambrosio@ups.com</t>
  </si>
  <si>
    <t>ambrozia.justin@ups.com</t>
  </si>
  <si>
    <t>lambroziak@ups.com</t>
  </si>
  <si>
    <t>lukaszambroziak@ups.com</t>
  </si>
  <si>
    <t>tambrozicsantini@ups.com</t>
  </si>
  <si>
    <t>jambrozik@ups.com</t>
  </si>
  <si>
    <t>mambrozy@ups.com</t>
  </si>
  <si>
    <t>jamburgey@ups.com</t>
  </si>
  <si>
    <t>pamburgey@ups.com</t>
  </si>
  <si>
    <t>amc1@ups.com</t>
  </si>
  <si>
    <t>amdccommoditygp@ups.com</t>
  </si>
  <si>
    <t>amdciqa@ups.com</t>
  </si>
  <si>
    <t>camede@ups.com</t>
  </si>
  <si>
    <t>aameelyskerra@ups.com</t>
  </si>
  <si>
    <t>sameen@ups.com</t>
  </si>
  <si>
    <t>wameen@ups.com</t>
  </si>
  <si>
    <t>aameer@ups.com</t>
  </si>
  <si>
    <t>mamelang@ups.com</t>
  </si>
  <si>
    <t>claudio.amelotti@europe.ups.com</t>
  </si>
  <si>
    <t>eamenabar@ups.com</t>
  </si>
  <si>
    <t>camend@ups.com</t>
  </si>
  <si>
    <t>famenita@ups.com</t>
  </si>
  <si>
    <t>bament@ups.com</t>
  </si>
  <si>
    <t>pamentojr@ups.com</t>
  </si>
  <si>
    <t>mamer@ups.com</t>
  </si>
  <si>
    <t>reiner.amereller@ups.com</t>
  </si>
  <si>
    <t>mameri@ups.com</t>
  </si>
  <si>
    <t>nameri@ups.com</t>
  </si>
  <si>
    <t>joanneamerica@ups.com</t>
  </si>
  <si>
    <t>heartwalk@ups.com</t>
  </si>
  <si>
    <t>americascommunityrelations@ups.com</t>
  </si>
  <si>
    <t>americasenterprise@ups.com</t>
  </si>
  <si>
    <t>americasfasys@ups.com</t>
  </si>
  <si>
    <t>amrrev@ups.com</t>
  </si>
  <si>
    <t>americasiereports@ups.com</t>
  </si>
  <si>
    <t>amsregionlg@ups.com</t>
  </si>
  <si>
    <t>americaspricing@ups.com</t>
  </si>
  <si>
    <t>americasregioncompben@ups.com</t>
  </si>
  <si>
    <t>americasregionsecurity@ups.com</t>
  </si>
  <si>
    <t>latamtranslations@ups.com</t>
  </si>
  <si>
    <t>americassalesops@ups.com</t>
  </si>
  <si>
    <t>amesalesops@ups.com</t>
  </si>
  <si>
    <t>amre2kinvoices@ups.com</t>
  </si>
  <si>
    <t>amspp@ups.com</t>
  </si>
  <si>
    <t>americasspp@ups.com</t>
  </si>
  <si>
    <t>techsvcmx@ups.com</t>
  </si>
  <si>
    <t>americastelecom@ups.com</t>
  </si>
  <si>
    <t>americastsg@ups.com</t>
  </si>
  <si>
    <t>AmericasCommandCenterSBDTeam@Dell.com</t>
  </si>
  <si>
    <t>jamerico@ups.com</t>
  </si>
  <si>
    <t>amerinet@ups.com</t>
  </si>
  <si>
    <t>amerlog@sgi.com</t>
  </si>
  <si>
    <t>amerlog@corp.sgi.com</t>
  </si>
  <si>
    <t>lamerman@ups.com</t>
  </si>
  <si>
    <t>bamero@ups.com</t>
  </si>
  <si>
    <t>damero@ups.com</t>
  </si>
  <si>
    <t>amero.brian@teradyne.com</t>
  </si>
  <si>
    <t>kamerson@ups.com</t>
  </si>
  <si>
    <t>pamerson@ups.com</t>
  </si>
  <si>
    <t>amery.stafford@coyote.com</t>
  </si>
  <si>
    <t>dames@ups.com</t>
  </si>
  <si>
    <t>jaames@ups.com</t>
  </si>
  <si>
    <t>kames@ups.com</t>
  </si>
  <si>
    <t>lames1@ups.com</t>
  </si>
  <si>
    <t>lames@ups.com</t>
  </si>
  <si>
    <t>mandyames@ups.com</t>
  </si>
  <si>
    <t>mames@ups.com</t>
  </si>
  <si>
    <t>mikeames@ups.com</t>
  </si>
  <si>
    <t>names@ups.com</t>
  </si>
  <si>
    <t>pames@ups.com</t>
  </si>
  <si>
    <t>amedmp@ups.com</t>
  </si>
  <si>
    <t>tames@ups.com</t>
  </si>
  <si>
    <t>mamesbury@ups.com</t>
  </si>
  <si>
    <t>FRA1JNA@europe.ups.com</t>
  </si>
  <si>
    <t>pamey@ups.com</t>
  </si>
  <si>
    <t>cameyaw@ups.com</t>
  </si>
  <si>
    <t>aamezcua@ups.com</t>
  </si>
  <si>
    <t>eamezcua@ups.com</t>
  </si>
  <si>
    <t>jamezcua@ups.com</t>
  </si>
  <si>
    <t>aamezquita@ups.com</t>
  </si>
  <si>
    <t>amgairimport@ups.com</t>
  </si>
  <si>
    <t>amgdellair@ups.com</t>
  </si>
  <si>
    <t>amgenupsops@ups.com</t>
  </si>
  <si>
    <t>mamghaz@ups.com</t>
  </si>
  <si>
    <t>ajoserey@ups.com</t>
  </si>
  <si>
    <t>DidierAmiach@ups.com</t>
  </si>
  <si>
    <t>iamicone@ups.com</t>
  </si>
  <si>
    <t>jamicucci@ups.com</t>
  </si>
  <si>
    <t>pamidal@ups.com</t>
  </si>
  <si>
    <t>amie.burgess@terex.com</t>
  </si>
  <si>
    <t>lamie@ups.com</t>
  </si>
  <si>
    <t>yamien@ups.com</t>
  </si>
  <si>
    <t>damiet@ups.com</t>
  </si>
  <si>
    <t>aamin@ups.com</t>
  </si>
  <si>
    <t>atifamin@ups.com</t>
  </si>
  <si>
    <t>damin@ups.com</t>
  </si>
  <si>
    <t>hamin@ups.com</t>
  </si>
  <si>
    <t>mamin@ups.com</t>
  </si>
  <si>
    <t>AMIN@BELINCUSA.COM</t>
  </si>
  <si>
    <t>saarthamin@ups.com</t>
  </si>
  <si>
    <t>ashailesh@ups.com</t>
  </si>
  <si>
    <t>tamin@ups.com</t>
  </si>
  <si>
    <t>jamio@ups.com</t>
  </si>
  <si>
    <t>saidamir@ups.com</t>
  </si>
  <si>
    <t>eamiri@ups.com</t>
  </si>
  <si>
    <t>jamiri@ups.com</t>
  </si>
  <si>
    <t>mamisikoko@ups.com</t>
  </si>
  <si>
    <t>samitkumar@ups.com</t>
  </si>
  <si>
    <t>palanpureamit@ups.com</t>
  </si>
  <si>
    <t>aamjad@ups.com</t>
  </si>
  <si>
    <t>mamjad@ups.com</t>
  </si>
  <si>
    <t>aamkouy@ups.com</t>
  </si>
  <si>
    <t>tamling@ups.com</t>
  </si>
  <si>
    <t>fammahtagoe@ups.com</t>
  </si>
  <si>
    <t>sammamoo@ups.com</t>
  </si>
  <si>
    <t>bassam.ammar@europe.ups.com</t>
  </si>
  <si>
    <t>rammasikani@ups.com</t>
  </si>
  <si>
    <t>martin.ammersdorfer@europe.ups.com</t>
  </si>
  <si>
    <t>aammons@ups.com</t>
  </si>
  <si>
    <t>sammons@ups.com</t>
  </si>
  <si>
    <t>amoexpediteteam@ups.com</t>
  </si>
  <si>
    <t>lamoah@ups.com</t>
  </si>
  <si>
    <t>ramoah@ups.com</t>
  </si>
  <si>
    <t>robertamoah@ups.com</t>
  </si>
  <si>
    <t>mamoako@ups.com</t>
  </si>
  <si>
    <t>barbaraamoateng@ups.com</t>
  </si>
  <si>
    <t>jamodio@ups.com</t>
  </si>
  <si>
    <t>aamoedo@ups.com</t>
  </si>
  <si>
    <t>aamofaboachie@ups.com</t>
  </si>
  <si>
    <t>bolaamolegbe@ups.com</t>
  </si>
  <si>
    <t>aamong@ups.com</t>
  </si>
  <si>
    <t>mamor@ups.com</t>
  </si>
  <si>
    <t>pedroamora@ups.com</t>
  </si>
  <si>
    <t>mamoranto@ups.com</t>
  </si>
  <si>
    <t>samore@ups.com</t>
  </si>
  <si>
    <t>aangellyn@ups.com</t>
  </si>
  <si>
    <t>samori@upsstore.com</t>
  </si>
  <si>
    <t>bamorim@ups.com</t>
  </si>
  <si>
    <t>cristina.amorim@europe.ups.com</t>
  </si>
  <si>
    <t>aannabellelee@ups.com</t>
  </si>
  <si>
    <t>camos@ups.com</t>
  </si>
  <si>
    <t>damos@ups.com</t>
  </si>
  <si>
    <t>dandreamos@ups.com</t>
  </si>
  <si>
    <t>darcellamos@ups.com</t>
  </si>
  <si>
    <t>famos@ups.com</t>
  </si>
  <si>
    <t>jamos@ups.com</t>
  </si>
  <si>
    <t>lamos@ups.com</t>
  </si>
  <si>
    <t>amos.lim@ups.com</t>
  </si>
  <si>
    <t>mayaamos@ups.com</t>
  </si>
  <si>
    <t>michaelamos@ups.com</t>
  </si>
  <si>
    <t>namos@ups.com</t>
  </si>
  <si>
    <t>rlamos@ups.com</t>
  </si>
  <si>
    <t>saraamos@ups.com</t>
  </si>
  <si>
    <t>sxamos@ups.com</t>
  </si>
  <si>
    <t>samos@ups.com</t>
  </si>
  <si>
    <t>wamos@ups.com</t>
  </si>
  <si>
    <t>ayovenn@ups.com</t>
  </si>
  <si>
    <t>aluieaga@ups.com</t>
  </si>
  <si>
    <t>mamparo@ups.com</t>
  </si>
  <si>
    <t>samparo@ups.com</t>
  </si>
  <si>
    <t>amphenol@ups.com</t>
  </si>
  <si>
    <t>zampleman@ups.com</t>
  </si>
  <si>
    <t>acalvinloie@ups.com</t>
  </si>
  <si>
    <t>kampofo@ups.com</t>
  </si>
  <si>
    <t>mampong@ups.com</t>
  </si>
  <si>
    <t>famponsah@ups.com</t>
  </si>
  <si>
    <t>jamponsah@ups.com</t>
  </si>
  <si>
    <t>jamposta@ups.com</t>
  </si>
  <si>
    <t>amrcreditbillingadj@ups.com</t>
  </si>
  <si>
    <t>amrfinacct@ups.com</t>
  </si>
  <si>
    <t>yamrane@ups.com</t>
  </si>
  <si>
    <t>farahamrani@ups.com</t>
  </si>
  <si>
    <t>famrani@ups.com</t>
  </si>
  <si>
    <t>namrani@ups.com</t>
  </si>
  <si>
    <t>aamrao@ups.com</t>
  </si>
  <si>
    <t>amrarc@ups.com</t>
  </si>
  <si>
    <t>eamrati@ups.com</t>
  </si>
  <si>
    <t>mamrouni@ups.com</t>
  </si>
  <si>
    <t>aaniket@ups.com</t>
  </si>
  <si>
    <t>amssupport@ups.com</t>
  </si>
  <si>
    <t>amspharma@ups.com</t>
  </si>
  <si>
    <t>amsairimport2@ups.com</t>
  </si>
  <si>
    <t>jamshoff@ups.com</t>
  </si>
  <si>
    <t>samshoff@ups.com</t>
  </si>
  <si>
    <t>jamsif@ups.com</t>
  </si>
  <si>
    <t>annette.amthor@europe.ups.com</t>
  </si>
  <si>
    <t>aamukamara@ups.com</t>
  </si>
  <si>
    <t>aamule@ups.com</t>
  </si>
  <si>
    <t>wamundsen@ups.com</t>
  </si>
  <si>
    <t>camundson@ups.com</t>
  </si>
  <si>
    <t>damundson@ups.com</t>
  </si>
  <si>
    <t>jamundson@ups.com</t>
  </si>
  <si>
    <t>amelissa@ups.com</t>
  </si>
  <si>
    <t>bamuzzini@ups.com</t>
  </si>
  <si>
    <t>CarsonA@firstinterbank.com</t>
  </si>
  <si>
    <t>amy@jovani.com</t>
  </si>
  <si>
    <t>ADRAHER@US.OETIKER.COM</t>
  </si>
  <si>
    <t>amyr@napsteel.com</t>
  </si>
  <si>
    <t>amyhuang@ups.com</t>
  </si>
  <si>
    <t>amyjin@ups.com</t>
  </si>
  <si>
    <t>Amy.R.Kyle@ricoh-usa.com</t>
  </si>
  <si>
    <t>amorgan@costco.com</t>
  </si>
  <si>
    <t>apoole@lenovo.com</t>
  </si>
  <si>
    <t>amyq@signature4.com</t>
  </si>
  <si>
    <t>AMY.SCHULTZ@RCMA-AMERICAS.COM</t>
  </si>
  <si>
    <t>ayork@sea.samsung.com</t>
  </si>
  <si>
    <t>gamyot@ups.com</t>
  </si>
  <si>
    <t>angela.an@ups.com</t>
  </si>
  <si>
    <t>anna.an@ups.com</t>
  </si>
  <si>
    <t>CocoliAn@worldkitchen.com</t>
  </si>
  <si>
    <t>ajinkyung@ups.com</t>
  </si>
  <si>
    <t>ajinjun@ups.com</t>
  </si>
  <si>
    <t>aamarelo@crimzonrose.com</t>
  </si>
  <si>
    <t>danielana@ups.com</t>
  </si>
  <si>
    <t>anahernandez@roostergroup.com</t>
  </si>
  <si>
    <t>wmotionanajuliacaldas@ups.com</t>
  </si>
  <si>
    <t>mana@ups.com</t>
  </si>
  <si>
    <t>coasanapaula@ups.com</t>
  </si>
  <si>
    <t>areyes@jardensafety.com</t>
  </si>
  <si>
    <t>asolito@parcelpro.com</t>
  </si>
  <si>
    <t>ana.villalobos@dgpb.com</t>
  </si>
  <si>
    <t>Anabel_trevino@jabil.com</t>
  </si>
  <si>
    <t>anabertha@trichromaticwest.com</t>
  </si>
  <si>
    <t>manacleto@ups.com</t>
  </si>
  <si>
    <t>anadolucozum@ups.com</t>
  </si>
  <si>
    <t>anadrol@csd.sgi.com</t>
  </si>
  <si>
    <t>canagnos@ups.com</t>
  </si>
  <si>
    <t>danagnos@ups.com</t>
  </si>
  <si>
    <t>ajervyreyes@ups.com</t>
  </si>
  <si>
    <t>caanadmp@ups.com</t>
  </si>
  <si>
    <t>anaheimhv@ups.com</t>
  </si>
  <si>
    <t>anakjapingmark@ups.com</t>
  </si>
  <si>
    <t>eanakhasyan@ups.com</t>
  </si>
  <si>
    <t>ait@ups.com</t>
  </si>
  <si>
    <t>anamunoz@ctron.com</t>
  </si>
  <si>
    <t>asanan@ups.com</t>
  </si>
  <si>
    <t>aanand@ups.com</t>
  </si>
  <si>
    <t>hanand@ups.com</t>
  </si>
  <si>
    <t>kausalyaanand@ups.com</t>
  </si>
  <si>
    <t>panand@ups.com</t>
  </si>
  <si>
    <t>ashreelakshmi@ups.com</t>
  </si>
  <si>
    <t>asoni00@sears.com</t>
  </si>
  <si>
    <t>valerieanand@ups.com</t>
  </si>
  <si>
    <t>vibhaanand@ups.com</t>
  </si>
  <si>
    <t>aanandababu@ups.com</t>
  </si>
  <si>
    <t>sanandan@ups.com</t>
  </si>
  <si>
    <t>subashinianandan@ups.com</t>
  </si>
  <si>
    <t>vigneshanandan@ups.com</t>
  </si>
  <si>
    <t>sengolanandaraj@ups.com</t>
  </si>
  <si>
    <t>sanandhan@ups.com</t>
  </si>
  <si>
    <t>aanandou@ups.com</t>
  </si>
  <si>
    <t>manane@ups.com</t>
  </si>
  <si>
    <t>banant@ups.com</t>
  </si>
  <si>
    <t>bananthan@ups.com</t>
  </si>
  <si>
    <t>sananthapadmanabha@ups.com</t>
  </si>
  <si>
    <t>manaparthi@ups.com</t>
  </si>
  <si>
    <t>kanapolsky@ups.com</t>
  </si>
  <si>
    <t>banari@ups.com</t>
  </si>
  <si>
    <t>sanas@ups.com</t>
  </si>
  <si>
    <t>manastacio@ups.com</t>
  </si>
  <si>
    <t>arovince@ups.com</t>
  </si>
  <si>
    <t>janastasia@ups.com</t>
  </si>
  <si>
    <t>ranastasia@ups.com</t>
  </si>
  <si>
    <t>Anastasia.Scott@astellas.com</t>
  </si>
  <si>
    <t>danastasio@ups.com</t>
  </si>
  <si>
    <t>ganastasking@ups.com</t>
  </si>
  <si>
    <t>wanastasking@ups.com</t>
  </si>
  <si>
    <t>hanasuri@ups.com</t>
  </si>
  <si>
    <t>ANATACIA.PERALTA@BICGRAPHIC.COM</t>
  </si>
  <si>
    <t>anatoly@prosourcefit.com</t>
  </si>
  <si>
    <t>aranaya@ups.com</t>
  </si>
  <si>
    <t>alexanaya@ups.com</t>
  </si>
  <si>
    <t>aanaya@ups.com</t>
  </si>
  <si>
    <t>fanaya@ups.com</t>
  </si>
  <si>
    <t>oanayajr@ups.com</t>
  </si>
  <si>
    <t>marthaanaya@ups.com</t>
  </si>
  <si>
    <t>aanayaperez@ups.com</t>
  </si>
  <si>
    <t>eanayalane@ups.com</t>
  </si>
  <si>
    <t>banburajan@ups.com</t>
  </si>
  <si>
    <t>ancadmins@ups.com</t>
  </si>
  <si>
    <t>tancell@ups.com</t>
  </si>
  <si>
    <t>ancgateway@ups.com</t>
  </si>
  <si>
    <t>aamit@ups.com</t>
  </si>
  <si>
    <t>mancher1@ups.com</t>
  </si>
  <si>
    <t>anchetaclark@ups.com</t>
  </si>
  <si>
    <t>anchetajoseph@ups.com</t>
  </si>
  <si>
    <t>ancmx@ups.com</t>
  </si>
  <si>
    <t>anchoragesbg@ups.com</t>
  </si>
  <si>
    <t>chuckhart@ups.com</t>
  </si>
  <si>
    <t>janciro@ups.com</t>
  </si>
  <si>
    <t>rancona@ups.com</t>
  </si>
  <si>
    <t>tancona@ups.com</t>
  </si>
  <si>
    <t>canctil@ups.com</t>
  </si>
  <si>
    <t>ranctil@ups.com</t>
  </si>
  <si>
    <t>aloyalitahijjah@ups.com</t>
  </si>
  <si>
    <t>fandaya@ups.com</t>
  </si>
  <si>
    <t>jandazola@ups.com</t>
  </si>
  <si>
    <t>daniela.andena@europe.ups.com</t>
  </si>
  <si>
    <t>tandereck@ups.com</t>
  </si>
  <si>
    <t>aanders@ups.com</t>
  </si>
  <si>
    <t>janders@ups.com</t>
  </si>
  <si>
    <t>kelianders@ups.com</t>
  </si>
  <si>
    <t>kanders@ups.com</t>
  </si>
  <si>
    <t>landers@ups.com</t>
  </si>
  <si>
    <t>marko.anders@europe.ups.com</t>
  </si>
  <si>
    <t>torsten.anders@europe.ups.com</t>
  </si>
  <si>
    <t>andreaandersen@ups.com</t>
  </si>
  <si>
    <t>aandersen@ups.com</t>
  </si>
  <si>
    <t>arlesandersen@ups.com</t>
  </si>
  <si>
    <t>chadandersen@ups.com</t>
  </si>
  <si>
    <t>handersen@ups.com</t>
  </si>
  <si>
    <t>jandersen@ups.com</t>
  </si>
  <si>
    <t>katieandersen@ups.com</t>
  </si>
  <si>
    <t>madsandersen@ups.com</t>
  </si>
  <si>
    <t>melanieandersen@ups.com</t>
  </si>
  <si>
    <t>mandersen@ups.com</t>
  </si>
  <si>
    <t>pandersen@ups.com</t>
  </si>
  <si>
    <t>randy@iship.com</t>
  </si>
  <si>
    <t>randersen@ups.com</t>
  </si>
  <si>
    <t>robertandersen@ups.com</t>
  </si>
  <si>
    <t>randersen1@ups.com</t>
  </si>
  <si>
    <t>sandersen@ups.com</t>
  </si>
  <si>
    <t>sherryandersen@ups.com</t>
  </si>
  <si>
    <t>wandersen@ups.com</t>
  </si>
  <si>
    <t>abrahamanderson@ups.com</t>
  </si>
  <si>
    <t>aldophusanderson@ups.com</t>
  </si>
  <si>
    <t>alecanderson@ups.com</t>
  </si>
  <si>
    <t>alexanderanderson@ups.com</t>
  </si>
  <si>
    <t>aanderson1@ups.com</t>
  </si>
  <si>
    <t>alexandriaanderson@ups.com</t>
  </si>
  <si>
    <t>allisonanderson@ups.com</t>
  </si>
  <si>
    <t>alvawilkerson@ups.com</t>
  </si>
  <si>
    <t>alwinanderson@ups.com</t>
  </si>
  <si>
    <t>amyanderson@ups.com</t>
  </si>
  <si>
    <t>angeliqueanderson@ups.com</t>
  </si>
  <si>
    <t>aanderson@ups.com</t>
  </si>
  <si>
    <t>anthonyanderson@ups.com</t>
  </si>
  <si>
    <t>anyaanderson@ups.com</t>
  </si>
  <si>
    <t>barryanderson@ups.com</t>
  </si>
  <si>
    <t>benjaminanderson@ups.com</t>
  </si>
  <si>
    <t>banderson@ups.com</t>
  </si>
  <si>
    <t>bbanderson@ups.com</t>
  </si>
  <si>
    <t>brandonanderson@ups.com</t>
  </si>
  <si>
    <t>brandyanderson@ups.com</t>
  </si>
  <si>
    <t>banderson3@ups.com</t>
  </si>
  <si>
    <t>brevananderson@ups.com</t>
  </si>
  <si>
    <t>banderson1@ups.com</t>
  </si>
  <si>
    <t>btanderson@ups.com</t>
  </si>
  <si>
    <t>wandersonbride@ups.com</t>
  </si>
  <si>
    <t>bridgetteanderson@ups.com</t>
  </si>
  <si>
    <t>brittanyanderson@ups.com</t>
  </si>
  <si>
    <t>brodieanderson@ups.com</t>
  </si>
  <si>
    <t>brookeanderson@ups.com</t>
  </si>
  <si>
    <t>bryonanderson@ups.com</t>
  </si>
  <si>
    <t>cameronanderson@ups.com</t>
  </si>
  <si>
    <t>candiceanderson@ups.com</t>
  </si>
  <si>
    <t>canderson2@ups.com</t>
  </si>
  <si>
    <t>carlaanderson@ups.com</t>
  </si>
  <si>
    <t>carteranderson@ups.com</t>
  </si>
  <si>
    <t>cathanderson@ups.com</t>
  </si>
  <si>
    <t>catherineanderson@ups.com</t>
  </si>
  <si>
    <t>cnanderson@ups.com</t>
  </si>
  <si>
    <t>chalandaanderson@ups.com</t>
  </si>
  <si>
    <t>chantayanderson@ups.com</t>
  </si>
  <si>
    <t>chardaeanderson@ups.com</t>
  </si>
  <si>
    <t>charlesanderson@ups.com</t>
  </si>
  <si>
    <t>canderson5@ups.com</t>
  </si>
  <si>
    <t>charlieanderson@ups.com</t>
  </si>
  <si>
    <t>chelseaanderson@ups.com</t>
  </si>
  <si>
    <t>canderson4@ups.com</t>
  </si>
  <si>
    <t>canderson@ups.com</t>
  </si>
  <si>
    <t>cherylanderson@ups.com</t>
  </si>
  <si>
    <t>cheyenneanderson@ups.com</t>
  </si>
  <si>
    <t>christiananderson@ups.com</t>
  </si>
  <si>
    <t>christieanderson@ups.com</t>
  </si>
  <si>
    <t>christineanderson@ups.com</t>
  </si>
  <si>
    <t>christopheranderson@ups.com</t>
  </si>
  <si>
    <t>canderson6@ups.com</t>
  </si>
  <si>
    <t>canderson3@ups.com</t>
  </si>
  <si>
    <t>canderson1@ups.com</t>
  </si>
  <si>
    <t>coleanderson@ups.com</t>
  </si>
  <si>
    <t>colinanderson@ups.com</t>
  </si>
  <si>
    <t>coltonanderson@ups.com</t>
  </si>
  <si>
    <t>coreyanderson@ups.com</t>
  </si>
  <si>
    <t>corinnaanderson@ups.com</t>
  </si>
  <si>
    <t>craiganderson@ups.com</t>
  </si>
  <si>
    <t>crystalanderson@ups.com</t>
  </si>
  <si>
    <t>dananderson@ups.com</t>
  </si>
  <si>
    <t>danielanderson@ups.com</t>
  </si>
  <si>
    <t>danderson4@ups.com</t>
  </si>
  <si>
    <t>darenanderson@ups.com</t>
  </si>
  <si>
    <t>dganderson@ups.com</t>
  </si>
  <si>
    <t>dcanderson@ups.com</t>
  </si>
  <si>
    <t>danderson3@ups.com</t>
  </si>
  <si>
    <t>daanderson@ups.com</t>
  </si>
  <si>
    <t>danderson1@ups.com</t>
  </si>
  <si>
    <t>danderson@ups.com</t>
  </si>
  <si>
    <t>danderson6@ups.com</t>
  </si>
  <si>
    <t>davidanderson@ups.com</t>
  </si>
  <si>
    <t>deannaanderson@ups.com</t>
  </si>
  <si>
    <t>demetriusanderson@ups.com</t>
  </si>
  <si>
    <t>derekanderson@ups.com</t>
  </si>
  <si>
    <t>Derek.Anderson@europe.ups.com</t>
  </si>
  <si>
    <t>derrickanderson@ups.com</t>
  </si>
  <si>
    <t>dervinanderson@ups.com</t>
  </si>
  <si>
    <t>donanderson@ups.com</t>
  </si>
  <si>
    <t>donnaanderson@ups.com</t>
  </si>
  <si>
    <t>dwightanderson@ups.com</t>
  </si>
  <si>
    <t>danderson7@ups.com</t>
  </si>
  <si>
    <t>elainaanderson@ups.com</t>
  </si>
  <si>
    <t>eanderson@ups.com</t>
  </si>
  <si>
    <t>eanderson5@ups.com</t>
  </si>
  <si>
    <t>elizabethanderson@ups.com</t>
  </si>
  <si>
    <t>emilynanderson@ups.com</t>
  </si>
  <si>
    <t>Anderson.Eric@ups.com</t>
  </si>
  <si>
    <t>ericanderson@ups.com</t>
  </si>
  <si>
    <t>eanderson2@ups.com</t>
  </si>
  <si>
    <t>ericaanderson@ups.com</t>
  </si>
  <si>
    <t>erikaanderson@ups.com</t>
  </si>
  <si>
    <t>eugeananderson@ups.com</t>
  </si>
  <si>
    <t>felishaanderson@ups.com</t>
  </si>
  <si>
    <t>gabrielanderson@ups.com</t>
  </si>
  <si>
    <t>hannahanderson@ups.com</t>
  </si>
  <si>
    <t>handerson@ups.com</t>
  </si>
  <si>
    <t>jacobanderson@ups.com</t>
  </si>
  <si>
    <t>jacquelineanderson@ups.com</t>
  </si>
  <si>
    <t>jaanderson@ups.com</t>
  </si>
  <si>
    <t>janderson11@ups.com</t>
  </si>
  <si>
    <t>jcanderson@ups.com</t>
  </si>
  <si>
    <t>janderson3@ups.com</t>
  </si>
  <si>
    <t>jamieanderson@ups.com</t>
  </si>
  <si>
    <t>janderson18@ups.com</t>
  </si>
  <si>
    <t>jdanderson@ups.com</t>
  </si>
  <si>
    <t>janiseanderson@ups.com</t>
  </si>
  <si>
    <t>jaredanderson@ups.com</t>
  </si>
  <si>
    <t>janderson9@ups.com</t>
  </si>
  <si>
    <t>jasonanderson@ups.com</t>
  </si>
  <si>
    <t>jeffanderson@ups.com</t>
  </si>
  <si>
    <t>janderson10@ups.com</t>
  </si>
  <si>
    <t>jeremyanderson@ups.com</t>
  </si>
  <si>
    <t>sherryandersonjernagin@ups.com</t>
  </si>
  <si>
    <t>jesseanderson@ups.com</t>
  </si>
  <si>
    <t>janderson7@ups.com</t>
  </si>
  <si>
    <t>johnanderson@ups.com</t>
  </si>
  <si>
    <t>jganderson@ups.com</t>
  </si>
  <si>
    <t>janderson6@ups.com</t>
  </si>
  <si>
    <t>jonathananderson@ups.com</t>
  </si>
  <si>
    <t>jordananderson@ups.com</t>
  </si>
  <si>
    <t>joshuaanderson@ups.com</t>
  </si>
  <si>
    <t>janderson1@ups.com</t>
  </si>
  <si>
    <t>eandersonjr@ups.com</t>
  </si>
  <si>
    <t>mandersonjr@ups.com</t>
  </si>
  <si>
    <t>justinanderson@ups.com</t>
  </si>
  <si>
    <t>kanderson@ups.com</t>
  </si>
  <si>
    <t>kaanderson@ups.com</t>
  </si>
  <si>
    <t>karenanderson@ups.com</t>
  </si>
  <si>
    <t>kathrynanderson@ups.com</t>
  </si>
  <si>
    <t>kathyanderson@ups.com</t>
  </si>
  <si>
    <t>katieanderson@ups.com</t>
  </si>
  <si>
    <t>kaylaanderson@ups.com</t>
  </si>
  <si>
    <t>kendraanderson@ups.com</t>
  </si>
  <si>
    <t>kanderson3@ups.com</t>
  </si>
  <si>
    <t>kanderson1@ups.com</t>
  </si>
  <si>
    <t>kimberlyanderson@ups.com</t>
  </si>
  <si>
    <t>kristenanderson@ups.com</t>
  </si>
  <si>
    <t>kyleanderson@ups.com</t>
  </si>
  <si>
    <t>latonyaanderson@ups.com</t>
  </si>
  <si>
    <t>lamonicaanderson@ups.com</t>
  </si>
  <si>
    <t>larissaanderson@ups.com</t>
  </si>
  <si>
    <t>landerson4@ups.com</t>
  </si>
  <si>
    <t>larryanderson@ups.com</t>
  </si>
  <si>
    <t>latashaanderson@ups.com</t>
  </si>
  <si>
    <t>latrissaanderson@ups.com</t>
  </si>
  <si>
    <t>lauraanderson@ups.com</t>
  </si>
  <si>
    <t>laureenanderson@ups.com</t>
  </si>
  <si>
    <t>lmanderson@ups.com</t>
  </si>
  <si>
    <t>leeanderson@ups.com</t>
  </si>
  <si>
    <t>landerson3@ups.com</t>
  </si>
  <si>
    <t>leslieanderson@ups.com</t>
  </si>
  <si>
    <t>lindaanderson@ups.com</t>
  </si>
  <si>
    <t>lindsayanderson@ups.com</t>
  </si>
  <si>
    <t>landerson2@ups.com</t>
  </si>
  <si>
    <t>landerson1@ups.com</t>
  </si>
  <si>
    <t>lranderson@ups.com</t>
  </si>
  <si>
    <t>logananderson@ups.com</t>
  </si>
  <si>
    <t>lornaanderson@ups.com</t>
  </si>
  <si>
    <t>louishiaanderson@ups.com</t>
  </si>
  <si>
    <t>lyleanderson@ups.com</t>
  </si>
  <si>
    <t>lynseyanderson@ups.com</t>
  </si>
  <si>
    <t>margieanderson@ups.com</t>
  </si>
  <si>
    <t>mariananderson@upsstore.com</t>
  </si>
  <si>
    <t>markanderson@ups.com</t>
  </si>
  <si>
    <t>manderson5@ups.com</t>
  </si>
  <si>
    <t>matthewanderson@ups.com</t>
  </si>
  <si>
    <t>manderson6@ups.com</t>
  </si>
  <si>
    <t>mauriceanderson@ups.com</t>
  </si>
  <si>
    <t>maxwellanderson@ups.com</t>
  </si>
  <si>
    <t>melisaanderson@ups.com</t>
  </si>
  <si>
    <t>manderson10@ups.com</t>
  </si>
  <si>
    <t>mjanderson@ups.com</t>
  </si>
  <si>
    <t>manderson1@ups.com</t>
  </si>
  <si>
    <t>manderson7@ups.com</t>
  </si>
  <si>
    <t>manderson8@ups.com</t>
  </si>
  <si>
    <t>michaleanderson@ups.com</t>
  </si>
  <si>
    <t>michelleanderson@ups.com</t>
  </si>
  <si>
    <t>moniqueanderson@ups.com</t>
  </si>
  <si>
    <t>nanderson@ups.com</t>
  </si>
  <si>
    <t>neilanderson@ups.com</t>
  </si>
  <si>
    <t>nelsonanderson@ups.com</t>
  </si>
  <si>
    <t>nicoleanderson@ups.com</t>
  </si>
  <si>
    <t>oanderson@ups.com</t>
  </si>
  <si>
    <t>panderson1@ups.com</t>
  </si>
  <si>
    <t>pamelaanderson@ups.com</t>
  </si>
  <si>
    <t>patanderson@ups.com</t>
  </si>
  <si>
    <t>panderson@ups.com</t>
  </si>
  <si>
    <t>paanderson@ups.com</t>
  </si>
  <si>
    <t>pennyanderson@upsstore.com</t>
  </si>
  <si>
    <t>portiaanderson@ups.com</t>
  </si>
  <si>
    <t>priscillaanderson@ups.com</t>
  </si>
  <si>
    <t>rachelleanderson@ups.com</t>
  </si>
  <si>
    <t>randyanderson@ups.com</t>
  </si>
  <si>
    <t>raphaelanderson@ups.com</t>
  </si>
  <si>
    <t>rashaadanderson@ups.com</t>
  </si>
  <si>
    <t>rebeccaanderson@ups.com</t>
  </si>
  <si>
    <t>randerson10@ups.com</t>
  </si>
  <si>
    <t>randerson8@ups.com</t>
  </si>
  <si>
    <t>randerson9@ups.com</t>
  </si>
  <si>
    <t>richardanderson@ups.com</t>
  </si>
  <si>
    <t>rileyanderson@ups.com</t>
  </si>
  <si>
    <t>ritaanderson@ups.com</t>
  </si>
  <si>
    <t>robbieanderson@ups.com</t>
  </si>
  <si>
    <t>randerson7@ups.com</t>
  </si>
  <si>
    <t>randerson2@ups.com</t>
  </si>
  <si>
    <t>randerson6@ups.com</t>
  </si>
  <si>
    <t>randerson1@ups.com</t>
  </si>
  <si>
    <t>robertanderson@ups.com</t>
  </si>
  <si>
    <t>randerson3@ups.com</t>
  </si>
  <si>
    <t>robinanderson@ups.com</t>
  </si>
  <si>
    <t>roderickanderson@ups.com</t>
  </si>
  <si>
    <t>rjanderson@ups.com</t>
  </si>
  <si>
    <t>randerson5@ups.com</t>
  </si>
  <si>
    <t>randerson@ups.com</t>
  </si>
  <si>
    <t>rossanderson@ups.com</t>
  </si>
  <si>
    <t>ryananderson@ups.com</t>
  </si>
  <si>
    <t>randerson12@ups.com</t>
  </si>
  <si>
    <t>randerson4@ups.com</t>
  </si>
  <si>
    <t>saharaanderson@ups.com</t>
  </si>
  <si>
    <t>samuelanderson@ups.com</t>
  </si>
  <si>
    <t>saraanderson@ups.com</t>
  </si>
  <si>
    <t>sanderson6@ups.com</t>
  </si>
  <si>
    <t>sanderson7@ups.com</t>
  </si>
  <si>
    <t>smanderson@ups.com</t>
  </si>
  <si>
    <t>sanderson1@ups.com</t>
  </si>
  <si>
    <t>seananderson@ups.com</t>
  </si>
  <si>
    <t>seitera@relayexpress.com</t>
  </si>
  <si>
    <t>shanellanderson@ups.com</t>
  </si>
  <si>
    <t>sanderson5@ups.com</t>
  </si>
  <si>
    <t>sharnellanderson@ups.com</t>
  </si>
  <si>
    <t>shebaanderson@ups.com</t>
  </si>
  <si>
    <t>sheilaanderson@ups.com</t>
  </si>
  <si>
    <t>skanderson@ups.com</t>
  </si>
  <si>
    <t>sonyaanderson@ups.com</t>
  </si>
  <si>
    <t>stephenanderson@ups.com</t>
  </si>
  <si>
    <t>ssanderson@ups.com</t>
  </si>
  <si>
    <t>stevenanderson@ups.com</t>
  </si>
  <si>
    <t>sanderson4@ups.com</t>
  </si>
  <si>
    <t>sanderson@ups.com</t>
  </si>
  <si>
    <t>susananderson@ups.com</t>
  </si>
  <si>
    <t>suzzetteanderson@ups.com</t>
  </si>
  <si>
    <t>tadamiekaanderson@ups.com</t>
  </si>
  <si>
    <t>tamekaanderson@ups.com</t>
  </si>
  <si>
    <t>tammyanderson@ups.com</t>
  </si>
  <si>
    <t>taraanderson@ups.com</t>
  </si>
  <si>
    <t>tarshaanderson@ups.com</t>
  </si>
  <si>
    <t>tanderson1@ups.com</t>
  </si>
  <si>
    <t>teschaanderson@ups.com</t>
  </si>
  <si>
    <t>thomasanderson@ups.com</t>
  </si>
  <si>
    <t>tanderson4@ups.com</t>
  </si>
  <si>
    <t>taanderson@ups.com</t>
  </si>
  <si>
    <t>tanderson3@ups.com</t>
  </si>
  <si>
    <t>tinaanderson@ups.com</t>
  </si>
  <si>
    <t>tanderson2@ups.com</t>
  </si>
  <si>
    <t>tonyanderson@ups.com</t>
  </si>
  <si>
    <t>trentonanderson@ups.com</t>
  </si>
  <si>
    <t>troyanderson@ups.com</t>
  </si>
  <si>
    <t>tbanderson@ups.com</t>
  </si>
  <si>
    <t>tyleranderson@ups.com</t>
  </si>
  <si>
    <t>virginiaanderson@ups.com</t>
  </si>
  <si>
    <t>wanderson@ups.com</t>
  </si>
  <si>
    <t>williamanderson@ups.com</t>
  </si>
  <si>
    <t>wanderson2@ups.com</t>
  </si>
  <si>
    <t>weanderson@ups.com</t>
  </si>
  <si>
    <t>wanderson1@ups.com</t>
  </si>
  <si>
    <t>yvetteanderson@ups.com</t>
  </si>
  <si>
    <t>zanderson@ups.com</t>
  </si>
  <si>
    <t>anderson.fountain@hp.com</t>
  </si>
  <si>
    <t>jandersonelkachif@ups.com</t>
  </si>
  <si>
    <t>sheila.anderson@ups-scs.com</t>
  </si>
  <si>
    <t>eandersson@ups.com</t>
  </si>
  <si>
    <t>gabriella.andersson@europe.ups.com</t>
  </si>
  <si>
    <t>landersson@ups.com</t>
  </si>
  <si>
    <t>mandersson@ups.com</t>
  </si>
  <si>
    <t>oandersson@ups.com</t>
  </si>
  <si>
    <t>pandersson@ups.com</t>
  </si>
  <si>
    <t>patrickandersson@ups.com</t>
  </si>
  <si>
    <t>patrik.andersson@europe.ups.com</t>
  </si>
  <si>
    <t>rasmusandersson@ups.com</t>
  </si>
  <si>
    <t>randersson@ups.com</t>
  </si>
  <si>
    <t>danderton@ups.com</t>
  </si>
  <si>
    <t>sanderton@ups.com</t>
  </si>
  <si>
    <t>aavdhoot@ups.com</t>
  </si>
  <si>
    <t>nandiappan@ups.com</t>
  </si>
  <si>
    <t>eandino@ups.com</t>
  </si>
  <si>
    <t>mandiyappan@ups.com</t>
  </si>
  <si>
    <t>dandjelic@ups.com</t>
  </si>
  <si>
    <t>nando@ups.com</t>
  </si>
  <si>
    <t>j.ando@meitetsu-golden.jp</t>
  </si>
  <si>
    <t>jonathanandong@ups.com</t>
  </si>
  <si>
    <t>kandov@ups.com</t>
  </si>
  <si>
    <t>jandracchi@ups.com</t>
  </si>
  <si>
    <t>andracki.chris@ups.com</t>
  </si>
  <si>
    <t>albaneteandrade@ups.com</t>
  </si>
  <si>
    <t>alfredoandrade@ups.com</t>
  </si>
  <si>
    <t>candradeamezcua@ups.com</t>
  </si>
  <si>
    <t>analandrade@ups.com</t>
  </si>
  <si>
    <t>brunoandrade@ups.com</t>
  </si>
  <si>
    <t>davidandrade@ups.com</t>
  </si>
  <si>
    <t>dandrade1@ups.com</t>
  </si>
  <si>
    <t>dandrade@ups.com</t>
  </si>
  <si>
    <t>eandrade@ups.com</t>
  </si>
  <si>
    <t>fandrade@ups.com</t>
  </si>
  <si>
    <t>fernandoandrade@ups.com</t>
  </si>
  <si>
    <t>flavioandrade@ups.com</t>
  </si>
  <si>
    <t>frankandrade@ups.com</t>
  </si>
  <si>
    <t>jordanandrade@upsstore.com</t>
  </si>
  <si>
    <t>jandrade@ups.com</t>
  </si>
  <si>
    <t>landrade@ups.com</t>
  </si>
  <si>
    <t>marissaandrade@ups.com</t>
  </si>
  <si>
    <t>mandrade@ups.com</t>
  </si>
  <si>
    <t>nandrade@ups.com</t>
  </si>
  <si>
    <t>nicholasandrade@ups.com</t>
  </si>
  <si>
    <t>oandrade@ups.com</t>
  </si>
  <si>
    <t>raandrade@ups.com</t>
  </si>
  <si>
    <t>vandrade@ups.com</t>
  </si>
  <si>
    <t>pandraka@ups.com</t>
  </si>
  <si>
    <t>zandraka@ups.com</t>
  </si>
  <si>
    <t>handrasovsky@ups.com</t>
  </si>
  <si>
    <t>yandrawes@ups.com</t>
  </si>
  <si>
    <t>eandre@ups.com</t>
  </si>
  <si>
    <t>aflouret@enesco.com</t>
  </si>
  <si>
    <t>aheslop1@its.jnj.com</t>
  </si>
  <si>
    <t>alariviere@pascalex.com</t>
  </si>
  <si>
    <t>landre@ups.com</t>
  </si>
  <si>
    <t>beandre@upslogistics.fr</t>
  </si>
  <si>
    <t>bandre@upslogistics.fr</t>
  </si>
  <si>
    <t>MSAndre@livingstoninc.com</t>
  </si>
  <si>
    <t>acajuste@ingeniousdesigns.com</t>
  </si>
  <si>
    <t>candrea@ups.com</t>
  </si>
  <si>
    <t>Andreag@pinggolf.com</t>
  </si>
  <si>
    <t>Andrea.Johnson@dell.com</t>
  </si>
  <si>
    <t>randrea@ups.com</t>
  </si>
  <si>
    <t>amswygert@purefishing.com</t>
  </si>
  <si>
    <t>AndreaVelliky@dohenycompanies.com</t>
  </si>
  <si>
    <t>Andrea.Villalon@alcoa.com</t>
  </si>
  <si>
    <t>alexanderandreas@ups.com</t>
  </si>
  <si>
    <t>mandreas@ups.com</t>
  </si>
  <si>
    <t>sandreas@ups.com</t>
  </si>
  <si>
    <t>awolf@tatami.de</t>
  </si>
  <si>
    <t>Andreas.Kade@CFMTech.com</t>
  </si>
  <si>
    <t>eivind.andreassen@ups.com</t>
  </si>
  <si>
    <t>bandreasson@ups.com</t>
  </si>
  <si>
    <t>mandreasyan@ups.com</t>
  </si>
  <si>
    <t>loriandreatta@ups.com</t>
  </si>
  <si>
    <t>landreczski@ups.com</t>
  </si>
  <si>
    <t>aandree@ups.com</t>
  </si>
  <si>
    <t>mandreicheva@ups.com</t>
  </si>
  <si>
    <t>landrejczuk@ups.com</t>
  </si>
  <si>
    <t>bandrejewski@ups.com</t>
  </si>
  <si>
    <t>fandreo@ups.com</t>
  </si>
  <si>
    <t>heike.andreoli@europe.ups.com</t>
  </si>
  <si>
    <t>bandres@ups.com</t>
  </si>
  <si>
    <t>candres@ups.com</t>
  </si>
  <si>
    <t>dandres@ups.com</t>
  </si>
  <si>
    <t>fandres@ups.com</t>
  </si>
  <si>
    <t>gandres@ups.com</t>
  </si>
  <si>
    <t>sxandres@ups.com</t>
  </si>
  <si>
    <t>sandres@ups.com</t>
  </si>
  <si>
    <t>tyronzaandres@ups.com</t>
  </si>
  <si>
    <t>andres@fastdeliverydc.com</t>
  </si>
  <si>
    <t>candresen@parcelpro.com</t>
  </si>
  <si>
    <t>kandresen@ups.com</t>
  </si>
  <si>
    <t>landresen@ups.com</t>
  </si>
  <si>
    <t>mandresen@ups.com</t>
  </si>
  <si>
    <t>randressi@ups.com</t>
  </si>
  <si>
    <t>oandreu@ups.com</t>
  </si>
  <si>
    <t>SPA5RXA@europe.ups.com</t>
  </si>
  <si>
    <t>AANDRIJEVIC@AGMAUTOMOTIVE.COM</t>
  </si>
  <si>
    <t>Andrew.Barnes@sprint.com</t>
  </si>
  <si>
    <t>dandrew@ups.com</t>
  </si>
  <si>
    <t>andrew_devlin@jabil.com</t>
  </si>
  <si>
    <t>gandrew@ups.com</t>
  </si>
  <si>
    <t>andrew@glassbottleoutlet.com</t>
  </si>
  <si>
    <t>jandrew@ups.com</t>
  </si>
  <si>
    <t>jonandrew@ups.com</t>
  </si>
  <si>
    <t>kandrew@ups.com</t>
  </si>
  <si>
    <t>Andrewlee@sainj.samsung.com</t>
  </si>
  <si>
    <t>Andrew@ambaproducts.com</t>
  </si>
  <si>
    <t>mandrew@ups.com</t>
  </si>
  <si>
    <t>nandrew@ups.com</t>
  </si>
  <si>
    <t>arotschenk@simtech-scm.com</t>
  </si>
  <si>
    <t>ANDREW.SAKONG@KBCHELMET.COM</t>
  </si>
  <si>
    <t>asafeplace@myfairpoint.net</t>
  </si>
  <si>
    <t>andrew.thinh@vietranslink.com</t>
  </si>
  <si>
    <t>wandrew@ups.com</t>
  </si>
  <si>
    <t>andrew.wu@jardenatc.com</t>
  </si>
  <si>
    <t>ahogan@midfloridagolfcars.com</t>
  </si>
  <si>
    <t>andrewl@ntstrailers.com</t>
  </si>
  <si>
    <t>aaronandrews@ups.com</t>
  </si>
  <si>
    <t>aandrews2@ups.com</t>
  </si>
  <si>
    <t>anthonyandrews@ups.com</t>
  </si>
  <si>
    <t>aandrews3@ups.com</t>
  </si>
  <si>
    <t>aandrews@ups.com</t>
  </si>
  <si>
    <t>aandrews1@ups.com</t>
  </si>
  <si>
    <t>camilleandrews@ups.com</t>
  </si>
  <si>
    <t>cattimaandrews@ups.com</t>
  </si>
  <si>
    <t>cbandrews@ups.com</t>
  </si>
  <si>
    <t>candrews1@ups.com</t>
  </si>
  <si>
    <t>christineandrews@ups.com</t>
  </si>
  <si>
    <t>candrews@ups.com</t>
  </si>
  <si>
    <t>crystalandrews@ups.com</t>
  </si>
  <si>
    <t>candrews2@ups.com</t>
  </si>
  <si>
    <t>dandrews@ups.com</t>
  </si>
  <si>
    <t>daandrews@ups.com</t>
  </si>
  <si>
    <t>davidandrews@ups.com</t>
  </si>
  <si>
    <t>dmandrews@ups.com</t>
  </si>
  <si>
    <t>eandrews@ups.com</t>
  </si>
  <si>
    <t>elizabethandrews@ups.com</t>
  </si>
  <si>
    <t>gavinandrews@ups.com</t>
  </si>
  <si>
    <t>gandrews@ups.com</t>
  </si>
  <si>
    <t>janelleandrews@ups.com</t>
  </si>
  <si>
    <t>jandrews@ups.com</t>
  </si>
  <si>
    <t>jasonandrews@ups.com</t>
  </si>
  <si>
    <t>jessicaandrews@ups.com</t>
  </si>
  <si>
    <t>karenandrews@ups.com</t>
  </si>
  <si>
    <t>kandrews@ups.com</t>
  </si>
  <si>
    <t>kellyandrews@ups.com</t>
  </si>
  <si>
    <t>kandrews1@ups.com</t>
  </si>
  <si>
    <t>lolaandrews@ups.com</t>
  </si>
  <si>
    <t>matthewandrews@ups.com</t>
  </si>
  <si>
    <t>mandrews@ups.com</t>
  </si>
  <si>
    <t>maandrews@ups.com</t>
  </si>
  <si>
    <t>michaelandrews@ups.com</t>
  </si>
  <si>
    <t>mandrews3@ups.com</t>
  </si>
  <si>
    <t>mandrews2@ups.com</t>
  </si>
  <si>
    <t>mandrews1@ups.com</t>
  </si>
  <si>
    <t>mirandaandrews@ups.com</t>
  </si>
  <si>
    <t>natalieandrews@ups.com</t>
  </si>
  <si>
    <t>nickeithaandrews@ups.com</t>
  </si>
  <si>
    <t>nicoleandrews@ups.com</t>
  </si>
  <si>
    <t>nicoletteandrews@ups.com</t>
  </si>
  <si>
    <t>noelleandrews@ups.com</t>
  </si>
  <si>
    <t>pamandrews@ups.com</t>
  </si>
  <si>
    <t>qandrews@ups.com</t>
  </si>
  <si>
    <t>rebeccaandrews@ups.com</t>
  </si>
  <si>
    <t>reneeandrews@ups.com</t>
  </si>
  <si>
    <t>rezanoandrews@ups.com</t>
  </si>
  <si>
    <t>robertandrews@ups.com</t>
  </si>
  <si>
    <t>rogerandrews@ups.com</t>
  </si>
  <si>
    <t>randrews@ups.com</t>
  </si>
  <si>
    <t>seanandrews@ups.com</t>
  </si>
  <si>
    <t>sandrews@ups.com</t>
  </si>
  <si>
    <t>sharonandrews@ups.com</t>
  </si>
  <si>
    <t>stephanieandrews@ups.com</t>
  </si>
  <si>
    <t>sdandrews@ups.com</t>
  </si>
  <si>
    <t>sylviaandrews@ups.com</t>
  </si>
  <si>
    <t>thomasandrews@ups.com</t>
  </si>
  <si>
    <t>timothyandrews@ups.com</t>
  </si>
  <si>
    <t>tandrews@ups.com</t>
  </si>
  <si>
    <t>tdandrews@ups.com</t>
  </si>
  <si>
    <t>tyquanandrews@ups.com</t>
  </si>
  <si>
    <t>wandrews@ups.com</t>
  </si>
  <si>
    <t>andrey@tricitydeliveryllc.com</t>
  </si>
  <si>
    <t>kmandrey@ups.com</t>
  </si>
  <si>
    <t>jandreycak@ups.com</t>
  </si>
  <si>
    <t>nandriatojoharimamy@ups.com</t>
  </si>
  <si>
    <t>tomandrican@ups.com</t>
  </si>
  <si>
    <t>kandrich@ups.com</t>
  </si>
  <si>
    <t>randrick@ups.com</t>
  </si>
  <si>
    <t>landrico@ups.com</t>
  </si>
  <si>
    <t>riccardo.andrico@europe.ups.com</t>
  </si>
  <si>
    <t>dandries@ups.com</t>
  </si>
  <si>
    <t>eandriese@ups.com</t>
  </si>
  <si>
    <t>oandrieu@ups.com</t>
  </si>
  <si>
    <t>pandrieu@ups.com</t>
  </si>
  <si>
    <t>jandrieux@ups.com</t>
  </si>
  <si>
    <t>dandrijevic@ups.com</t>
  </si>
  <si>
    <t>aandrino@ups.com</t>
  </si>
  <si>
    <t>iandrino@ups.com</t>
  </si>
  <si>
    <t>mmandriotis@ups.com</t>
  </si>
  <si>
    <t>gandris@ups.com</t>
  </si>
  <si>
    <t>tandris@ups.com</t>
  </si>
  <si>
    <t>jandrise@ups.com</t>
  </si>
  <si>
    <t>jandrist@ups.com</t>
  </si>
  <si>
    <t>zandrius@ups.com</t>
  </si>
  <si>
    <t>aandriuskaite@ups.com</t>
  </si>
  <si>
    <t>sandrlova@ups.com</t>
  </si>
  <si>
    <t>thomas.androsch@europe.ups.com</t>
  </si>
  <si>
    <t>dandrus@ups.com</t>
  </si>
  <si>
    <t>iandrusca@ups.com</t>
  </si>
  <si>
    <t>mandruscavage@ups.com</t>
  </si>
  <si>
    <t>kandrusieczko@ups.com</t>
  </si>
  <si>
    <t>nandruskiewicz@ups.com</t>
  </si>
  <si>
    <t>aandrusyk@ups.com</t>
  </si>
  <si>
    <t>magdalenaandruszkiewicz@ups.com</t>
  </si>
  <si>
    <t>mandruszkiewicz@ups.com</t>
  </si>
  <si>
    <t>randruszkiewicz@ups.com</t>
  </si>
  <si>
    <t>ronandry@ups.com</t>
  </si>
  <si>
    <t>sandry@ups.com</t>
  </si>
  <si>
    <t>siegfried.andryszak@europe.ups.com</t>
  </si>
  <si>
    <t>kandrzejczyk@ups.com</t>
  </si>
  <si>
    <t>kandrzejewska@ups.com</t>
  </si>
  <si>
    <t>candrzejewski@ups.com</t>
  </si>
  <si>
    <t>aanduiza@ups.com</t>
  </si>
  <si>
    <t>fandujar@ups.com</t>
  </si>
  <si>
    <t>mandujo@ups.com</t>
  </si>
  <si>
    <t>danduray@ups.com</t>
  </si>
  <si>
    <t>alansford@bigtimeproducts.net</t>
  </si>
  <si>
    <t>inextrading@hotmail.com</t>
  </si>
  <si>
    <t>andy.long@vietranslink.com</t>
  </si>
  <si>
    <t>Andy.Money@Polarspeed.com</t>
  </si>
  <si>
    <t>andyqu@harvest-pack.com</t>
  </si>
  <si>
    <t>asouthwick@nightline-delivers.com</t>
  </si>
  <si>
    <t>tandy@ups.com</t>
  </si>
  <si>
    <t>Andy.vincent@ricoh.ca</t>
  </si>
  <si>
    <t>andrew.wendell@ge.com</t>
  </si>
  <si>
    <t>andy.daniels@hp.com</t>
  </si>
  <si>
    <t>agreen@stoughtonleast.com</t>
  </si>
  <si>
    <t>stefano.anelli@europe.ups.com</t>
  </si>
  <si>
    <t>manello@ups.com</t>
  </si>
  <si>
    <t>janema@ups.com</t>
  </si>
  <si>
    <t>nanerao@ups.com</t>
  </si>
  <si>
    <t>ranescavage@ups.com</t>
  </si>
  <si>
    <t>daneszko@ups.com</t>
  </si>
  <si>
    <t>panetzberger@ups.com</t>
  </si>
  <si>
    <t>cang@ups.com</t>
  </si>
  <si>
    <t>achengkhoon@ups.com</t>
  </si>
  <si>
    <t>ajemima@ups.com</t>
  </si>
  <si>
    <t>alyehee@ups.com</t>
  </si>
  <si>
    <t>lynnlising.ang@ups.com</t>
  </si>
  <si>
    <t>ACC.PAY@LOEWEN.COM</t>
  </si>
  <si>
    <t>ang.sherry@ups.com</t>
  </si>
  <si>
    <t>ateikooi@ups.com</t>
  </si>
  <si>
    <t>awei@ups.com</t>
  </si>
  <si>
    <t>axueting@ups.com</t>
  </si>
  <si>
    <t>angsoon@pc.jaring.my</t>
  </si>
  <si>
    <t>anagaraja@ups.com</t>
  </si>
  <si>
    <t>bangall@ups.com</t>
  </si>
  <si>
    <t>sangall@ups.com</t>
  </si>
  <si>
    <t>atanchanok@ups.com</t>
  </si>
  <si>
    <t>aavinash@ups.com</t>
  </si>
  <si>
    <t>gangarita@ups.com</t>
  </si>
  <si>
    <t>dmangarso@ups.com</t>
  </si>
  <si>
    <t>FRA1BWA@europe.ups.com</t>
  </si>
  <si>
    <t>eangeja@ups.com</t>
  </si>
  <si>
    <t>angelalmodovar@vrt3pl.com</t>
  </si>
  <si>
    <t>axangel@ups.com</t>
  </si>
  <si>
    <t>angel_cristerna@jabil.com</t>
  </si>
  <si>
    <t>dakotaangel@ups.com</t>
  </si>
  <si>
    <t>dangel@ups.com</t>
  </si>
  <si>
    <t>angel@nowexpressinc.net</t>
  </si>
  <si>
    <t>jaredangel@ups.com</t>
  </si>
  <si>
    <t>langel@ups.com</t>
  </si>
  <si>
    <t>lydiaangel@ups.com</t>
  </si>
  <si>
    <t>maria.angel@europe.ups.com</t>
  </si>
  <si>
    <t>sangelmendez@ups.com</t>
  </si>
  <si>
    <t>apineda@littelfuse.com</t>
  </si>
  <si>
    <t>fpulido@parcelpro.com</t>
  </si>
  <si>
    <t>avicioso@nejinc.com</t>
  </si>
  <si>
    <t>Angel.Xi@viewsonic.com</t>
  </si>
  <si>
    <t>angelaw@bnfusa.com</t>
  </si>
  <si>
    <t>angie@autotexwipers.com</t>
  </si>
  <si>
    <t>allaroundtransportation@gmail.com</t>
  </si>
  <si>
    <t>allarndtransportationllc@gmail.com</t>
  </si>
  <si>
    <t>angelap@recordxpress.ca</t>
  </si>
  <si>
    <t>angela.reed@cummins.com</t>
  </si>
  <si>
    <t>sabrinaricardaangela@ups.com</t>
  </si>
  <si>
    <t>angela_saxon@mitel.com</t>
  </si>
  <si>
    <t>sangela@ups.com</t>
  </si>
  <si>
    <t>angela.thuy@vietranslink.com</t>
  </si>
  <si>
    <t>awarren@asmo-na.com</t>
  </si>
  <si>
    <t>angela.m.williams@lowes.com</t>
  </si>
  <si>
    <t>ANGELAWRIGHT@ROLTRANS.COM</t>
  </si>
  <si>
    <t>angela.ferguson@hp.com</t>
  </si>
  <si>
    <t>dangelbuer@ups.com</t>
  </si>
  <si>
    <t>aadrianpaul@ups.com</t>
  </si>
  <si>
    <t>aangeles@ups.com</t>
  </si>
  <si>
    <t>anafernandaangeles@ups.com</t>
  </si>
  <si>
    <t>angeles_hernandez@jabil.com</t>
  </si>
  <si>
    <t>ajanjelo@ups.com</t>
  </si>
  <si>
    <t>ajoshua@ups.com</t>
  </si>
  <si>
    <t>kangeles@ups.com</t>
  </si>
  <si>
    <t>amaryann@ups.com</t>
  </si>
  <si>
    <t>mangeles@ups.com</t>
  </si>
  <si>
    <t>areginecyrille@ups.com</t>
  </si>
  <si>
    <t>arenzjoel@ups.com</t>
  </si>
  <si>
    <t>asoliman@ups.com</t>
  </si>
  <si>
    <t>cangeli@ups.com</t>
  </si>
  <si>
    <t>kangeli@ups.com</t>
  </si>
  <si>
    <t>angelica_gonzales-garcia@gap.com</t>
  </si>
  <si>
    <t>sangelica@ups.com</t>
  </si>
  <si>
    <t>jangelillo@ups.com</t>
  </si>
  <si>
    <t>nangelillo@ups.com</t>
  </si>
  <si>
    <t>cangeline@ups.com</t>
  </si>
  <si>
    <t>abovendeerd@ups-spl.com</t>
  </si>
  <si>
    <t>dangelique@ups.com</t>
  </si>
  <si>
    <t>sangelique@ups.com</t>
  </si>
  <si>
    <t>langell@ups.com</t>
  </si>
  <si>
    <t>zangell@ups.com</t>
  </si>
  <si>
    <t>dangellesr@ups.com</t>
  </si>
  <si>
    <t>caangelo@ups.com</t>
  </si>
  <si>
    <t>mangelo@ups.com</t>
  </si>
  <si>
    <t>gangeloni@ups.com</t>
  </si>
  <si>
    <t>cangelotti@ups.com</t>
  </si>
  <si>
    <t>aangelov@ups.com</t>
  </si>
  <si>
    <t>tangelov@ups.com</t>
  </si>
  <si>
    <t>nangelova@ups.com</t>
  </si>
  <si>
    <t>vanya.angelova@europe.ups.com</t>
  </si>
  <si>
    <t>vangelova@ups.com</t>
  </si>
  <si>
    <t>mangen@ups.com</t>
  </si>
  <si>
    <t>pangenent@ups.com</t>
  </si>
  <si>
    <t>pangeon@ups.com</t>
  </si>
  <si>
    <t>christinaanger@ups.com</t>
  </si>
  <si>
    <t>aangermann@ups.com</t>
  </si>
  <si>
    <t>hans.angermann@europe.ups.com</t>
  </si>
  <si>
    <t>sangermann@ups.com</t>
  </si>
  <si>
    <t>nikolai.angerstein@europe.ups.com</t>
  </si>
  <si>
    <t>manghelus@ups.com</t>
  </si>
  <si>
    <t>FROSTA@YNA.US</t>
  </si>
  <si>
    <t>angie.h.walsh@lowes.com</t>
  </si>
  <si>
    <t>angie.hudson@coyote.com</t>
  </si>
  <si>
    <t>angie.lawson@coyote.com</t>
  </si>
  <si>
    <t>ANGIE.MARTILOTTO@HSN.NET</t>
  </si>
  <si>
    <t>angieng@ups.com</t>
  </si>
  <si>
    <t>angieo@cmetals.com</t>
  </si>
  <si>
    <t>ANGIE.PARK@KBCHELMET.COM</t>
  </si>
  <si>
    <t>angie.vaeth@filetek.com</t>
  </si>
  <si>
    <t>angie@bulldogsupply.com</t>
  </si>
  <si>
    <t>nangieri@ups.com</t>
  </si>
  <si>
    <t>vaangin@ups.com</t>
  </si>
  <si>
    <t>angiodynamics@ups.com</t>
  </si>
  <si>
    <t>nangiolella@ups.com</t>
  </si>
  <si>
    <t>angiooutbound@ups.com</t>
  </si>
  <si>
    <t>mangius@ups.com</t>
  </si>
  <si>
    <t>eanglade@ups.com</t>
  </si>
  <si>
    <t>kangle@ups.com</t>
  </si>
  <si>
    <t>mangle@ups.com</t>
  </si>
  <si>
    <t>kanglemyer@ups.com</t>
  </si>
  <si>
    <t>wanglero@ups.com</t>
  </si>
  <si>
    <t>janglin@ups.com</t>
  </si>
  <si>
    <t>michaelanglin@ups.com</t>
  </si>
  <si>
    <t>manglin@ups.com</t>
  </si>
  <si>
    <t>nanglin@ups.com</t>
  </si>
  <si>
    <t>sanglin@ups.com</t>
  </si>
  <si>
    <t>ala@ups.com</t>
  </si>
  <si>
    <t>jangotti@ups.com</t>
  </si>
  <si>
    <t>sangotti@ups.com</t>
  </si>
  <si>
    <t>rangrish@ups.com</t>
  </si>
  <si>
    <t>langstadt@ups.com</t>
  </si>
  <si>
    <t>sangstadt@ups.com</t>
  </si>
  <si>
    <t>fangton@ups.com</t>
  </si>
  <si>
    <t>tangton@ups.com</t>
  </si>
  <si>
    <t>languelo@ups.com</t>
  </si>
  <si>
    <t>aanguiano@ups.com</t>
  </si>
  <si>
    <t>alexanderanguiano@ups.com</t>
  </si>
  <si>
    <t>aracelianguiano@ups.com</t>
  </si>
  <si>
    <t>danguiano@ups.com</t>
  </si>
  <si>
    <t>janguiano@ups.com</t>
  </si>
  <si>
    <t>manguiano@ups.com</t>
  </si>
  <si>
    <t>ianguis@ups.com</t>
  </si>
  <si>
    <t>aangulo@ups.com</t>
  </si>
  <si>
    <t>pabloanguloperez@ups.com</t>
  </si>
  <si>
    <t>rangulo@ups.com</t>
  </si>
  <si>
    <t>rubenangulo@ups.com</t>
  </si>
  <si>
    <t>yangulo@ups.com</t>
  </si>
  <si>
    <t>dangus@ups.com</t>
  </si>
  <si>
    <t>jangus@ups.com</t>
  </si>
  <si>
    <t>mangus@ups.com</t>
  </si>
  <si>
    <t>tangus@ups.com</t>
  </si>
  <si>
    <t>eangustia@ups.com</t>
  </si>
  <si>
    <t>anh.hoang@zeroten.com</t>
  </si>
  <si>
    <t>anh.le@harley-davidson.com</t>
  </si>
  <si>
    <t>janhalt@ups.com</t>
  </si>
  <si>
    <t>janiaka@ups.com</t>
  </si>
  <si>
    <t>sanians@ups.com</t>
  </si>
  <si>
    <t>charo.aniceto@europe.ups.com</t>
  </si>
  <si>
    <t>saniceto@ups.com</t>
  </si>
  <si>
    <t>theresaaniceto@ups.com</t>
  </si>
  <si>
    <t>hanigbo@ups.com</t>
  </si>
  <si>
    <t>aveena@ups.com</t>
  </si>
  <si>
    <t>saniket@ups.com</t>
  </si>
  <si>
    <t>ianiktar@ups.com</t>
  </si>
  <si>
    <t>aamalkumar@ups.com</t>
  </si>
  <si>
    <t>vanilmaske@ups.com</t>
  </si>
  <si>
    <t>maniol@ups.com</t>
  </si>
  <si>
    <t>abrid@ups.com</t>
  </si>
  <si>
    <t>zanisimova@ups.com</t>
  </si>
  <si>
    <t>anita@combilogistics.co.id</t>
  </si>
  <si>
    <t>anita.house@webops.com</t>
  </si>
  <si>
    <t>anita.li@jardenatc.com</t>
  </si>
  <si>
    <t>apallay@kiddesigns.com</t>
  </si>
  <si>
    <t>anjanasingh@ups.com</t>
  </si>
  <si>
    <t>ganjos@ups.com</t>
  </si>
  <si>
    <t>kanjou@ups.com</t>
  </si>
  <si>
    <t>manjum@ups.com</t>
  </si>
  <si>
    <t>muhammadanjum@ups.com</t>
  </si>
  <si>
    <t>ranjurvenkatraman@ups.com</t>
  </si>
  <si>
    <t>Ankatrading@bellsouth.net</t>
  </si>
  <si>
    <t>aankarali@ups.com</t>
  </si>
  <si>
    <t>aankarapu@ups.com</t>
  </si>
  <si>
    <t>kankersen@ups.com</t>
  </si>
  <si>
    <t>karenanketell@ups.com</t>
  </si>
  <si>
    <t>tankrum@ups.com</t>
  </si>
  <si>
    <t>cankum@ups.com</t>
  </si>
  <si>
    <t>sanleuu@ups.com</t>
  </si>
  <si>
    <t>ann.an@vietranslink.com</t>
  </si>
  <si>
    <t>craigann@us.ibm.com</t>
  </si>
  <si>
    <t>ann.deconinck@alconlabs.com</t>
  </si>
  <si>
    <t>agoehle@accumedtech.com</t>
  </si>
  <si>
    <t>aherley@asmo-na.com</t>
  </si>
  <si>
    <t>XT230003@Teradata.com</t>
  </si>
  <si>
    <t>manlovea@orvis.com</t>
  </si>
  <si>
    <t>arouleau@alcatel-lucent.com</t>
  </si>
  <si>
    <t>amaslinda@ups.com</t>
  </si>
  <si>
    <t>mann@ups.com</t>
  </si>
  <si>
    <t>annu@superpet.net</t>
  </si>
  <si>
    <t>ann@goldenchampionusa.com</t>
  </si>
  <si>
    <t>AABEL@CROSCILL-LIVING.COM</t>
  </si>
  <si>
    <t>a.huot@sea.samsung.com</t>
  </si>
  <si>
    <t>nannajames@ups.com</t>
  </si>
  <si>
    <t>kaplana@globtek.us</t>
  </si>
  <si>
    <t>alee@prologsourcing.com</t>
  </si>
  <si>
    <t>alidbom@jerrypair.com</t>
  </si>
  <si>
    <t>manna@ups.com</t>
  </si>
  <si>
    <t>anna.ninh@vietranslink.com</t>
  </si>
  <si>
    <t>anna.peng@gsc.viewsonic.com</t>
  </si>
  <si>
    <t>sanna@ups.com</t>
  </si>
  <si>
    <t>Askehan@laddawn.com</t>
  </si>
  <si>
    <t>atomsick@karmaninc.com</t>
  </si>
  <si>
    <t>anna.yen@vietranslink.com</t>
  </si>
  <si>
    <t>annabel_martinez@3com.com</t>
  </si>
  <si>
    <t>bannadurai@ups.com</t>
  </si>
  <si>
    <t>nannadurai@ups.com</t>
  </si>
  <si>
    <t>aamit4@ups.com</t>
  </si>
  <si>
    <t>amyannaldo@ups.com</t>
  </si>
  <si>
    <t>mannam@ups.com</t>
  </si>
  <si>
    <t>nannam@ups.com</t>
  </si>
  <si>
    <t>aannamalai@ups.com</t>
  </si>
  <si>
    <t>aannan@ups.com</t>
  </si>
  <si>
    <t>dmannan@ups.com</t>
  </si>
  <si>
    <t>fannan@ups.com</t>
  </si>
  <si>
    <t>mannavarapu@ups.com</t>
  </si>
  <si>
    <t>anne.anh@vietranslink.com</t>
  </si>
  <si>
    <t>anne-marie@ellingtonhandbags.com</t>
  </si>
  <si>
    <t>anne.roz@carestream.com</t>
  </si>
  <si>
    <t>anne-marie.labbe@roche.com</t>
  </si>
  <si>
    <t>sannestedt@ups.com</t>
  </si>
  <si>
    <t>adebiec@billskhakis.com</t>
  </si>
  <si>
    <t>annette_Geier@gecomcorp.com</t>
  </si>
  <si>
    <t>Annette.wandel@avisbudget.com</t>
  </si>
  <si>
    <t>Annette_Ball@reyrey.com</t>
  </si>
  <si>
    <t>annette_gallo@hp.com</t>
  </si>
  <si>
    <t>giovanni.annichini@europe.ups.com</t>
  </si>
  <si>
    <t>anniechen@ups.com</t>
  </si>
  <si>
    <t>annie.hamel@mascoutech.com</t>
  </si>
  <si>
    <t>leeannie@ups.com</t>
  </si>
  <si>
    <t>anniesoon@ups.com</t>
  </si>
  <si>
    <t>alosalo@tyco.com</t>
  </si>
  <si>
    <t>awilson3@lenovo.com</t>
  </si>
  <si>
    <t>mannulli@ups.com</t>
  </si>
  <si>
    <t>astepehene@ups.com</t>
  </si>
  <si>
    <t>aanoceto@ups.com</t>
  </si>
  <si>
    <t>adicko@ups.com</t>
  </si>
  <si>
    <t>danonson@ups.com</t>
  </si>
  <si>
    <t>lanonyuo@ups.com</t>
  </si>
  <si>
    <t>amarynyl@ups.com</t>
  </si>
  <si>
    <t>anormanjr@ups.com</t>
  </si>
  <si>
    <t>manorga@ups.com</t>
  </si>
  <si>
    <t>anosjerome@ups.com</t>
  </si>
  <si>
    <t>obiagelianowi@ups.com</t>
  </si>
  <si>
    <t>anquiloanthony@ups.com</t>
  </si>
  <si>
    <t>manrango@ups.com</t>
  </si>
  <si>
    <t>jans@ups.com</t>
  </si>
  <si>
    <t>pansah@ups.com</t>
  </si>
  <si>
    <t>ezio.ansaldi@europe.ups.com</t>
  </si>
  <si>
    <t>aansar@ups.com</t>
  </si>
  <si>
    <t>hansar@ups.com</t>
  </si>
  <si>
    <t>ansariabrar@ups.com</t>
  </si>
  <si>
    <t>fahadansari@ups.com</t>
  </si>
  <si>
    <t>fansari@ups.com</t>
  </si>
  <si>
    <t>jansari@ups.com</t>
  </si>
  <si>
    <t>mansari@ups.com</t>
  </si>
  <si>
    <t>tansari@ups.com</t>
  </si>
  <si>
    <t>zafaransari@ups.com</t>
  </si>
  <si>
    <t>zansari@ups.com</t>
  </si>
  <si>
    <t>Ansel.Trotter@boschrexroth-us.com</t>
  </si>
  <si>
    <t>nansell@ups.com</t>
  </si>
  <si>
    <t>ransell@ups.com</t>
  </si>
  <si>
    <t>aanselme@ups.com</t>
  </si>
  <si>
    <t>vanselmet@ups.com</t>
  </si>
  <si>
    <t>danselmo@ups.com</t>
  </si>
  <si>
    <t>eanselmo@ups.com</t>
  </si>
  <si>
    <t>anselmo.maria@ups.com</t>
  </si>
  <si>
    <t>jenniferansert@ups.com</t>
  </si>
  <si>
    <t>kansert@ups.com</t>
  </si>
  <si>
    <t>bansalanshul@ups.com</t>
  </si>
  <si>
    <t>sanskate@ups.com</t>
  </si>
  <si>
    <t>jansley@ups.com</t>
  </si>
  <si>
    <t>janson@ups.com</t>
  </si>
  <si>
    <t>manson@ups.com</t>
  </si>
  <si>
    <t>vanson@ups.com</t>
  </si>
  <si>
    <t>mansumana@ups.com</t>
  </si>
  <si>
    <t>jantal@ups.com</t>
  </si>
  <si>
    <t>kantal@ups.com</t>
  </si>
  <si>
    <t>aantaneel@ups.com</t>
  </si>
  <si>
    <t>aantas@ups.com</t>
  </si>
  <si>
    <t>aanakarina@ups.com</t>
  </si>
  <si>
    <t>mantczak@ups.com</t>
  </si>
  <si>
    <t>santczak@ups.com</t>
  </si>
  <si>
    <t>aynik@ups.com</t>
  </si>
  <si>
    <t>zacharyantee@ups.com</t>
  </si>
  <si>
    <t>mantelo@ups.com</t>
  </si>
  <si>
    <t>jantenuccijr@ups.com</t>
  </si>
  <si>
    <t>adamanthony@ups.com</t>
  </si>
  <si>
    <t>aanthony@ups.com</t>
  </si>
  <si>
    <t>Anthony.baugher@ftsgps.com</t>
  </si>
  <si>
    <t>benanthony@ups.com</t>
  </si>
  <si>
    <t>banthony@ups.com</t>
  </si>
  <si>
    <t>coreyanthony@ups.com</t>
  </si>
  <si>
    <t>cynthiaanthony@ups.com</t>
  </si>
  <si>
    <t>danthony@ups.com</t>
  </si>
  <si>
    <t>tony@crowntrailer.com</t>
  </si>
  <si>
    <t>xanthonyii@ups.com</t>
  </si>
  <si>
    <t>ainteglia@verizon.net</t>
  </si>
  <si>
    <t>janthony@ups.com</t>
  </si>
  <si>
    <t>manthonyjr@ups.com</t>
  </si>
  <si>
    <t>lanetaanthony@ups.com</t>
  </si>
  <si>
    <t>lorenzoanthony@ups.com</t>
  </si>
  <si>
    <t>manthony@ups.com</t>
  </si>
  <si>
    <t>matthewanthony@ups.com</t>
  </si>
  <si>
    <t>michelleanthony@ups.com</t>
  </si>
  <si>
    <t>paulanthony@ups.com</t>
  </si>
  <si>
    <t>panthony@ups.com</t>
  </si>
  <si>
    <t>qanthony@ups.com</t>
  </si>
  <si>
    <t>rayanthony@ups.com</t>
  </si>
  <si>
    <t>aregan75@gmail.com</t>
  </si>
  <si>
    <t>ranthony@ups.com</t>
  </si>
  <si>
    <t>sdfaog@earthlink.com</t>
  </si>
  <si>
    <t>stephanieanthony@ups.com</t>
  </si>
  <si>
    <t>santhony@ups.com</t>
  </si>
  <si>
    <t>terianthony@ups.com</t>
  </si>
  <si>
    <t>tiffanyanthony@ups.com</t>
  </si>
  <si>
    <t>vanthony@ups.com</t>
  </si>
  <si>
    <t>manti@ups.com</t>
  </si>
  <si>
    <t>rantici@ups.com</t>
  </si>
  <si>
    <t>pantiphate@ups.com</t>
  </si>
  <si>
    <t>oantipova@ups.com</t>
  </si>
  <si>
    <t>antje_lubcker@deromausa.com</t>
  </si>
  <si>
    <t>jantkowiak@ups.com</t>
  </si>
  <si>
    <t>rantle@ups.com</t>
  </si>
  <si>
    <t>manto@ups.com</t>
  </si>
  <si>
    <t>jytteantoft@ups.com</t>
  </si>
  <si>
    <t>cantoine@ups.com</t>
  </si>
  <si>
    <t>gantoine@ups.com</t>
  </si>
  <si>
    <t>lantoine@ups.com</t>
  </si>
  <si>
    <t>dantol@ups.com</t>
  </si>
  <si>
    <t>jantolin@ups.com</t>
  </si>
  <si>
    <t>hilario.a.s.badiola@accenture.com</t>
  </si>
  <si>
    <t>banton@ups.com</t>
  </si>
  <si>
    <t>manton@ups.com</t>
  </si>
  <si>
    <t>panton@ups.com</t>
  </si>
  <si>
    <t>ranton@ups.com</t>
  </si>
  <si>
    <t>antonellam@peerless-clothing.com</t>
  </si>
  <si>
    <t>raffaele.antonelli@europe.ups.com</t>
  </si>
  <si>
    <t>oantonello@ups.com</t>
  </si>
  <si>
    <t>mantonini@ups.com</t>
  </si>
  <si>
    <t>antonioanthony@ups.com</t>
  </si>
  <si>
    <t>arturantonio@ups.com</t>
  </si>
  <si>
    <t>eantonio@ups.com</t>
  </si>
  <si>
    <t>gantonioescobar@ups.com</t>
  </si>
  <si>
    <t>gerardoantonio@ups.com</t>
  </si>
  <si>
    <t>hantonio@ups.com</t>
  </si>
  <si>
    <t>Ahinton@veloxexpress.com</t>
  </si>
  <si>
    <t>mantoniolopez@ups.com</t>
  </si>
  <si>
    <t>amariafe@ups.com</t>
  </si>
  <si>
    <t>aneil@ups.com</t>
  </si>
  <si>
    <t>netzerantonio@ups.com</t>
  </si>
  <si>
    <t>antonio@procourier.com</t>
  </si>
  <si>
    <t>awanda@ups.com</t>
  </si>
  <si>
    <t>mantoniottijr@ups.com</t>
  </si>
  <si>
    <t>aantonishek@ups.com</t>
  </si>
  <si>
    <t>iantonov@ups.com</t>
  </si>
  <si>
    <t>vantonov@ups.com</t>
  </si>
  <si>
    <t>santonovic@ups.com</t>
  </si>
  <si>
    <t>farzanehantons@ups.com</t>
  </si>
  <si>
    <t>tantonsen@ups.com</t>
  </si>
  <si>
    <t>aantonucci@ups.com</t>
  </si>
  <si>
    <t>mantonucci@ups.com</t>
  </si>
  <si>
    <t>santonucci@ups.com</t>
  </si>
  <si>
    <t>aalen@ups.com</t>
  </si>
  <si>
    <t>anuantony@ups.com</t>
  </si>
  <si>
    <t>adinu@ups.com</t>
  </si>
  <si>
    <t>eantony@ups.com</t>
  </si>
  <si>
    <t>jantony@ups.com</t>
  </si>
  <si>
    <t>rajah.antony@ups.com</t>
  </si>
  <si>
    <t>robinantony@ups.com</t>
  </si>
  <si>
    <t>jantosz@ups.com</t>
  </si>
  <si>
    <t>jantoszczyk@ups.com</t>
  </si>
  <si>
    <t>gantoszkiewicz@ups.com</t>
  </si>
  <si>
    <t>tantoszkow@ups.com</t>
  </si>
  <si>
    <t>dantrea@ups.com</t>
  </si>
  <si>
    <t>jantrim@ups.com</t>
  </si>
  <si>
    <t>JAntti@livingstoninc.com</t>
  </si>
  <si>
    <t>aantulis@ups.com</t>
  </si>
  <si>
    <t>cantuna@ups.com</t>
  </si>
  <si>
    <t>fantunez@ups.com</t>
  </si>
  <si>
    <t>javierantunez@ups.com</t>
  </si>
  <si>
    <t>rantunezjr@ups.com</t>
  </si>
  <si>
    <t>antwerpsales1@ups.com</t>
  </si>
  <si>
    <t>antwerpsales2@ups.com</t>
  </si>
  <si>
    <t>antwerpsales3@ups.com</t>
  </si>
  <si>
    <t>antwerpsales4@ups.com</t>
  </si>
  <si>
    <t>bantwi@ups.com</t>
  </si>
  <si>
    <t>OAntwi@ups.com</t>
  </si>
  <si>
    <t>akirkwood@veloxexpress.com</t>
  </si>
  <si>
    <t>Asierantxia@ups.com</t>
  </si>
  <si>
    <t>aanvisa@ups.com</t>
  </si>
  <si>
    <t>aanufrienko@ups.com</t>
  </si>
  <si>
    <t>hyacinthanugbom@ups.com</t>
  </si>
  <si>
    <t>adelmar@ups.com</t>
  </si>
  <si>
    <t>panupalli@ups.com</t>
  </si>
  <si>
    <t>achathothu@ups.com</t>
  </si>
  <si>
    <t>INFO@kyrausa.com</t>
  </si>
  <si>
    <t>banuspandana@ups.com</t>
  </si>
  <si>
    <t>sanvari@ups.com</t>
  </si>
  <si>
    <t>manver@ups.com</t>
  </si>
  <si>
    <t>ianwarali@ups.com</t>
  </si>
  <si>
    <t>manwar@ups.com</t>
  </si>
  <si>
    <t>mohammedanwar@ups.com</t>
  </si>
  <si>
    <t>manwar1@ups.com</t>
  </si>
  <si>
    <t>muhammadanwar@ups.com</t>
  </si>
  <si>
    <t>nanwar@ups.com</t>
  </si>
  <si>
    <t>sanwar@ups.com</t>
  </si>
  <si>
    <t>syedanwar@ups.com</t>
  </si>
  <si>
    <t>manwer@ups.com</t>
  </si>
  <si>
    <t>anwersayed@ups.com</t>
  </si>
  <si>
    <t>canyalewechi@ups.com</t>
  </si>
  <si>
    <t>nanyanwu@ups.com</t>
  </si>
  <si>
    <t>anyqueue@ups.com</t>
  </si>
  <si>
    <t>janzai@ups.com</t>
  </si>
  <si>
    <t>aryuichi@ups.com</t>
  </si>
  <si>
    <t>ranzaldua@ups.com</t>
  </si>
  <si>
    <t>fabio.anzani@ups.com</t>
  </si>
  <si>
    <t>akarlina@ups.com</t>
  </si>
  <si>
    <t>eanzola@ups.com</t>
  </si>
  <si>
    <t>banzueto@ups.com</t>
  </si>
  <si>
    <t>aousbrokerage@ups.com</t>
  </si>
  <si>
    <t>aocustomerservice@ups.com</t>
  </si>
  <si>
    <t>aodafeedback@ups.com</t>
  </si>
  <si>
    <t>anozomi@ups.com</t>
  </si>
  <si>
    <t>atoshiharu@ups.com</t>
  </si>
  <si>
    <t>afumiaki@ups.com</t>
  </si>
  <si>
    <t>haouami@ups.com</t>
  </si>
  <si>
    <t>eaouga@ups.com</t>
  </si>
  <si>
    <t>mhamedaouifia@ups.com</t>
  </si>
  <si>
    <t>iaouissaoui@ups.com</t>
  </si>
  <si>
    <t>mohamed.aouladlhadj@europe.ups.com</t>
  </si>
  <si>
    <t>AP@aaastateofplay.com</t>
  </si>
  <si>
    <t>apappcenter@ups.com</t>
  </si>
  <si>
    <t>ap@artika.com</t>
  </si>
  <si>
    <t>apboainv@selectcomfort.com</t>
  </si>
  <si>
    <t>apbrups@ups.com</t>
  </si>
  <si>
    <t>AP@CARAVANGLOBAL.COM</t>
  </si>
  <si>
    <t>AP@cdiweb.com</t>
  </si>
  <si>
    <t>ap@etekcity.com</t>
  </si>
  <si>
    <t>apfsccanada@ups.com</t>
  </si>
  <si>
    <t>ap@grinding.com</t>
  </si>
  <si>
    <t>ap@hitpromo.net</t>
  </si>
  <si>
    <t>aphrportal@ups.com</t>
  </si>
  <si>
    <t>localpriority@ups.com.rnt.migrated</t>
  </si>
  <si>
    <t>apinvgeneral@ups.com.rnt.migrated</t>
  </si>
  <si>
    <t>aplocalsystem@ups.com.rnt.migrated</t>
  </si>
  <si>
    <t>apinvpriority@ups.com.rnt.migrated</t>
  </si>
  <si>
    <t>APInvoices@Starbucks.com</t>
  </si>
  <si>
    <t>apopenitems@ups.com.rnt.migrated</t>
  </si>
  <si>
    <t>researchreport@ups.com.rnt.migrated</t>
  </si>
  <si>
    <t>vendorcreation@ups.com.rnt.migrated</t>
  </si>
  <si>
    <t>aplegalinvoices@ups.com</t>
  </si>
  <si>
    <t>amanimooli@ups.com</t>
  </si>
  <si>
    <t>ap@petrasoap.com</t>
  </si>
  <si>
    <t>appolska@ups.com</t>
  </si>
  <si>
    <t>appoltraf@ups.com</t>
  </si>
  <si>
    <t>appuninvquery@ups.com</t>
  </si>
  <si>
    <t>ap@safilousa.com</t>
  </si>
  <si>
    <t>anathiyah@ups.com</t>
  </si>
  <si>
    <t>ap@umcproducts.com</t>
  </si>
  <si>
    <t>apacairdm@ups.com</t>
  </si>
  <si>
    <t>apacaudocusign@ups.com</t>
  </si>
  <si>
    <t>apacbdcomms@ups.com</t>
  </si>
  <si>
    <t>apacbrand@ups.com</t>
  </si>
  <si>
    <t>apacbroksupport@ups.com</t>
  </si>
  <si>
    <t>apaccompass@ups.com</t>
  </si>
  <si>
    <t>apacsignaturerequest@ups.com</t>
  </si>
  <si>
    <t>customers@ups.com</t>
  </si>
  <si>
    <t>apachealthcare@ups.com</t>
  </si>
  <si>
    <t>apcustcomms@ups.com</t>
  </si>
  <si>
    <t>apacctm@ups.com</t>
  </si>
  <si>
    <t>apacdm@ups.com</t>
  </si>
  <si>
    <t>apacec@ups.com</t>
  </si>
  <si>
    <t>apacfraud@ups.com</t>
  </si>
  <si>
    <t>apacideas@ups.com</t>
  </si>
  <si>
    <t>mailboxteam@ups.com</t>
  </si>
  <si>
    <t>apacinsidesales@ups.com</t>
  </si>
  <si>
    <t>apacisccoordinator@ups.com</t>
  </si>
  <si>
    <t>apacitappsdevsupport@ups.com</t>
  </si>
  <si>
    <t>apacitinfra@ups.com</t>
  </si>
  <si>
    <t>apaclearning@ups.com</t>
  </si>
  <si>
    <t>apacoceanct@ups.com</t>
  </si>
  <si>
    <t>apacodqgatekeeper@ups.com</t>
  </si>
  <si>
    <t>apacprivacy@ups.com</t>
  </si>
  <si>
    <t>apacproccoe@ups.com</t>
  </si>
  <si>
    <t>apacjobs@ups.com</t>
  </si>
  <si>
    <t>apacrevmgt@ups.com</t>
  </si>
  <si>
    <t>apactdgroup@ups.com</t>
  </si>
  <si>
    <t>apacsegmentmarketing@ups.com</t>
  </si>
  <si>
    <t>apacservice@ups.com</t>
  </si>
  <si>
    <t>apaclogistics@smithsdetection.com</t>
  </si>
  <si>
    <t>apacspdsl@ups.com</t>
  </si>
  <si>
    <t>apacsprmpricing@ups.com</t>
  </si>
  <si>
    <t>apacspp@ups.com</t>
  </si>
  <si>
    <t>apacupswebsite@ups.com</t>
  </si>
  <si>
    <t>apacvisionmap@ups.com</t>
  </si>
  <si>
    <t>hkisespotrate@ups.com</t>
  </si>
  <si>
    <t>apacwweconomysupport@ups.com</t>
  </si>
  <si>
    <t>apaceinvoice@ups.com</t>
  </si>
  <si>
    <t>apaconedayquote01@ups.com</t>
  </si>
  <si>
    <t>apaconedayquote02@ups.com</t>
  </si>
  <si>
    <t>apaconedayquote03@ups.com</t>
  </si>
  <si>
    <t>apaconedayquote04@ups.com</t>
  </si>
  <si>
    <t>apaconedayquote05@ups.com</t>
  </si>
  <si>
    <t>apaconedayquote06@ups.com</t>
  </si>
  <si>
    <t>apaconedayquote07@ups.com</t>
  </si>
  <si>
    <t>apaconedayquote08@ups.com</t>
  </si>
  <si>
    <t>apacsecurity@ups.com</t>
  </si>
  <si>
    <t>apacspl@ups.com</t>
  </si>
  <si>
    <t>apactsc@ups.com</t>
  </si>
  <si>
    <t>amariakatrina@ups.com</t>
  </si>
  <si>
    <t>azymon@ups.com</t>
  </si>
  <si>
    <t>atanuja@ups.com</t>
  </si>
  <si>
    <t>maparecidadasilvamiranda2@ups.com</t>
  </si>
  <si>
    <t>taparecidadeoliveira@ups.com</t>
  </si>
  <si>
    <t>taparecidagarcia@ups.com</t>
  </si>
  <si>
    <t>daparicio@ups.com</t>
  </si>
  <si>
    <t>saparicio@ups.com</t>
  </si>
  <si>
    <t>ahazel@ups.com</t>
  </si>
  <si>
    <t>eapaydin@ups.com</t>
  </si>
  <si>
    <t>apcmat@cae.com</t>
  </si>
  <si>
    <t>apchecks@ups.com</t>
  </si>
  <si>
    <t>apctc@ups.com</t>
  </si>
  <si>
    <t>aapeh@ups.com</t>
  </si>
  <si>
    <t>eapeh@ups.com</t>
  </si>
  <si>
    <t>apeiat@ups.com</t>
  </si>
  <si>
    <t>apeibe@ups.com</t>
  </si>
  <si>
    <t>apeich@ups.com</t>
  </si>
  <si>
    <t>apeicz@ups.com</t>
  </si>
  <si>
    <t>apeide@ups.com</t>
  </si>
  <si>
    <t>apeidk@ups.com</t>
  </si>
  <si>
    <t>apeies@ups.com</t>
  </si>
  <si>
    <t>apeifi@ups.com</t>
  </si>
  <si>
    <t>apeifr@ups.com</t>
  </si>
  <si>
    <t>apeigb@ups.com</t>
  </si>
  <si>
    <t>apeihu@ups.com</t>
  </si>
  <si>
    <t>apeiie@ups.com</t>
  </si>
  <si>
    <t>apeit@ups.com</t>
  </si>
  <si>
    <t>apeinl@ups.com</t>
  </si>
  <si>
    <t>apeino@ups.com</t>
  </si>
  <si>
    <t>apeipl@ups.com</t>
  </si>
  <si>
    <t>apeipt@ups.com</t>
  </si>
  <si>
    <t>apeise@ups.com</t>
  </si>
  <si>
    <t>mapelhans@ups.com</t>
  </si>
  <si>
    <t>aperturacuenta@ups.com</t>
  </si>
  <si>
    <t>dapfel@ups.com</t>
  </si>
  <si>
    <t>saphayboun@ups.com</t>
  </si>
  <si>
    <t>naphle@ups.com</t>
  </si>
  <si>
    <t>mapidopoulos@ups.com</t>
  </si>
  <si>
    <t>tapinis@ups.com</t>
  </si>
  <si>
    <t>maplington@ups.com</t>
  </si>
  <si>
    <t>aplm@ups.com</t>
  </si>
  <si>
    <t>apmaytex@decolin.com</t>
  </si>
  <si>
    <t>upsaccesspointbelux@ups.com</t>
  </si>
  <si>
    <t>upsaccesspointfr@ups.com</t>
  </si>
  <si>
    <t>upsaccesspointnl@ups.com</t>
  </si>
  <si>
    <t>apmcnordics@ups.com</t>
  </si>
  <si>
    <t>upsaccesspointpt@ups.com</t>
  </si>
  <si>
    <t>upsaccesspointes@ups.com</t>
  </si>
  <si>
    <t>upsaccesspointgb@ups.com</t>
  </si>
  <si>
    <t>eapodaca@ups.com</t>
  </si>
  <si>
    <t>hapodacajr@ups.com</t>
  </si>
  <si>
    <t>lapodaca@ups.com</t>
  </si>
  <si>
    <t>vapodaca@ups.com</t>
  </si>
  <si>
    <t>akristineshayne@ups.com</t>
  </si>
  <si>
    <t>aapollon@ups.com</t>
  </si>
  <si>
    <t>saponick@ups.com</t>
  </si>
  <si>
    <t>aaponte1@ups.com</t>
  </si>
  <si>
    <t>albertoaponte@ups.com</t>
  </si>
  <si>
    <t>aaponte@ups.com</t>
  </si>
  <si>
    <t>anamariaaponte@ups.com</t>
  </si>
  <si>
    <t>daponte@ups.com</t>
  </si>
  <si>
    <t>eaponte@ups.com</t>
  </si>
  <si>
    <t>mapontegiraldo@ups.com</t>
  </si>
  <si>
    <t>japonte@ups.com</t>
  </si>
  <si>
    <t>josephaponte@ups.com</t>
  </si>
  <si>
    <t>joshuaaponte@ups.com</t>
  </si>
  <si>
    <t>saponte@ups.com</t>
  </si>
  <si>
    <t>taponte@ups.com</t>
  </si>
  <si>
    <t>paposacas@ups.com</t>
  </si>
  <si>
    <t>kapostol@ups.com</t>
  </si>
  <si>
    <t>amarkadrian@ups.com</t>
  </si>
  <si>
    <t>vapostolov@ups.com</t>
  </si>
  <si>
    <t>applicationedi@ups.com</t>
  </si>
  <si>
    <t>dwhsup@ups.com</t>
  </si>
  <si>
    <t>app.support@worldchain.com</t>
  </si>
  <si>
    <t>nappam@ups.com</t>
  </si>
  <si>
    <t>happansrinivasan@ups.com</t>
  </si>
  <si>
    <t>rappel@ups.com</t>
  </si>
  <si>
    <t>lappelbaum@ups.com</t>
  </si>
  <si>
    <t>jappelstiel@ups.com</t>
  </si>
  <si>
    <t>eapperson@ups.com</t>
  </si>
  <si>
    <t>japperti@ups.com</t>
  </si>
  <si>
    <t>pappez@ups.com</t>
  </si>
  <si>
    <t>kappiah@ups.com</t>
  </si>
  <si>
    <t>jappiahandam@ups.com</t>
  </si>
  <si>
    <t>happiahkubi@ups.com</t>
  </si>
  <si>
    <t>rappiarius@ups.com</t>
  </si>
  <si>
    <t>appleaelogistics@ups.com</t>
  </si>
  <si>
    <t>agssd@ups.com</t>
  </si>
  <si>
    <t>ahdneuss@ups.com</t>
  </si>
  <si>
    <t>appleteammail@ups.com</t>
  </si>
  <si>
    <t>appleupstoms@ups.com</t>
  </si>
  <si>
    <t>lgapplebaum@ups.com</t>
  </si>
  <si>
    <t>kapplebey@ups.com</t>
  </si>
  <si>
    <t>dxappleby@ups.com</t>
  </si>
  <si>
    <t>gappleby@ups.com</t>
  </si>
  <si>
    <t>lappleby@ups.com</t>
  </si>
  <si>
    <t>pappleby@ups.com</t>
  </si>
  <si>
    <t>usaoapplecct@ups.com</t>
  </si>
  <si>
    <t>dfwftzgty@ups.com</t>
  </si>
  <si>
    <t>apldfwgtwy@ups.com</t>
  </si>
  <si>
    <t>appleexpress@ups.com</t>
  </si>
  <si>
    <t>capplegate@ups.com</t>
  </si>
  <si>
    <t>gapplegate@ups.com</t>
  </si>
  <si>
    <t>aplgtwy@ups.com</t>
  </si>
  <si>
    <t>jfkftzgty@ups.com</t>
  </si>
  <si>
    <t>apljfkgtwy@ups.com</t>
  </si>
  <si>
    <t>laxftzgty@ups.com</t>
  </si>
  <si>
    <t>apllaxgtwy@ups.com</t>
  </si>
  <si>
    <t>ordftzgty@ups.com</t>
  </si>
  <si>
    <t>aplordgtwy@ups.com</t>
  </si>
  <si>
    <t>dappleton@ups.com</t>
  </si>
  <si>
    <t>philipappleton@ups.com</t>
  </si>
  <si>
    <t>capplewhite@ups.com</t>
  </si>
  <si>
    <t>mapplewhite@ups.com</t>
  </si>
  <si>
    <t>vapplewhite@ups.com</t>
  </si>
  <si>
    <t>applicationupscapitaleurope@ups.com</t>
  </si>
  <si>
    <t>amattxtin@ups.com</t>
  </si>
  <si>
    <t>capplin@ups.com</t>
  </si>
  <si>
    <t>aleciaappling@ups.com</t>
  </si>
  <si>
    <t>apposcstw@ups.com</t>
  </si>
  <si>
    <t>appoupstw@ups.com</t>
  </si>
  <si>
    <t>appoupscotw@ups.com</t>
  </si>
  <si>
    <t>sappochi@ups.com</t>
  </si>
  <si>
    <t>jappol@ups.com</t>
  </si>
  <si>
    <t>happollis@ups.com</t>
  </si>
  <si>
    <t>appovmf@ups.com</t>
  </si>
  <si>
    <t>bapprioual@ups.com</t>
  </si>
  <si>
    <t>aappukuttan@ups.com</t>
  </si>
  <si>
    <t>kappusamy@ups.com</t>
  </si>
  <si>
    <t>fapreotesei@ups.com</t>
  </si>
  <si>
    <t>APRIL@HEXARMOR.COM</t>
  </si>
  <si>
    <t>amcmichael@fabricut.com</t>
  </si>
  <si>
    <t>April.Pettigrew@canadacartage.com</t>
  </si>
  <si>
    <t>April.Ping.Luo@FutureElectronics.com</t>
  </si>
  <si>
    <t>april.tooman@fliway.com</t>
  </si>
  <si>
    <t>arina@ups.com</t>
  </si>
  <si>
    <t>aprs@ups.com</t>
  </si>
  <si>
    <t>tapsey@ups.com</t>
  </si>
  <si>
    <t>APSPSIntelligrated@honeywell.com</t>
  </si>
  <si>
    <t>apusbeta@ups.com</t>
  </si>
  <si>
    <t>cecmigratedaputfiles@ups.com</t>
  </si>
  <si>
    <t>aapuzzo@ups.com</t>
  </si>
  <si>
    <t>oaqqua@ups.com</t>
  </si>
  <si>
    <t>aaquallo@ups.com</t>
  </si>
  <si>
    <t>XDM3GKD@ups.com</t>
  </si>
  <si>
    <t>haquilar@ups.com</t>
  </si>
  <si>
    <t>aaquilina@ups.com</t>
  </si>
  <si>
    <t>caquilino@ups.com</t>
  </si>
  <si>
    <t>aaquino@ups.com</t>
  </si>
  <si>
    <t>arnelaquino@ups.com</t>
  </si>
  <si>
    <t>aedwinarrold@ups.com</t>
  </si>
  <si>
    <t>aemilioiii@ups.com</t>
  </si>
  <si>
    <t>eaquino@ups.com</t>
  </si>
  <si>
    <t>gayleaquino@ups.com</t>
  </si>
  <si>
    <t>haquino@ups.com</t>
  </si>
  <si>
    <t>maquino@ups.com</t>
  </si>
  <si>
    <t>aquinomark@ups.com</t>
  </si>
  <si>
    <t>aninaperpetualou@ups.com</t>
  </si>
  <si>
    <t>randellaquino@ups.com</t>
  </si>
  <si>
    <t>aregine@ups.com</t>
  </si>
  <si>
    <t>raquino@ups.com</t>
  </si>
  <si>
    <t>aroderick@ups.com</t>
  </si>
  <si>
    <t>aroel@ups.com</t>
  </si>
  <si>
    <t>araircface@ups.com</t>
  </si>
  <si>
    <t>gbsarat@ups.com</t>
  </si>
  <si>
    <t>araustria@ups.com</t>
  </si>
  <si>
    <t>arbilling@ups.com</t>
  </si>
  <si>
    <t>gbsarch@ups.com</t>
  </si>
  <si>
    <t>recons@ups.com</t>
  </si>
  <si>
    <t>ARControlReports@ups.com</t>
  </si>
  <si>
    <t>ardatamartsupport@ups.com</t>
  </si>
  <si>
    <t>argermany@ups.com</t>
  </si>
  <si>
    <t>gbsarpoland@ups.com</t>
  </si>
  <si>
    <t>arpoltraf@ups.com</t>
  </si>
  <si>
    <t>arpunebenelux@ups.com</t>
  </si>
  <si>
    <t>arpuneesptit@ups.com</t>
  </si>
  <si>
    <t>arpuneie@ups.com</t>
  </si>
  <si>
    <t>arpunenordics@ups.com</t>
  </si>
  <si>
    <t>arpuneukie@ups.com</t>
  </si>
  <si>
    <t>arscsface@ups.com</t>
  </si>
  <si>
    <t>faxdetails@ups.com</t>
  </si>
  <si>
    <t>arsttascsveinv@ups.com</t>
  </si>
  <si>
    <t>arswitzerland@ups.com</t>
  </si>
  <si>
    <t>arupsface@ups.com</t>
  </si>
  <si>
    <t>arwebpickup@ups.com</t>
  </si>
  <si>
    <t>aarab@ups.com</t>
  </si>
  <si>
    <t>rarabail@ups.com</t>
  </si>
  <si>
    <t>afloribelle@ups.com</t>
  </si>
  <si>
    <t>ajohnhermie@ups.com</t>
  </si>
  <si>
    <t>maraceli@ups.com</t>
  </si>
  <si>
    <t>araceli.marquez@directed.com</t>
  </si>
  <si>
    <t>carachige@ups.com</t>
  </si>
  <si>
    <t>raradas@ups.com</t>
  </si>
  <si>
    <t>maradia@ups.com</t>
  </si>
  <si>
    <t>caragon@ups.com</t>
  </si>
  <si>
    <t>daragon@ups.com</t>
  </si>
  <si>
    <t>earagon@ups.com</t>
  </si>
  <si>
    <t>jaragon@ups.com</t>
  </si>
  <si>
    <t>karen.aragon@viewsonic.com</t>
  </si>
  <si>
    <t>laragon@ups.com</t>
  </si>
  <si>
    <t>oaragon@ups.com</t>
  </si>
  <si>
    <t>paragon@ups.com</t>
  </si>
  <si>
    <t>raragon@ups.com</t>
  </si>
  <si>
    <t>jaragones@ups.com</t>
  </si>
  <si>
    <t>Arai.Carol@ups.com</t>
  </si>
  <si>
    <t>marain@ups.com</t>
  </si>
  <si>
    <t>narain@ups.com</t>
  </si>
  <si>
    <t>earaiz@ups.com</t>
  </si>
  <si>
    <t>aldoaraiza@ups.com</t>
  </si>
  <si>
    <t>daraiza@ups.com</t>
  </si>
  <si>
    <t>maraiza@ups.com</t>
  </si>
  <si>
    <t>naraiza@ups.com</t>
  </si>
  <si>
    <t>uaraiza@ups.com</t>
  </si>
  <si>
    <t>bennettarakaki@ups.com</t>
  </si>
  <si>
    <t>harakawa@ups.com</t>
  </si>
  <si>
    <t>rarakelian@ups.com</t>
  </si>
  <si>
    <t>akota@ups.com</t>
  </si>
  <si>
    <t>aminoru@ups.com</t>
  </si>
  <si>
    <t>taraki@ups.com</t>
  </si>
  <si>
    <t>carambula@ups.com</t>
  </si>
  <si>
    <t>earambula@ups.com</t>
  </si>
  <si>
    <t>rarambula@ups.com</t>
  </si>
  <si>
    <t>jaramburu@ups.com</t>
  </si>
  <si>
    <t>naramdet@ups.com</t>
  </si>
  <si>
    <t>aramexcrgdesk@ups.com</t>
  </si>
  <si>
    <t>aramirez@tams.com</t>
  </si>
  <si>
    <t>rarana@ups.com</t>
  </si>
  <si>
    <t>barand@ups.com</t>
  </si>
  <si>
    <t>candidaaranda@ups.com</t>
  </si>
  <si>
    <t>cruzaranda@ups.com</t>
  </si>
  <si>
    <t>daranda@ups.com</t>
  </si>
  <si>
    <t>maranda@ups.com</t>
  </si>
  <si>
    <t>raranda@ups.com</t>
  </si>
  <si>
    <t>saranda@ups.com</t>
  </si>
  <si>
    <t>marangocano@ups.com</t>
  </si>
  <si>
    <t>rarangocanon@ups.com</t>
  </si>
  <si>
    <t>barangolezcano@ups.com</t>
  </si>
  <si>
    <t>sarangosoto@ups.com</t>
  </si>
  <si>
    <t>aarangovalencia@ups.com</t>
  </si>
  <si>
    <t>estebanarangoperez@ups.com</t>
  </si>
  <si>
    <t>akrizah@ups.com</t>
  </si>
  <si>
    <t>varangure@ups.com</t>
  </si>
  <si>
    <t>yarani@ups.com</t>
  </si>
  <si>
    <t>earanitasi@ups.com</t>
  </si>
  <si>
    <t>jaranjuez@ups.com</t>
  </si>
  <si>
    <t>paranyi@ups.com</t>
  </si>
  <si>
    <t>earanzaens@ups.com</t>
  </si>
  <si>
    <t>narapovic@ups.com</t>
  </si>
  <si>
    <t>baras@ups.com</t>
  </si>
  <si>
    <t>brantleyarata@ups.com</t>
  </si>
  <si>
    <t>andreaaraujo@ups.com</t>
  </si>
  <si>
    <t>caraujo@ups.com</t>
  </si>
  <si>
    <t>earaujo@ups.com</t>
  </si>
  <si>
    <t>elliearaujo@ups.com</t>
  </si>
  <si>
    <t>gladysaraujo@ups.com</t>
  </si>
  <si>
    <t>iaraujo@ups.com</t>
  </si>
  <si>
    <t>josearaujo@ups.com</t>
  </si>
  <si>
    <t>manuel.araujo@europe.ups.com</t>
  </si>
  <si>
    <t>manuelaraujo@ups.com</t>
  </si>
  <si>
    <t>maraujo@ups.com</t>
  </si>
  <si>
    <t>murilloaraujo@ups.com</t>
  </si>
  <si>
    <t>nancyaraujo@ups.com</t>
  </si>
  <si>
    <t>naraujo@ups.com</t>
  </si>
  <si>
    <t>iaraujoovalle@ups.com</t>
  </si>
  <si>
    <t>aaraujoribeiro@ups.com</t>
  </si>
  <si>
    <t>raraujo@ups.com</t>
  </si>
  <si>
    <t>earaujorodriguez@ups.com</t>
  </si>
  <si>
    <t>varaujo@ups.com</t>
  </si>
  <si>
    <t>aaraujo@upslogistics.com.hn</t>
  </si>
  <si>
    <t>aarauz@ups.com</t>
  </si>
  <si>
    <t>carauz@ups.com</t>
  </si>
  <si>
    <t>jarauz@ups.com</t>
  </si>
  <si>
    <t>karavanan@ups.com</t>
  </si>
  <si>
    <t>karavantinos@ups.com</t>
  </si>
  <si>
    <t>karavapalli@ups.com</t>
  </si>
  <si>
    <t>maravena@upslogistics.cl</t>
  </si>
  <si>
    <t>aroshein@ups.com</t>
  </si>
  <si>
    <t>varavinth@ups.com</t>
  </si>
  <si>
    <t>daraya@ups.com</t>
  </si>
  <si>
    <t>diegoaraya@ups.com</t>
  </si>
  <si>
    <t>naraya@ups.com</t>
  </si>
  <si>
    <t>raraya@ups.com</t>
  </si>
  <si>
    <t>LNZ2SNK@ups.com</t>
  </si>
  <si>
    <t>jarbaizavillatoro@ups.com</t>
  </si>
  <si>
    <t>VJV2WYQ@ups.com</t>
  </si>
  <si>
    <t>carbaugh@ups.com</t>
  </si>
  <si>
    <t>sarbaugh@ups.com</t>
  </si>
  <si>
    <t>rarbelaezgarcia@ups.com</t>
  </si>
  <si>
    <t>jarbelaezperez@ups.com</t>
  </si>
  <si>
    <t>yarbelaezzapata@ups.com</t>
  </si>
  <si>
    <t>larbelojr@ups.com</t>
  </si>
  <si>
    <t>aarbeloa@upslogistics.fr</t>
  </si>
  <si>
    <t>sarberry@ups.com</t>
  </si>
  <si>
    <t>arbi@ups.com</t>
  </si>
  <si>
    <t>marbitrario@ups.com</t>
  </si>
  <si>
    <t>marbizo@ups.com</t>
  </si>
  <si>
    <t>garbizzani@ups.com</t>
  </si>
  <si>
    <t>barblaster@ups.com</t>
  </si>
  <si>
    <t>darblaster@ups.com</t>
  </si>
  <si>
    <t>jarblaster@ups.com</t>
  </si>
  <si>
    <t>sarbogast@ups.com</t>
  </si>
  <si>
    <t>arboledageorge@ups.com</t>
  </si>
  <si>
    <t>darbour@ups.com</t>
  </si>
  <si>
    <t>aarbuckle@ups.com</t>
  </si>
  <si>
    <t>darbuckle@ups.com</t>
  </si>
  <si>
    <t>harbuckle@ups.com</t>
  </si>
  <si>
    <t>raarbuckle@ups.com</t>
  </si>
  <si>
    <t>darcand@ups.com</t>
  </si>
  <si>
    <t>jarcanjo@ups.com</t>
  </si>
  <si>
    <t>aarcari@ups.com</t>
  </si>
  <si>
    <t>harcecota@ups.com</t>
  </si>
  <si>
    <t>hectoromararcecota@ups.com</t>
  </si>
  <si>
    <t>rarcedelcid@ups.com</t>
  </si>
  <si>
    <t>jesusarce@ups.com</t>
  </si>
  <si>
    <t>jarce@ups.com</t>
  </si>
  <si>
    <t>karce@ups.com</t>
  </si>
  <si>
    <t>narce@ups.com</t>
  </si>
  <si>
    <t>arobertchristian@ups.com</t>
  </si>
  <si>
    <t>jarcelli@ups.com</t>
  </si>
  <si>
    <t>darceo@ups.com</t>
  </si>
  <si>
    <t>rarceo@ups.com</t>
  </si>
  <si>
    <t>tarch@ups.com</t>
  </si>
  <si>
    <t>jarchaga@ups.com</t>
  </si>
  <si>
    <t>marchaga@ups.com</t>
  </si>
  <si>
    <t>carchambault@ups.com</t>
  </si>
  <si>
    <t>earchambault@ups.com</t>
  </si>
  <si>
    <t>jarchambault@ups.com</t>
  </si>
  <si>
    <t>zarchbold@ups.com</t>
  </si>
  <si>
    <t>pathitaarcheevapanich@ups.com</t>
  </si>
  <si>
    <t>aarcher@ups.com</t>
  </si>
  <si>
    <t>aarchermalcolm@ups.com</t>
  </si>
  <si>
    <t>carcher1@ups.com</t>
  </si>
  <si>
    <t>carcher@ups.com</t>
  </si>
  <si>
    <t>jarcher@ups.com</t>
  </si>
  <si>
    <t>larcher@ups.com</t>
  </si>
  <si>
    <t>marcher@ups.com</t>
  </si>
  <si>
    <t>rarcher@ups.com</t>
  </si>
  <si>
    <t>sarcher@ups.com</t>
  </si>
  <si>
    <t>sarcher1@ups.com</t>
  </si>
  <si>
    <t>varcher@ups.com</t>
  </si>
  <si>
    <t>jarcheyjr@ups.com</t>
  </si>
  <si>
    <t>darchibald@ups.com</t>
  </si>
  <si>
    <t>earchibald@ups.com</t>
  </si>
  <si>
    <t>rarchibald@ups.com</t>
  </si>
  <si>
    <t>Aka-amino@appleexpress.com</t>
  </si>
  <si>
    <t>marchie@ups.com</t>
  </si>
  <si>
    <t>tiffaniearchie@ups.com</t>
  </si>
  <si>
    <t>warchie@ups.com</t>
  </si>
  <si>
    <t>darchin@ups.com</t>
  </si>
  <si>
    <t>sarchit@ups.com</t>
  </si>
  <si>
    <t>arb@ups.com</t>
  </si>
  <si>
    <t>Austausch.Archiv@uni-data.de</t>
  </si>
  <si>
    <t>darchuleta@ups.com</t>
  </si>
  <si>
    <t>karchuleta@ups.com</t>
  </si>
  <si>
    <t>marchuleta@ups.com</t>
  </si>
  <si>
    <t>sarchuleta@ups.com</t>
  </si>
  <si>
    <t>larchuletta@ups.com</t>
  </si>
  <si>
    <t>marciaga@ups.com</t>
  </si>
  <si>
    <t>narcidiacono@ups.com</t>
  </si>
  <si>
    <t>jarciga@ups.com</t>
  </si>
  <si>
    <t>ajoanamarie@ups.com</t>
  </si>
  <si>
    <t>andresarcila@ups.com</t>
  </si>
  <si>
    <t>arcornwell@beckman.com</t>
  </si>
  <si>
    <t>arcr@ups.com</t>
  </si>
  <si>
    <t>sarcuicci@ups.com</t>
  </si>
  <si>
    <t>larcuri@ups.com</t>
  </si>
  <si>
    <t>sarcuri@ups.com</t>
  </si>
  <si>
    <t>arcv@ups.com</t>
  </si>
  <si>
    <t>barczewska@ups.com</t>
  </si>
  <si>
    <t>kard@ups.com</t>
  </si>
  <si>
    <t>nancyard@ups.com</t>
  </si>
  <si>
    <t>rard@ups.com</t>
  </si>
  <si>
    <t>tard@ups.com</t>
  </si>
  <si>
    <t>garden@ups.com</t>
  </si>
  <si>
    <t>ardeptscsfi@ups.com</t>
  </si>
  <si>
    <t>ardeptscsie@ups.com</t>
  </si>
  <si>
    <t>ardeptscsnl@ups.com</t>
  </si>
  <si>
    <t>ardeptscsnordics@ups.com</t>
  </si>
  <si>
    <t>ardeptscsuk@ups.com</t>
  </si>
  <si>
    <t>ardeptscsupsnetwork@ups.com</t>
  </si>
  <si>
    <t>ardeptspie@ups.com</t>
  </si>
  <si>
    <t>ardeptspuk@ups.com</t>
  </si>
  <si>
    <t>ARDesktop@ups.com</t>
  </si>
  <si>
    <t>ajannasonolive@ups.com</t>
  </si>
  <si>
    <t>jardila@ups.com</t>
  </si>
  <si>
    <t>aardis@ups.com</t>
  </si>
  <si>
    <t>mardizzon@ups.com</t>
  </si>
  <si>
    <t>bardley@ups.com</t>
  </si>
  <si>
    <t>ashtonardoin@ups.com</t>
  </si>
  <si>
    <t>kardoin@ups.com</t>
  </si>
  <si>
    <t>tardoin@ups.com</t>
  </si>
  <si>
    <t>eardon@ups.com</t>
  </si>
  <si>
    <t>jardrey@ups.com</t>
  </si>
  <si>
    <t>jarechigaberumen@ups.com</t>
  </si>
  <si>
    <t>carechiga@ups.com</t>
  </si>
  <si>
    <t>harechigo@ups.com</t>
  </si>
  <si>
    <t>wilaiwan.areesak@ups.com</t>
  </si>
  <si>
    <t>haregbesola@ups.com</t>
  </si>
  <si>
    <t>lareizatapias@ups.com</t>
  </si>
  <si>
    <t>tarellanes@ups.com</t>
  </si>
  <si>
    <t>abigailarellano@ups.com</t>
  </si>
  <si>
    <t>adrielarellano@ups.com</t>
  </si>
  <si>
    <t>aarellano@ups.com</t>
  </si>
  <si>
    <t>carellano@ups.com</t>
  </si>
  <si>
    <t>christinaarellano@ups.com</t>
  </si>
  <si>
    <t>earellano@ups.com</t>
  </si>
  <si>
    <t>farellano@ups.com</t>
  </si>
  <si>
    <t>iarellano@ups.com</t>
  </si>
  <si>
    <t>ivanarellano@ups.com</t>
  </si>
  <si>
    <t>josearellano@ups.com</t>
  </si>
  <si>
    <t>jarellano@ups.com</t>
  </si>
  <si>
    <t>akevinsteven@ups.com</t>
  </si>
  <si>
    <t>melissaarellano@ups.com</t>
  </si>
  <si>
    <t>miguelarellano@ups.com</t>
  </si>
  <si>
    <t>rarellano@ups.com</t>
  </si>
  <si>
    <t>sarellano@ups.com</t>
  </si>
  <si>
    <t>zarellano@ups.com</t>
  </si>
  <si>
    <t>aaremanda@ups.com</t>
  </si>
  <si>
    <t>karena@ups.com</t>
  </si>
  <si>
    <t>rarena@ups.com</t>
  </si>
  <si>
    <t>barenas@searchdc.org</t>
  </si>
  <si>
    <t>karenas@ups.com</t>
  </si>
  <si>
    <t>luisarenas@ups.com</t>
  </si>
  <si>
    <t>sarenas@ups.com</t>
  </si>
  <si>
    <t>yarenas@ups.com</t>
  </si>
  <si>
    <t>larenas@upslogistics.cl</t>
  </si>
  <si>
    <t>barend@ups.com</t>
  </si>
  <si>
    <t>marendale@ups.com</t>
  </si>
  <si>
    <t>aarendt@ups.com</t>
  </si>
  <si>
    <t>tarendt@ups.com</t>
  </si>
  <si>
    <t>parenivar@ups.com</t>
  </si>
  <si>
    <t>claudia.arens@europe.ups.com</t>
  </si>
  <si>
    <t>iarentz@ups.com</t>
  </si>
  <si>
    <t>gareta@ups.com</t>
  </si>
  <si>
    <t>karetz@ups.com</t>
  </si>
  <si>
    <t>aarevalo@ups.com</t>
  </si>
  <si>
    <t>angeearevalo@ups.com</t>
  </si>
  <si>
    <t>barevalo@ups.com</t>
  </si>
  <si>
    <t>bryanarevalo@ups.com</t>
  </si>
  <si>
    <t>carevalo@ups.com</t>
  </si>
  <si>
    <t>garevalo@ups.com</t>
  </si>
  <si>
    <t>marevalo@ups.com</t>
  </si>
  <si>
    <t>parevalo@ups.com</t>
  </si>
  <si>
    <t>warevalo@ups.com</t>
  </si>
  <si>
    <t>carevalos@ups.com</t>
  </si>
  <si>
    <t>carfa@ups.com</t>
  </si>
  <si>
    <t>marfan@ups.com</t>
  </si>
  <si>
    <t>iarfaoui@ups.com</t>
  </si>
  <si>
    <t>marfaoui@ups.com</t>
  </si>
  <si>
    <t>jarfeli@ups.com</t>
  </si>
  <si>
    <t>jarfin@ups.com</t>
  </si>
  <si>
    <t>ajchristian@ups.com</t>
  </si>
  <si>
    <t>argzbiosurgery@ups.com</t>
  </si>
  <si>
    <t>sargelcontreras@ups.com</t>
  </si>
  <si>
    <t>dargen@ups.com</t>
  </si>
  <si>
    <t>rargentiero@ups.com</t>
  </si>
  <si>
    <t>billingar@ups.com</t>
  </si>
  <si>
    <t>argentinalpfcontrol@ups.com</t>
  </si>
  <si>
    <t>jleniaargento@ups.com</t>
  </si>
  <si>
    <t>jargiento@ups.com</t>
  </si>
  <si>
    <t>sargino@ups.com</t>
  </si>
  <si>
    <t>argm@ups.com</t>
  </si>
  <si>
    <t>gargon@ups.com</t>
  </si>
  <si>
    <t>rargosino@ups.com</t>
  </si>
  <si>
    <t>aargote@ups.com</t>
  </si>
  <si>
    <t>jargoudelis@ups.com</t>
  </si>
  <si>
    <t>argudo.mariana@ups.com</t>
  </si>
  <si>
    <t>jarguedas@ups.com</t>
  </si>
  <si>
    <t>aarguelles@ups.com</t>
  </si>
  <si>
    <t>carguelles@ups.com</t>
  </si>
  <si>
    <t>arguellesmelissa@ups.com</t>
  </si>
  <si>
    <t>yamilette.arguelles@ups.com</t>
  </si>
  <si>
    <t>parguellojr@ups.com</t>
  </si>
  <si>
    <t>aargueta@ups.com</t>
  </si>
  <si>
    <t>cargueta@ups.com</t>
  </si>
  <si>
    <t>dargueta@ups.com</t>
  </si>
  <si>
    <t>eargueta@ups.com</t>
  </si>
  <si>
    <t>fargueta@ups.com</t>
  </si>
  <si>
    <t>jacobaargueta@ups.com</t>
  </si>
  <si>
    <t>jargueta@ups.com</t>
  </si>
  <si>
    <t>melissaargueta@ups.com</t>
  </si>
  <si>
    <t>wargueta@ups.com</t>
  </si>
  <si>
    <t>yargueta@ups.com</t>
  </si>
  <si>
    <t>sarguijo@ups.com</t>
  </si>
  <si>
    <t>argzrenal@ups.com</t>
  </si>
  <si>
    <t>vari@ups.com</t>
  </si>
  <si>
    <t>arianot@us.ibm.com</t>
  </si>
  <si>
    <t>tariansen@ups.com</t>
  </si>
  <si>
    <t>albertarias@ups.com</t>
  </si>
  <si>
    <t>alexanderarias@ups.com</t>
  </si>
  <si>
    <t>aarias@ups.com</t>
  </si>
  <si>
    <t>anthonyarias@ups.com</t>
  </si>
  <si>
    <t>arrieannearias@ups.com</t>
  </si>
  <si>
    <t>rariasbarranco@ups.com</t>
  </si>
  <si>
    <t>carias@ups.com</t>
  </si>
  <si>
    <t>carlosarias@ups.com</t>
  </si>
  <si>
    <t>cristinaarias@ups.com</t>
  </si>
  <si>
    <t>elizabetharias@ups.com</t>
  </si>
  <si>
    <t>earias@ups.com</t>
  </si>
  <si>
    <t>sariasfranco@ups.com</t>
  </si>
  <si>
    <t>garias@ups.com</t>
  </si>
  <si>
    <t>fariasiii@ups.com</t>
  </si>
  <si>
    <t>aarthuro@ups.com</t>
  </si>
  <si>
    <t>jarias@ups.com</t>
  </si>
  <si>
    <t>julia.arias@europe.ups.com</t>
  </si>
  <si>
    <t>amapatricia@ups.com</t>
  </si>
  <si>
    <t>maikelarias@ups.com</t>
  </si>
  <si>
    <t>cariasmarulanda@ups.com</t>
  </si>
  <si>
    <t>marias@ups.com</t>
  </si>
  <si>
    <t>fariasmoreno@ups.com</t>
  </si>
  <si>
    <t>jariasnorena@ups.com</t>
  </si>
  <si>
    <t>pedro.arias@ups.com</t>
  </si>
  <si>
    <t>richardarias@ups.com</t>
  </si>
  <si>
    <t>rarias@ups.com</t>
  </si>
  <si>
    <t>yarias@ups.com</t>
  </si>
  <si>
    <t>sarias-hernandez@ups.com</t>
  </si>
  <si>
    <t>uarici@ups.com</t>
  </si>
  <si>
    <t>rariciaga@ups.com</t>
  </si>
  <si>
    <t>ariel_gasek@jabil.com</t>
  </si>
  <si>
    <t>ariel@kompugard.com</t>
  </si>
  <si>
    <t>ag302@tmw.com</t>
  </si>
  <si>
    <t>hardyarifhussein@ups.com</t>
  </si>
  <si>
    <t>mobinarif@ups.com</t>
  </si>
  <si>
    <t>marif@ups.com</t>
  </si>
  <si>
    <t>sarif@ups.com</t>
  </si>
  <si>
    <t>arifselamat@ups.com</t>
  </si>
  <si>
    <t>nariffin@ups.com</t>
  </si>
  <si>
    <t>marifi@ups.com</t>
  </si>
  <si>
    <t>jarik@ups.com</t>
  </si>
  <si>
    <t>oarik@ups.com</t>
  </si>
  <si>
    <t>sarik@ups.com</t>
  </si>
  <si>
    <t>vamsiarikatla@ups.com</t>
  </si>
  <si>
    <t>ajeffrey@ups.com</t>
  </si>
  <si>
    <t>marima@ups.com</t>
  </si>
  <si>
    <t>franks@frankscarts.com</t>
  </si>
  <si>
    <t>darindaeng@ups.com</t>
  </si>
  <si>
    <t>jarington@ups.com</t>
  </si>
  <si>
    <t>tarington@ups.com</t>
  </si>
  <si>
    <t>narinzechi@ups.com</t>
  </si>
  <si>
    <t>ajourida@ups.com</t>
  </si>
  <si>
    <t>marioli@ups.com</t>
  </si>
  <si>
    <t>maristil@ups.com</t>
  </si>
  <si>
    <t>earistizabalarenas@ups.com</t>
  </si>
  <si>
    <t>daristizabal@ups.com</t>
  </si>
  <si>
    <t>maristizabalfranco@ups.com</t>
  </si>
  <si>
    <t>aaristondo@ups.com</t>
  </si>
  <si>
    <t>arelan@ups.com</t>
  </si>
  <si>
    <t>caristud@ups.com</t>
  </si>
  <si>
    <t>karivukkannu@ups.com</t>
  </si>
  <si>
    <t>cariza@ups.com</t>
  </si>
  <si>
    <t>carmen.ariza@europe.ups.com</t>
  </si>
  <si>
    <t>cristhianariza@ups.com</t>
  </si>
  <si>
    <t>edwinariza@ups.com</t>
  </si>
  <si>
    <t>eliasariza@ups.com</t>
  </si>
  <si>
    <t>eariza@ups.com</t>
  </si>
  <si>
    <t>mariza@ups.com</t>
  </si>
  <si>
    <t>narizarodriguez@ups.com</t>
  </si>
  <si>
    <t>larizandieta@ups.com</t>
  </si>
  <si>
    <t>darizmendi@ups.com</t>
  </si>
  <si>
    <t>rarizmendi@ups.com</t>
  </si>
  <si>
    <t>varizpe@ups.com</t>
  </si>
  <si>
    <t>Marjonagutierrez@ups.com</t>
  </si>
  <si>
    <t>jarjoon@ups.com</t>
  </si>
  <si>
    <t>garjun@ups.com</t>
  </si>
  <si>
    <t>aarjunan@ups.com</t>
  </si>
  <si>
    <t>jarjunanmaria@ups.com</t>
  </si>
  <si>
    <t>sarjunan@ups.com</t>
  </si>
  <si>
    <t>asayali@ups.com</t>
  </si>
  <si>
    <t>markanum@ups.com</t>
  </si>
  <si>
    <t>arkasdestek@ups.com</t>
  </si>
  <si>
    <t>markhishin@ups.com</t>
  </si>
  <si>
    <t>sarkilanian@ups.com</t>
  </si>
  <si>
    <t>aarktos@ups.com</t>
  </si>
  <si>
    <t>richardarkwardjr@ups.com</t>
  </si>
  <si>
    <t>adenis@ups.com</t>
  </si>
  <si>
    <t>arlandacenter@ups.com</t>
  </si>
  <si>
    <t>arlandainvoice@ups.com</t>
  </si>
  <si>
    <t>carldt@ups.com</t>
  </si>
  <si>
    <t>Arleen_Tupaz@canadacartage.com</t>
  </si>
  <si>
    <t>Arlene_benningfield@canadacartage.com</t>
  </si>
  <si>
    <t>anaples@dasinc.com</t>
  </si>
  <si>
    <t>Arlene.silver@aristagroup.com</t>
  </si>
  <si>
    <t>carlia@ups.com</t>
  </si>
  <si>
    <t>shawnarline@ups.com</t>
  </si>
  <si>
    <t>NRZ8KSB@ups.com</t>
  </si>
  <si>
    <t>arll@ups.com</t>
  </si>
  <si>
    <t>arleopharma@ups.com</t>
  </si>
  <si>
    <t>rarmaatoe@ups.com</t>
  </si>
  <si>
    <t>harmand@ups.com</t>
  </si>
  <si>
    <t>carmand@livingstoninc.com</t>
  </si>
  <si>
    <t>armando.dequesada@seven20life.com</t>
  </si>
  <si>
    <t>marmando@ups.com</t>
  </si>
  <si>
    <t>rivasa3@toysrus.com</t>
  </si>
  <si>
    <t>stefano.armando@europe.ups.com</t>
  </si>
  <si>
    <t>aarmanious@ups.com</t>
  </si>
  <si>
    <t>gilbertarmas@ups.com</t>
  </si>
  <si>
    <t>marmas@ups.com</t>
  </si>
  <si>
    <t>oarmas@ups.com</t>
  </si>
  <si>
    <t>uarmbrester@ups.com</t>
  </si>
  <si>
    <t>marmbruster@ups.com</t>
  </si>
  <si>
    <t>sarmbruster@ups.com</t>
  </si>
  <si>
    <t>aarmendariz@ups.com</t>
  </si>
  <si>
    <t>marmendariz@ups.com</t>
  </si>
  <si>
    <t>carmendt@ups.com</t>
  </si>
  <si>
    <t>harmendt@ups.com</t>
  </si>
  <si>
    <t>marmendt@ups.com</t>
  </si>
  <si>
    <t>silvanaarmenise@ups.com</t>
  </si>
  <si>
    <t>jarmentamacias@ups.com</t>
  </si>
  <si>
    <t>sarmenta@ups.com</t>
  </si>
  <si>
    <t>aarmenterosgrana@ups.com</t>
  </si>
  <si>
    <t>earmentrout@ups.com</t>
  </si>
  <si>
    <t>aarmer@ups.com</t>
  </si>
  <si>
    <t>barmes@ups.com</t>
  </si>
  <si>
    <t>garmes@ups.com</t>
  </si>
  <si>
    <t>jarmesjr@ups.com</t>
  </si>
  <si>
    <t>sarmes@ups.com</t>
  </si>
  <si>
    <t>tylerarmes@ups.com</t>
  </si>
  <si>
    <t>carmijo@ups.com</t>
  </si>
  <si>
    <t>deboraharmijo@ups.com</t>
  </si>
  <si>
    <t>marmijo@ups.com</t>
  </si>
  <si>
    <t>michaelarmijo@ups.com</t>
  </si>
  <si>
    <t>amaitree@ups.com</t>
  </si>
  <si>
    <t>narmin@ups.com</t>
  </si>
  <si>
    <t>earminiak@ups.com</t>
  </si>
  <si>
    <t>eugene.armistead@ups.com</t>
  </si>
  <si>
    <t>karmistead@ups.com</t>
  </si>
  <si>
    <t>rarmistead@ups.com</t>
  </si>
  <si>
    <t>aarmitage@ups.com</t>
  </si>
  <si>
    <t>jarmitage@ups.com</t>
  </si>
  <si>
    <t>rarmitage@ups.com</t>
  </si>
  <si>
    <t>larmitage-forbes@ups.com</t>
  </si>
  <si>
    <t>jarmontroutt@ups.com</t>
  </si>
  <si>
    <t>vwarmorer@ups.com</t>
  </si>
  <si>
    <t>garmour@ups.com</t>
  </si>
  <si>
    <t>parmour@ups.com</t>
  </si>
  <si>
    <t>jarmprester@ups.com</t>
  </si>
  <si>
    <t>darms@ups.com</t>
  </si>
  <si>
    <t>larmstead@ups.com</t>
  </si>
  <si>
    <t>narmstead@ups.com</t>
  </si>
  <si>
    <t>yarmstroff@ups.com</t>
  </si>
  <si>
    <t>asarmstrong@ups.com</t>
  </si>
  <si>
    <t>aarmstrong@ups.com</t>
  </si>
  <si>
    <t>alondaarmstrong@ups.com</t>
  </si>
  <si>
    <t>bxarmstrong@ups.com</t>
  </si>
  <si>
    <t>brandonarmstrong@ups.com</t>
  </si>
  <si>
    <t>barmstrong@ups.com</t>
  </si>
  <si>
    <t>brennanarmstrong@ups.com</t>
  </si>
  <si>
    <t>carmstrong@ups.com</t>
  </si>
  <si>
    <t>candicearmstrong@ups.com</t>
  </si>
  <si>
    <t>carmenarmstrong@ups.com</t>
  </si>
  <si>
    <t>caseyarmstrong@ups.com</t>
  </si>
  <si>
    <t>chadarmstrong@ups.com</t>
  </si>
  <si>
    <t>charlesarmstrong@ups.com</t>
  </si>
  <si>
    <t>christyarmstrong@ups.com</t>
  </si>
  <si>
    <t>darmstrong@ups.com</t>
  </si>
  <si>
    <t>davidarmstrong@ups.com</t>
  </si>
  <si>
    <t>donnaarmstrong@ups.com</t>
  </si>
  <si>
    <t>graemearmstrong@ups.com</t>
  </si>
  <si>
    <t>garmstrong@ups.com</t>
  </si>
  <si>
    <t>armstrong.jack@ups.com</t>
  </si>
  <si>
    <t>jsarmstrong@ups.com</t>
  </si>
  <si>
    <t>jarmstrong@ups.com</t>
  </si>
  <si>
    <t>jetoyearmstrong@ups.com</t>
  </si>
  <si>
    <t>jdarmstrong@ups.com</t>
  </si>
  <si>
    <t>jmarmstrong@ups.com</t>
  </si>
  <si>
    <t>jarmstrong1@ups.com</t>
  </si>
  <si>
    <t>johnarmstrong@ups.com</t>
  </si>
  <si>
    <t>aarmstrongjr@ups.com</t>
  </si>
  <si>
    <t>darmstrongjr@ups.com</t>
  </si>
  <si>
    <t>kimarmstrong@ups.com</t>
  </si>
  <si>
    <t>karmstrong@ups.com</t>
  </si>
  <si>
    <t>larmstrong@ups.com</t>
  </si>
  <si>
    <t>lancearmstrong@ups.com</t>
  </si>
  <si>
    <t>lmarmstrong@ups.com</t>
  </si>
  <si>
    <t>lindaarmstrong@ups.com</t>
  </si>
  <si>
    <t>lloydarmstrong@ups.com</t>
  </si>
  <si>
    <t>marmstrong@ups.com</t>
  </si>
  <si>
    <t>michaelarmstrong@ups.com</t>
  </si>
  <si>
    <t>nicholasarmstrong@ups.com</t>
  </si>
  <si>
    <t>pattiarmstrong@ups.com</t>
  </si>
  <si>
    <t>rarmstrong1@ups.com</t>
  </si>
  <si>
    <t>rkarmstrong@ups.com</t>
  </si>
  <si>
    <t>robinarmstrong@ups.com</t>
  </si>
  <si>
    <t>tarmstrong@ups.com</t>
  </si>
  <si>
    <t>taraarmstrong@ups.com</t>
  </si>
  <si>
    <t>tashawnarmstrong@ups.com</t>
  </si>
  <si>
    <t>arenuka@ups.com</t>
  </si>
  <si>
    <t>barmutcu@ups.com</t>
  </si>
  <si>
    <t>armz@ups.com</t>
  </si>
  <si>
    <t>idtecharn@ups.com</t>
  </si>
  <si>
    <t>ajanniefelicidad@ups.com</t>
  </si>
  <si>
    <t>aarnaout@ups.com</t>
  </si>
  <si>
    <t>darnberg@ups.com</t>
  </si>
  <si>
    <t>tarnberger@ups.com</t>
  </si>
  <si>
    <t>andreas.arndt@europe.ups.com</t>
  </si>
  <si>
    <t>barndt@ups.com</t>
  </si>
  <si>
    <t>carndt@ups.com</t>
  </si>
  <si>
    <t>jarndt@ups.com</t>
  </si>
  <si>
    <t>marndt@ups.com</t>
  </si>
  <si>
    <t>tarndt@ups.com</t>
  </si>
  <si>
    <t>arndt.vicky@ups.com</t>
  </si>
  <si>
    <t>carner@ups.com</t>
  </si>
  <si>
    <t>sarner@ups.com</t>
  </si>
  <si>
    <t>marnero@ups.com</t>
  </si>
  <si>
    <t>rarnesen@ups.com</t>
  </si>
  <si>
    <t>aarneson@ups.com</t>
  </si>
  <si>
    <t>tarneson@ups.com</t>
  </si>
  <si>
    <t>darnett@ups.com</t>
  </si>
  <si>
    <t>garnett@ups.com</t>
  </si>
  <si>
    <t>jarnett@ups.com</t>
  </si>
  <si>
    <t>kayarnett@ups.com</t>
  </si>
  <si>
    <t>karnett@ups.com</t>
  </si>
  <si>
    <t>lacyarnett@ups.com</t>
  </si>
  <si>
    <t>lylearnett@ups.com</t>
  </si>
  <si>
    <t>marnett@ups.com</t>
  </si>
  <si>
    <t>marnett1@ups.com</t>
  </si>
  <si>
    <t>arngtw@ups.com</t>
  </si>
  <si>
    <t>barnholt@ups.com</t>
  </si>
  <si>
    <t>arnie.parsons@wang.com</t>
  </si>
  <si>
    <t>arnold.a@ups.com</t>
  </si>
  <si>
    <t>aarnold@ups.com</t>
  </si>
  <si>
    <t>barnold@ups.com</t>
  </si>
  <si>
    <t>bharnold@ups.com</t>
  </si>
  <si>
    <t>asb018@tigerj.net</t>
  </si>
  <si>
    <t>cailynarnold@ups.com</t>
  </si>
  <si>
    <t>codyarnold@ups.com</t>
  </si>
  <si>
    <t>colettearnold@ups.com</t>
  </si>
  <si>
    <t>carnold@ups.com</t>
  </si>
  <si>
    <t>arnold.david@ups.com</t>
  </si>
  <si>
    <t>darnold@ups.com</t>
  </si>
  <si>
    <t>dmarnold@ups.com</t>
  </si>
  <si>
    <t>dwarnold@ups.com</t>
  </si>
  <si>
    <t>earnold@ups.com</t>
  </si>
  <si>
    <t>garnold@ups.com</t>
  </si>
  <si>
    <t>glennarnold@ups.com</t>
  </si>
  <si>
    <t>harnold@ups.com</t>
  </si>
  <si>
    <t>jamesarnold@ups.com</t>
  </si>
  <si>
    <t>jan.arnold@europe.ups.com</t>
  </si>
  <si>
    <t>jlarnold@ups.com</t>
  </si>
  <si>
    <t>jarnold@ups.com</t>
  </si>
  <si>
    <t>jasonarnold@ups.com</t>
  </si>
  <si>
    <t>jmarnold@ups.com</t>
  </si>
  <si>
    <t>joshuaarnold@ups.com</t>
  </si>
  <si>
    <t>farnoldjr@ups.com</t>
  </si>
  <si>
    <t>juliarnold@ups.com</t>
  </si>
  <si>
    <t>justinarnold@ups.com</t>
  </si>
  <si>
    <t>lakitaarnold@ups.com</t>
  </si>
  <si>
    <t>larnold@ups.com</t>
  </si>
  <si>
    <t>markarnold@ups.com</t>
  </si>
  <si>
    <t>marnold3@ups.com</t>
  </si>
  <si>
    <t>mattarnold@ups.com</t>
  </si>
  <si>
    <t>matthewarnold@ups.com</t>
  </si>
  <si>
    <t>marnold2@ups.com</t>
  </si>
  <si>
    <t>marnold1@ups.com</t>
  </si>
  <si>
    <t>michaelarnold@ups.com</t>
  </si>
  <si>
    <t>moarnold@ups.com</t>
  </si>
  <si>
    <t>marnold@ups.com</t>
  </si>
  <si>
    <t>pamelaarnold@ups.com</t>
  </si>
  <si>
    <t>parnold@ups.com</t>
  </si>
  <si>
    <t>paularnold@ups.com</t>
  </si>
  <si>
    <t>qarnold@ups.com</t>
  </si>
  <si>
    <t>randyarnold@ups.com</t>
  </si>
  <si>
    <t>rbarnold@ups.com</t>
  </si>
  <si>
    <t>rarnold@ups.com</t>
  </si>
  <si>
    <t>roderickarnold@ups.com</t>
  </si>
  <si>
    <t>rogerarnold@ups.com</t>
  </si>
  <si>
    <t>russellarnold@ups.com</t>
  </si>
  <si>
    <t>sarinaarnold@ups.com</t>
  </si>
  <si>
    <t>scottarnold@ups.com</t>
  </si>
  <si>
    <t>sarnold@ups.com</t>
  </si>
  <si>
    <t>shantearnold@ups.com</t>
  </si>
  <si>
    <t>shirlyarnold@ups.com</t>
  </si>
  <si>
    <t>stephaniearnold@ups.com</t>
  </si>
  <si>
    <t>tagrenarnold@ups.com</t>
  </si>
  <si>
    <t>terryarnold@ups.com</t>
  </si>
  <si>
    <t>tarnold@ups.com</t>
  </si>
  <si>
    <t>toriarnold@ups.com</t>
  </si>
  <si>
    <t>dbarr@aind.com</t>
  </si>
  <si>
    <t>warnold@ups.com</t>
  </si>
  <si>
    <t>woodyarnold@ups.com</t>
  </si>
  <si>
    <t>barnone@ups.com</t>
  </si>
  <si>
    <t>barnoni@ups.com</t>
  </si>
  <si>
    <t>d.arnoult@ups.com</t>
  </si>
  <si>
    <t>tarnsworth@ups.com</t>
  </si>
  <si>
    <t>arodoviemarie@ups.com</t>
  </si>
  <si>
    <t>baroca@ups.com</t>
  </si>
  <si>
    <t>carocho@ups.com</t>
  </si>
  <si>
    <t>earocho@ups.com</t>
  </si>
  <si>
    <t>jarocho@ups.com</t>
  </si>
  <si>
    <t>marocho@ups.com</t>
  </si>
  <si>
    <t>maarocho@ups.com</t>
  </si>
  <si>
    <t>varockiaraj@ups.com</t>
  </si>
  <si>
    <t>iarockiasamy@ups.com</t>
  </si>
  <si>
    <t>parockiasamy@ups.com</t>
  </si>
  <si>
    <t>waroesjanjan@ups.com</t>
  </si>
  <si>
    <t>garoh@ups.com</t>
  </si>
  <si>
    <t>Aaron@idpglobal.com</t>
  </si>
  <si>
    <t>aron@express.is</t>
  </si>
  <si>
    <t>maronowitz@ups.com</t>
  </si>
  <si>
    <t>jonnaaronsen@ups.com</t>
  </si>
  <si>
    <t>aaronson@ups.com</t>
  </si>
  <si>
    <t>earonu@ups.com</t>
  </si>
  <si>
    <t>alorarop@ups.com</t>
  </si>
  <si>
    <t>aarop@ups.com</t>
  </si>
  <si>
    <t>aarora@ups.com</t>
  </si>
  <si>
    <t>ashriaarora@ups.com</t>
  </si>
  <si>
    <t>darora@ups.com</t>
  </si>
  <si>
    <t>garora@ups.com</t>
  </si>
  <si>
    <t>agaurav@ups.com</t>
  </si>
  <si>
    <t>aleena@ups.com</t>
  </si>
  <si>
    <t>aroraleena@ups.com</t>
  </si>
  <si>
    <t>marora@ups.com</t>
  </si>
  <si>
    <t>amukesh@ups.com</t>
  </si>
  <si>
    <t>narora@ups.com</t>
  </si>
  <si>
    <t>rarora@ups.com</t>
  </si>
  <si>
    <t>rawiarora@ups.com</t>
  </si>
  <si>
    <t>asanjeev@ups.com</t>
  </si>
  <si>
    <t>asatyaprakash@ups.com</t>
  </si>
  <si>
    <t>sparora@ups.com</t>
  </si>
  <si>
    <t>aaros@ups.com</t>
  </si>
  <si>
    <t>jarosemenajr@ups.com</t>
  </si>
  <si>
    <t>darosemowicz@ups.com</t>
  </si>
  <si>
    <t>anoor2@ITS.JNJ.com</t>
  </si>
  <si>
    <t>aaroutounian@ups.com</t>
  </si>
  <si>
    <t>iaroworowon@ups.com</t>
  </si>
  <si>
    <t>aarp@ups.com</t>
  </si>
  <si>
    <t>dlarp@ups.com</t>
  </si>
  <si>
    <t>earp@ups.com</t>
  </si>
  <si>
    <t>mustafa.arpalik@europe.ups.com</t>
  </si>
  <si>
    <t>arpb@ups.com</t>
  </si>
  <si>
    <t>cinzia.arpoasi@europe.ups.com</t>
  </si>
  <si>
    <t>arponbenedict@ups.com</t>
  </si>
  <si>
    <t>aalrodney@ups.com</t>
  </si>
  <si>
    <t>ed.arquilla@ups.com</t>
  </si>
  <si>
    <t>sarquitt@ups.com</t>
  </si>
  <si>
    <t>warraoof@ups.com</t>
  </si>
  <si>
    <t>larrar@ups.com</t>
  </si>
  <si>
    <t>larraygagonzalez@ups.com</t>
  </si>
  <si>
    <t>marrazabal@ups.com</t>
  </si>
  <si>
    <t>marraztoa@ups.com</t>
  </si>
  <si>
    <t>marreaga@ups.com</t>
  </si>
  <si>
    <t>warreaga@ups.com</t>
  </si>
  <si>
    <t>karreazola@ups.com</t>
  </si>
  <si>
    <t>narreazola@ups.com</t>
  </si>
  <si>
    <t>aarredondo@ups.com</t>
  </si>
  <si>
    <t>darredondo@ups.com</t>
  </si>
  <si>
    <t>earredondo@ups.com</t>
  </si>
  <si>
    <t>iarredondo@ups.com</t>
  </si>
  <si>
    <t>jacobarredondo@ups.com</t>
  </si>
  <si>
    <t>jarredondo@ups.com</t>
  </si>
  <si>
    <t>karredondo@ups.com</t>
  </si>
  <si>
    <t>narredondo@ups.com</t>
  </si>
  <si>
    <t>sarredondo@ups.com</t>
  </si>
  <si>
    <t>ayng@ups.com</t>
  </si>
  <si>
    <t>darreguin@ups.com</t>
  </si>
  <si>
    <t>aarreola@ups.com</t>
  </si>
  <si>
    <t>carreola@ups.com</t>
  </si>
  <si>
    <t>darreola@ups.com</t>
  </si>
  <si>
    <t>earreola@ups.com</t>
  </si>
  <si>
    <t>rarreola@ups.com</t>
  </si>
  <si>
    <t>mikel.arrese@europe.ups.com</t>
  </si>
  <si>
    <t>aarriaga@ups.com</t>
  </si>
  <si>
    <t>darriaga@ups.com</t>
  </si>
  <si>
    <t>jarriaga@ups.com</t>
  </si>
  <si>
    <t>larriaga@ups.com</t>
  </si>
  <si>
    <t>earriagareyes@ups.com</t>
  </si>
  <si>
    <t>marriagalucero@ups.com</t>
  </si>
  <si>
    <t>earriaza@ups.com</t>
  </si>
  <si>
    <t>Alicia.Arribas@europe.ups.com</t>
  </si>
  <si>
    <t>Beatriz.Arribas@europe.ups.com</t>
  </si>
  <si>
    <t>carrick@ups.com</t>
  </si>
  <si>
    <t>jarrieta@ups.com</t>
  </si>
  <si>
    <t>karrieta@ups.com</t>
  </si>
  <si>
    <t>marrieta@ups.com</t>
  </si>
  <si>
    <t>rarrieta@ups.com</t>
  </si>
  <si>
    <t>albertoarrigoni@ups.com</t>
  </si>
  <si>
    <t>aarrigoni@ups.com</t>
  </si>
  <si>
    <t>jarrindellrichards@ups.com</t>
  </si>
  <si>
    <t>barrington@ups.com</t>
  </si>
  <si>
    <t>garrington@ups.com</t>
  </si>
  <si>
    <t>januwaarrington@ups.com</t>
  </si>
  <si>
    <t>jarrington@ups.com</t>
  </si>
  <si>
    <t>larrington@ups.com</t>
  </si>
  <si>
    <t>rarrington@ups.com</t>
  </si>
  <si>
    <t>shaunicearrington@ups.com</t>
  </si>
  <si>
    <t>skylararrington@ups.com</t>
  </si>
  <si>
    <t>terrellarrington@ups.com</t>
  </si>
  <si>
    <t>tarrington@ups.com</t>
  </si>
  <si>
    <t>varrington@ups.com</t>
  </si>
  <si>
    <t>darriola@ups.com</t>
  </si>
  <si>
    <t>lupearriola@ups.com</t>
  </si>
  <si>
    <t>rarriola@ups.com</t>
  </si>
  <si>
    <t>robertoarriola@ups.com</t>
  </si>
  <si>
    <t>russelarriola@ups.com</t>
  </si>
  <si>
    <t>narrison@ups.com</t>
  </si>
  <si>
    <t>warrison@ups.com</t>
  </si>
  <si>
    <t>jarrizon@ups.com</t>
  </si>
  <si>
    <t>arrnoticesboma@ups.com</t>
  </si>
  <si>
    <t>arrnoticeslac@ups.com</t>
  </si>
  <si>
    <t>arrnoticesmtl@ups.com</t>
  </si>
  <si>
    <t>rarro@ups.com</t>
  </si>
  <si>
    <t>jarrobo@ups.com</t>
  </si>
  <si>
    <t>barrocha@ups.com</t>
  </si>
  <si>
    <t>yarrouj@ups.com</t>
  </si>
  <si>
    <t>jarroyavelopez@ups.com</t>
  </si>
  <si>
    <t>jarroyavevillamizar@ups.com</t>
  </si>
  <si>
    <t>aarroyoalcala@ups.com</t>
  </si>
  <si>
    <t>alejandroarroyo@ups.com</t>
  </si>
  <si>
    <t>karroyoalzate@ups.com</t>
  </si>
  <si>
    <t>andrewarroyo@ups.com</t>
  </si>
  <si>
    <t>candi.arroyo@europe.ups.com</t>
  </si>
  <si>
    <t>caarroyo@ups.com</t>
  </si>
  <si>
    <t>coarroyo@ups.com</t>
  </si>
  <si>
    <t>acyrene@ups.com</t>
  </si>
  <si>
    <t>darroyo@ups.com</t>
  </si>
  <si>
    <t>garroyoeduarte@ups.com</t>
  </si>
  <si>
    <t>earroyo@ups.com</t>
  </si>
  <si>
    <t>eyvaryasserarroyo@ups.com</t>
  </si>
  <si>
    <t>hanniaarroyo@ups.com</t>
  </si>
  <si>
    <t>iarroyo@ups.com</t>
  </si>
  <si>
    <t>janetharroyo@ups.com</t>
  </si>
  <si>
    <t>josearroyo@ups.com</t>
  </si>
  <si>
    <t>jarroyo@ups.com</t>
  </si>
  <si>
    <t>juanarroyo@ups.com</t>
  </si>
  <si>
    <t>karroyo@ups.com</t>
  </si>
  <si>
    <t>lizaarroyo@ups.com</t>
  </si>
  <si>
    <t>michellearroyo@ups.com</t>
  </si>
  <si>
    <t>arroyomichelle@ups.com</t>
  </si>
  <si>
    <t>miguelarroyo@ups.com</t>
  </si>
  <si>
    <t>narroyo@ups.com</t>
  </si>
  <si>
    <t>parroyo@ups.com</t>
  </si>
  <si>
    <t>pedroarroyo@ups.com</t>
  </si>
  <si>
    <t>jarroyoramirez1@ups.com</t>
  </si>
  <si>
    <t>varroyo@ups.com</t>
  </si>
  <si>
    <t>zarroyo@ups.com</t>
  </si>
  <si>
    <t>aarroyo@connectship.com</t>
  </si>
  <si>
    <t>jarrufat@ups.com</t>
  </si>
  <si>
    <t>oarsac@ups.com</t>
  </si>
  <si>
    <t>FRA3PXA@europe.ups.com</t>
  </si>
  <si>
    <t>annettearsenault@ups.com</t>
  </si>
  <si>
    <t>carsenault@ups.com</t>
  </si>
  <si>
    <t>chasearsenault@ups.com</t>
  </si>
  <si>
    <t>harsenault@ups.com</t>
  </si>
  <si>
    <t>jarsenault@ups.com</t>
  </si>
  <si>
    <t>laurenarsenault@ups.com</t>
  </si>
  <si>
    <t>larsenault@ups.com</t>
  </si>
  <si>
    <t>marsenault@ups.com</t>
  </si>
  <si>
    <t>narsenault@ups.com</t>
  </si>
  <si>
    <t>sarsenault@ups.com</t>
  </si>
  <si>
    <t>warsenault@ups.com</t>
  </si>
  <si>
    <t>earsene@ups.com</t>
  </si>
  <si>
    <t>larseneau@ups.com</t>
  </si>
  <si>
    <t>jarseneault@ups.com</t>
  </si>
  <si>
    <t>parseneault@ups.com</t>
  </si>
  <si>
    <t>carsenioulaflamme@ups.com</t>
  </si>
  <si>
    <t>narsenovic@ups.com</t>
  </si>
  <si>
    <t>parsenovic@ups.com</t>
  </si>
  <si>
    <t>muhammadarshad@ups.com</t>
  </si>
  <si>
    <t>nabeelarshad@ups.com</t>
  </si>
  <si>
    <t>gordon.arsic@europe.ups.com</t>
  </si>
  <si>
    <t>aarslan@ups.com</t>
  </si>
  <si>
    <t>andreaarslan@ups.com</t>
  </si>
  <si>
    <t>carslan@ups.com</t>
  </si>
  <si>
    <t>cevdet.arslan@europe.ups.com</t>
  </si>
  <si>
    <t>cihanarslan@ups.com</t>
  </si>
  <si>
    <t>harslan@ups.com</t>
  </si>
  <si>
    <t>iarslan@ups.com</t>
  </si>
  <si>
    <t>mervearslan@ups.com</t>
  </si>
  <si>
    <t>musaarslan@ups.com</t>
  </si>
  <si>
    <t>marslan@ups.com</t>
  </si>
  <si>
    <t>narslan@ups.com</t>
  </si>
  <si>
    <t>sahabettinarslan@ups.com</t>
  </si>
  <si>
    <t>jarslanian@ups.com</t>
  </si>
  <si>
    <t>earsov@ups.com</t>
  </si>
  <si>
    <t>warszewski@ups.com</t>
  </si>
  <si>
    <t>artangelodelacruz@ups.com</t>
  </si>
  <si>
    <t>art.ehlenberger@exchange.sms.siemens.com</t>
  </si>
  <si>
    <t>art_guelda@mail.bankone.com</t>
  </si>
  <si>
    <t>EUR3SXA@europe.ups.com</t>
  </si>
  <si>
    <t>vartamonov@ups.com</t>
  </si>
  <si>
    <t>garteaga@ups.com</t>
  </si>
  <si>
    <t>aarteagajr@ups.com</t>
  </si>
  <si>
    <t>mariaarteaga@ups.com</t>
  </si>
  <si>
    <t>karteagaperez@ups.com</t>
  </si>
  <si>
    <t>rigobertoarteaga@ups.com</t>
  </si>
  <si>
    <t>rarteaga@ups.com</t>
  </si>
  <si>
    <t>larteagaruiz@ups.com</t>
  </si>
  <si>
    <t>carteberry@ups.com</t>
  </si>
  <si>
    <t>karter@ups.com</t>
  </si>
  <si>
    <t>agemmalyn@ups.com</t>
  </si>
  <si>
    <t>manojarthanat@ups.com</t>
  </si>
  <si>
    <t>michelle.arthington@ups.com</t>
  </si>
  <si>
    <t>jarthofer@ups.com</t>
  </si>
  <si>
    <t>darthur@ups.com</t>
  </si>
  <si>
    <t>darenarthur@ups.com</t>
  </si>
  <si>
    <t>davidarthur@ups.com</t>
  </si>
  <si>
    <t>jarthur@ups.com</t>
  </si>
  <si>
    <t>jarthur1@ups.com</t>
  </si>
  <si>
    <t>larthur@ups.com</t>
  </si>
  <si>
    <t>richardarthur@ups.com</t>
  </si>
  <si>
    <t>rarthur@ups.com</t>
  </si>
  <si>
    <t>savannaharthur@ups.com</t>
  </si>
  <si>
    <t>ssarthur@ups.com</t>
  </si>
  <si>
    <t>marthurs@ups.com</t>
  </si>
  <si>
    <t>dartibani@ups.com</t>
  </si>
  <si>
    <t>aebenezer@ups.com</t>
  </si>
  <si>
    <t>martidiello@ups.com</t>
  </si>
  <si>
    <t>cartiga@ups.com</t>
  </si>
  <si>
    <t>jartiga@ups.com</t>
  </si>
  <si>
    <t>lidia.artini@europe.ups.com</t>
  </si>
  <si>
    <t>jartino@ups.com</t>
  </si>
  <si>
    <t>fartioli@ups.com</t>
  </si>
  <si>
    <t>eartolamorales@ups.com</t>
  </si>
  <si>
    <t>kartrip@ups.com</t>
  </si>
  <si>
    <t>perryarts@ups.com</t>
  </si>
  <si>
    <t>aartunian@ups.com</t>
  </si>
  <si>
    <t>fartuphel@ups.com</t>
  </si>
  <si>
    <t>artur.augustyniak@poltraf.pl</t>
  </si>
  <si>
    <t>lartur@ups.com</t>
  </si>
  <si>
    <t>martus@ups.com</t>
  </si>
  <si>
    <t>oartymovych@ups.com</t>
  </si>
  <si>
    <t>jartz@ups.com</t>
  </si>
  <si>
    <t>martz@ups.com</t>
  </si>
  <si>
    <t>parugakeerthi@ups.com</t>
  </si>
  <si>
    <t>marula@ups.com</t>
  </si>
  <si>
    <t>jarulanandam@ups.com</t>
  </si>
  <si>
    <t>arum@ups.com</t>
  </si>
  <si>
    <t>aelangovan@ups.com</t>
  </si>
  <si>
    <t>iarumugam@ups.com</t>
  </si>
  <si>
    <t>ajeyaganesh@ups.com</t>
  </si>
  <si>
    <t>marumugam@ups.com</t>
  </si>
  <si>
    <t>amoganamalar@ups.com</t>
  </si>
  <si>
    <t>prasannaarumugam@ups.com</t>
  </si>
  <si>
    <t>sarumugam@ups.com</t>
  </si>
  <si>
    <t>saranyaarumugam@ups.com</t>
  </si>
  <si>
    <t>varumugam@ups.com</t>
  </si>
  <si>
    <t>garun@ups.com</t>
  </si>
  <si>
    <t>sarunpathak@ups.com</t>
  </si>
  <si>
    <t>arunp@gohimalaya.travel</t>
  </si>
  <si>
    <t>aarunachalam@ups.com</t>
  </si>
  <si>
    <t>darunachalam@ups.com</t>
  </si>
  <si>
    <t>suganyaarunachalam@ups.com</t>
  </si>
  <si>
    <t>varunachalam@ups.com</t>
  </si>
  <si>
    <t>barunagiri@ups.com</t>
  </si>
  <si>
    <t>nsarunpraphun@ups.com</t>
  </si>
  <si>
    <t>carunritthirot@ups.com</t>
  </si>
  <si>
    <t>jarvallo@ups.com</t>
  </si>
  <si>
    <t>aarvemyr@ups.com</t>
  </si>
  <si>
    <t>farvi@ups.com</t>
  </si>
  <si>
    <t>jarvidson@ups.com</t>
  </si>
  <si>
    <t>aflores@appleexpress.com</t>
  </si>
  <si>
    <t>zarvin@ups.com</t>
  </si>
  <si>
    <t>anaidu@ups.com</t>
  </si>
  <si>
    <t>jarvizo@ups.com</t>
  </si>
  <si>
    <t>darvizu@ups.com</t>
  </si>
  <si>
    <t>darwa@ups.com</t>
  </si>
  <si>
    <t>arwe@ups.com</t>
  </si>
  <si>
    <t>arws@ups.com</t>
  </si>
  <si>
    <t>kary@ups.com</t>
  </si>
  <si>
    <t>parya@ups.com</t>
  </si>
  <si>
    <t>raryafar@ups.com</t>
  </si>
  <si>
    <t>saryala@ups.com</t>
  </si>
  <si>
    <t>maryanta@ups.com</t>
  </si>
  <si>
    <t>laryanzad@ups.com</t>
  </si>
  <si>
    <t>narza@ups.com</t>
  </si>
  <si>
    <t>carzalier@ups.com</t>
  </si>
  <si>
    <t>maite.arzanegui@ups.com</t>
  </si>
  <si>
    <t>aarzate@ups.com</t>
  </si>
  <si>
    <t>karzate@ups.com</t>
  </si>
  <si>
    <t>warzich@ups.com</t>
  </si>
  <si>
    <t>jarzonico@ups.com</t>
  </si>
  <si>
    <t>aas@ups.com</t>
  </si>
  <si>
    <t>mehmetas@ups.com</t>
  </si>
  <si>
    <t>UPS-CI@as-e.com</t>
  </si>
  <si>
    <t>masaad@ups.com</t>
  </si>
  <si>
    <t>sasaad@ups.com</t>
  </si>
  <si>
    <t>kasad@ups.com</t>
  </si>
  <si>
    <t>masad@ups.com</t>
  </si>
  <si>
    <t>sasadi@ups.com</t>
  </si>
  <si>
    <t>aasadon@ups.com</t>
  </si>
  <si>
    <t>ahiroyuki@ups.com</t>
  </si>
  <si>
    <t>atoshiyuki@ups.com</t>
  </si>
  <si>
    <t>m.asai@meitetsu-golden.jp</t>
  </si>
  <si>
    <t>iasal@ups.com</t>
  </si>
  <si>
    <t>basamghi@ups.com</t>
  </si>
  <si>
    <t>kasamoah@ups.com</t>
  </si>
  <si>
    <t>dasamoahfrimpong@ups.com</t>
  </si>
  <si>
    <t>easamoahfrimpong@ups.com</t>
  </si>
  <si>
    <t>aatsushi@ups.com</t>
  </si>
  <si>
    <t>sasano@ups.com</t>
  </si>
  <si>
    <t>sasante@ups.com</t>
  </si>
  <si>
    <t>asap@ups.com</t>
  </si>
  <si>
    <t>gasare@ups.com</t>
  </si>
  <si>
    <t>sasare@ups.com</t>
  </si>
  <si>
    <t>ayuichiro@ups.com</t>
  </si>
  <si>
    <t>siraj.asaria@europe.ups.com</t>
  </si>
  <si>
    <t>aasaro@ups.com</t>
  </si>
  <si>
    <t>rasassy@ups.com</t>
  </si>
  <si>
    <t>casato@ups.com</t>
  </si>
  <si>
    <t>aasay@ups.com</t>
  </si>
  <si>
    <t>dasay@ups.com</t>
  </si>
  <si>
    <t>sezinasay@ups.com</t>
  </si>
  <si>
    <t>sasay@ups.com</t>
  </si>
  <si>
    <t>sasbahi@ups.com</t>
  </si>
  <si>
    <t>dasberry@ups.com</t>
  </si>
  <si>
    <t>dasbill@ups.com</t>
  </si>
  <si>
    <t>sasbill@ups.com</t>
  </si>
  <si>
    <t>kasbjornsen@ups.com</t>
  </si>
  <si>
    <t>aasbrock@ups.com</t>
  </si>
  <si>
    <t>gasbun@ups.com</t>
  </si>
  <si>
    <t>jasbury@ups.com</t>
  </si>
  <si>
    <t>masbury@ups.com</t>
  </si>
  <si>
    <t>asce2kaudit@ups.com</t>
  </si>
  <si>
    <t>jascencio@ups.com</t>
  </si>
  <si>
    <t>luisalejandroascencio@ups.com</t>
  </si>
  <si>
    <t>sascencio@ups.com</t>
  </si>
  <si>
    <t>aasche@ups.com</t>
  </si>
  <si>
    <t>caschenbeck@ups.com</t>
  </si>
  <si>
    <t>maschenbrenner@ups.com</t>
  </si>
  <si>
    <t>paschmons@ups.com</t>
  </si>
  <si>
    <t>gaschoff@ups.com</t>
  </si>
  <si>
    <t>saschoff@ups.com</t>
  </si>
  <si>
    <t>ajuror@ups.com</t>
  </si>
  <si>
    <t>masencio@ups.com</t>
  </si>
  <si>
    <t>kasencios@ups.com</t>
  </si>
  <si>
    <t>sasfan@ups.com</t>
  </si>
  <si>
    <t>iasghar@ups.com</t>
  </si>
  <si>
    <t>aash@ups.com</t>
  </si>
  <si>
    <t>dash@ups.com</t>
  </si>
  <si>
    <t>jash@dollartree.com</t>
  </si>
  <si>
    <t>kash@ups.com</t>
  </si>
  <si>
    <t>kashpalmieri@ups.com</t>
  </si>
  <si>
    <t>sash@ups.com</t>
  </si>
  <si>
    <t>tash@ups.com</t>
  </si>
  <si>
    <t>akhasim@ups.com</t>
  </si>
  <si>
    <t>abinsichor@ups.com</t>
  </si>
  <si>
    <t>ahamka@ups.com</t>
  </si>
  <si>
    <t>mashbaughjr@ups.com</t>
  </si>
  <si>
    <t>jashbrook@ups.com</t>
  </si>
  <si>
    <t>cashburn@ups.com</t>
  </si>
  <si>
    <t>bashby@ups.com</t>
  </si>
  <si>
    <t>cashby@ups.com</t>
  </si>
  <si>
    <t>chrisashby@ups.com</t>
  </si>
  <si>
    <t>daraashby@ups.com</t>
  </si>
  <si>
    <t>dashby@ups.com</t>
  </si>
  <si>
    <t>karenashby@ups.com</t>
  </si>
  <si>
    <t>kashby@ups.com</t>
  </si>
  <si>
    <t>lashby@ups.com</t>
  </si>
  <si>
    <t>nashby@ups.com</t>
  </si>
  <si>
    <t>logisticsdepartment@ashcity.com</t>
  </si>
  <si>
    <t>cashcraft@ups.com</t>
  </si>
  <si>
    <t>pashcraftiii@ups.com</t>
  </si>
  <si>
    <t>kathrynashcraft@ups.com</t>
  </si>
  <si>
    <t>rashcraft@ups.com</t>
  </si>
  <si>
    <t>randyashcraft@ups.com</t>
  </si>
  <si>
    <t>sdashcraft@ups.com</t>
  </si>
  <si>
    <t>jashcroft@ups.com</t>
  </si>
  <si>
    <t>kashcroft@ups.com</t>
  </si>
  <si>
    <t>washcroft@ups.com</t>
  </si>
  <si>
    <t>dashdown@ups.com</t>
  </si>
  <si>
    <t>aashe@ups.com</t>
  </si>
  <si>
    <t>lashenfelter@ups.com</t>
  </si>
  <si>
    <t>aasher@ups.com</t>
  </si>
  <si>
    <t>fasher@ups.com</t>
  </si>
  <si>
    <t>jasher@ups.com</t>
  </si>
  <si>
    <t>laasher@ups.com</t>
  </si>
  <si>
    <t>melissaasher@ups.com</t>
  </si>
  <si>
    <t>sasher@ups.com</t>
  </si>
  <si>
    <t>tasher@ups.com</t>
  </si>
  <si>
    <t>walterasher@ups.com</t>
  </si>
  <si>
    <t>jashfield@ups.com</t>
  </si>
  <si>
    <t>kashford@ups.com</t>
  </si>
  <si>
    <t>vashford@ups.com</t>
  </si>
  <si>
    <t>dashiagbor@ups.com</t>
  </si>
  <si>
    <t>bashiq@ups.com</t>
  </si>
  <si>
    <t>oashiru@ups.com</t>
  </si>
  <si>
    <t>ashish@ashleynorton.com</t>
  </si>
  <si>
    <t>kashish1@ups.com</t>
  </si>
  <si>
    <t>Ashleigh.Dickson@expressdelivers.net</t>
  </si>
  <si>
    <t>aashley@ups.com</t>
  </si>
  <si>
    <t>andrewashley@ups.com</t>
  </si>
  <si>
    <t>angelashley@ups.com</t>
  </si>
  <si>
    <t>benjaminashley@ups.com</t>
  </si>
  <si>
    <t>calvinashley@ups.com</t>
  </si>
  <si>
    <t>AJacobs@uline.com</t>
  </si>
  <si>
    <t>cashley1@ups.com</t>
  </si>
  <si>
    <t>cletisashley@ups.com</t>
  </si>
  <si>
    <t>dashley@ups.com</t>
  </si>
  <si>
    <t>ellisashley@ups.com</t>
  </si>
  <si>
    <t>jenniferashley@ups.com</t>
  </si>
  <si>
    <t>jashley@ups.com</t>
  </si>
  <si>
    <t>ashley.kemmler@k2sports.com</t>
  </si>
  <si>
    <t>ashley.koerner@koerner-co.com</t>
  </si>
  <si>
    <t>ups@thebestride.net</t>
  </si>
  <si>
    <t>lashley@ups.com</t>
  </si>
  <si>
    <t>ashleym@badensports.com</t>
  </si>
  <si>
    <t>ashley.montalvo@a-alert.com</t>
  </si>
  <si>
    <t>amozzani@alphatecspine.com</t>
  </si>
  <si>
    <t>ronnieashley@ups.com</t>
  </si>
  <si>
    <t>rashley@ups.com</t>
  </si>
  <si>
    <t>scottashley@ups.com</t>
  </si>
  <si>
    <t>sashley1@ups.com</t>
  </si>
  <si>
    <t>seanashley@ups.com</t>
  </si>
  <si>
    <t>sharonsherryashley@ups.com</t>
  </si>
  <si>
    <t>asmith@westrux.com</t>
  </si>
  <si>
    <t>sashley2@ups.com</t>
  </si>
  <si>
    <t>ASHLEY.WEAVER@MANITOWOC.COM</t>
  </si>
  <si>
    <t>washlock@ups.com</t>
  </si>
  <si>
    <t>philoashly@ups.com</t>
  </si>
  <si>
    <t>dashman@ups.com</t>
  </si>
  <si>
    <t>mashman@ups.com</t>
  </si>
  <si>
    <t>aashmore@ups.com</t>
  </si>
  <si>
    <t>mashmore@ups.com</t>
  </si>
  <si>
    <t>aabhilesh@ups.com</t>
  </si>
  <si>
    <t>aashok@ups.com</t>
  </si>
  <si>
    <t>ashokp@gohimalaya.travel</t>
  </si>
  <si>
    <t>hashokkumar@ups.com</t>
  </si>
  <si>
    <t>sashokkumar@ups.com</t>
  </si>
  <si>
    <t>mashoor@ups.com</t>
  </si>
  <si>
    <t>hashoori@ups.com</t>
  </si>
  <si>
    <t>mashouri@ups.com</t>
  </si>
  <si>
    <t>aashraf@ups.com</t>
  </si>
  <si>
    <t>muhammedashiqueashraf@ups.com</t>
  </si>
  <si>
    <t>oashraf@ups.com</t>
  </si>
  <si>
    <t>dashrafi@ups.com</t>
  </si>
  <si>
    <t>aashton@ups.com</t>
  </si>
  <si>
    <t>danielashton@ups.com</t>
  </si>
  <si>
    <t>kerrie.ashton@europe.ups.com</t>
  </si>
  <si>
    <t>lashton@ups.com</t>
  </si>
  <si>
    <t>pashton@ups.com</t>
  </si>
  <si>
    <t>rashton@ups.com</t>
  </si>
  <si>
    <t>sashton@ups.com</t>
  </si>
  <si>
    <t>tashton@ups.com</t>
  </si>
  <si>
    <t>iashu@ups.com</t>
  </si>
  <si>
    <t>josephashwood@ups.com</t>
  </si>
  <si>
    <t>bashworth@ups.com</t>
  </si>
  <si>
    <t>kashworth@ups.com</t>
  </si>
  <si>
    <t>rashworth@ups.com</t>
  </si>
  <si>
    <t>sashworth@ups.com</t>
  </si>
  <si>
    <t>mashworthallen@ups.com</t>
  </si>
  <si>
    <t>asisupport@ups.com</t>
  </si>
  <si>
    <t>asiaappo@ups.com</t>
  </si>
  <si>
    <t>asiacmc@ups.com</t>
  </si>
  <si>
    <t>asiacmccapacityauthorization@ups.com</t>
  </si>
  <si>
    <t>asiacontest@ups.com</t>
  </si>
  <si>
    <t>AsiaECsupport@ups.com</t>
  </si>
  <si>
    <t>rmasiapac@ups.com</t>
  </si>
  <si>
    <t>ciasiapac@ups.com</t>
  </si>
  <si>
    <t>asiaprocurement@ups.com</t>
  </si>
  <si>
    <t>asiaasc@ups.com</t>
  </si>
  <si>
    <t>asiaaircraftmatl@ups.com</t>
  </si>
  <si>
    <t>asiabilling@ups.com</t>
  </si>
  <si>
    <t>abrgnoa@ups.com</t>
  </si>
  <si>
    <t>asianbrgcorporate@ups.com</t>
  </si>
  <si>
    <t>asianbrgeuregion@ups.com</t>
  </si>
  <si>
    <t>asiaspot@ups.com</t>
  </si>
  <si>
    <t>lasiatico@ups.com</t>
  </si>
  <si>
    <t>asiawwfbilling@ups.com</t>
  </si>
  <si>
    <t>upsksls3@cyber.net.pk</t>
  </si>
  <si>
    <t>masif@ups.com</t>
  </si>
  <si>
    <t>aasigbe@ups.com</t>
  </si>
  <si>
    <t>iasiimwe@ups.com</t>
  </si>
  <si>
    <t>masim@ups.com</t>
  </si>
  <si>
    <t>EUR1MXA@europe.ups.com</t>
  </si>
  <si>
    <t>aronalyn@ups.com</t>
  </si>
  <si>
    <t>askcustomersupport@ups.com</t>
  </si>
  <si>
    <t>asktheavatar@ups.com</t>
  </si>
  <si>
    <t>kaskarova@ups.com</t>
  </si>
  <si>
    <t>easkelson@ups.com</t>
  </si>
  <si>
    <t>jasker@ups.com</t>
  </si>
  <si>
    <t>caskew@ups.com</t>
  </si>
  <si>
    <t>kaskew@ups.com</t>
  </si>
  <si>
    <t>maskew@ups.com</t>
  </si>
  <si>
    <t>taskew@ups.com</t>
  </si>
  <si>
    <t>carlaaskham@ups.com</t>
  </si>
  <si>
    <t>maskhroun@ups.com</t>
  </si>
  <si>
    <t>caskins@ups.com</t>
  </si>
  <si>
    <t>raskren@ups.com</t>
  </si>
  <si>
    <t>aaslah@ups.com</t>
  </si>
  <si>
    <t>laslam@ups.com</t>
  </si>
  <si>
    <t>mohammadaslam@ups.com</t>
  </si>
  <si>
    <t>saslam@ups.com</t>
  </si>
  <si>
    <t>tanveeraslam@ups.com</t>
  </si>
  <si>
    <t>aaslamov@ups.com</t>
  </si>
  <si>
    <t>halil.aslan@europe.ups.com</t>
  </si>
  <si>
    <t>hasanaslan@ups.com</t>
  </si>
  <si>
    <t>haslan@ups.com</t>
  </si>
  <si>
    <t>maslan@ups.com</t>
  </si>
  <si>
    <t>nurayaslan@ups.com</t>
  </si>
  <si>
    <t>oswaldaslan@ups.com</t>
  </si>
  <si>
    <t>taslan@ups.com</t>
  </si>
  <si>
    <t>kaslani@ups.com</t>
  </si>
  <si>
    <t>aaslouji@ups.com</t>
  </si>
  <si>
    <t>jasman@ups.com</t>
  </si>
  <si>
    <t>masmath@ups.com</t>
  </si>
  <si>
    <t>kasmussen@ups.com</t>
  </si>
  <si>
    <t>masnani@ups.com</t>
  </si>
  <si>
    <t>gasnip@ups.com</t>
  </si>
  <si>
    <t>asoawards@ups.com</t>
  </si>
  <si>
    <t>asociaciones@ups.com</t>
  </si>
  <si>
    <t>kasokan@ups.com</t>
  </si>
  <si>
    <t>masokan@ups.com</t>
  </si>
  <si>
    <t>masomugha@ups.com</t>
  </si>
  <si>
    <t>easong@ups.com</t>
  </si>
  <si>
    <t>casor@ups.com</t>
  </si>
  <si>
    <t>aedlyn@ups.com</t>
  </si>
  <si>
    <t>AVONAPARTIS@GENFOOT.COM</t>
  </si>
  <si>
    <t>jasper@ups.com</t>
  </si>
  <si>
    <t>waspinall@ups.com</t>
  </si>
  <si>
    <t>jaspinwall@ups.com</t>
  </si>
  <si>
    <t>ajasper@ups.com</t>
  </si>
  <si>
    <t>casprey@ups.com</t>
  </si>
  <si>
    <t>jasprinio@ups.com</t>
  </si>
  <si>
    <t>nasrar@ups.com</t>
  </si>
  <si>
    <t>jasrat@ups.com</t>
  </si>
  <si>
    <t>asrequest@ups.com</t>
  </si>
  <si>
    <t>larbi.assab@europe.ups.com</t>
  </si>
  <si>
    <t>jassaf@ups.com</t>
  </si>
  <si>
    <t>mistiassaf@ups.com</t>
  </si>
  <si>
    <t>iassan@ups.com</t>
  </si>
  <si>
    <t>rassaraf@ups.com</t>
  </si>
  <si>
    <t>hassefa@ups.com</t>
  </si>
  <si>
    <t>nassefa@ups.com</t>
  </si>
  <si>
    <t>aasselmeier@ups.com</t>
  </si>
  <si>
    <t>rassenheimer@ups.com</t>
  </si>
  <si>
    <t>aassenmacherdrillen@ups.com</t>
  </si>
  <si>
    <t>acneuss@ups.com</t>
  </si>
  <si>
    <t>tlbidresponse@ups.com</t>
  </si>
  <si>
    <t>upstltracking@ups.com</t>
  </si>
  <si>
    <t>assetutilization@ups.com</t>
  </si>
  <si>
    <t>susanassetta@ups.com</t>
  </si>
  <si>
    <t>eassink@ups.com</t>
  </si>
  <si>
    <t>lassink@ups.com</t>
  </si>
  <si>
    <t>tassiongbon@ups.com</t>
  </si>
  <si>
    <t>dassis@ups.com</t>
  </si>
  <si>
    <t>jassise@ups.com</t>
  </si>
  <si>
    <t>assistlinetampa@ups.com</t>
  </si>
  <si>
    <t>Juergen.Assmann@uni-data.de</t>
  </si>
  <si>
    <t>rassmus@ups.com</t>
  </si>
  <si>
    <t>assoc88@ups.com</t>
  </si>
  <si>
    <t>assoc55@ups.com</t>
  </si>
  <si>
    <t>assoc33@ups.com</t>
  </si>
  <si>
    <t>assoc95@ups.com</t>
  </si>
  <si>
    <t>assoc40@ups.com</t>
  </si>
  <si>
    <t>assoc64@ups.com</t>
  </si>
  <si>
    <t>assoc78@ups.com</t>
  </si>
  <si>
    <t>assoc46@ups.com</t>
  </si>
  <si>
    <t>assoc32@ups.com</t>
  </si>
  <si>
    <t>assoc44@ups.com</t>
  </si>
  <si>
    <t>assoc27@ups.com</t>
  </si>
  <si>
    <t>assoc20@ups.com</t>
  </si>
  <si>
    <t>assoc86@ups.com</t>
  </si>
  <si>
    <t>assoc36@ups.com</t>
  </si>
  <si>
    <t>assoc56@ups.com</t>
  </si>
  <si>
    <t>assoc76@ups.com</t>
  </si>
  <si>
    <t>assoc49@ups.com</t>
  </si>
  <si>
    <t>assoc12@ups.com</t>
  </si>
  <si>
    <t>assoc45@ups.com</t>
  </si>
  <si>
    <t>assoc92@ups.com</t>
  </si>
  <si>
    <t>associatesupport@ups.com</t>
  </si>
  <si>
    <t>associationsbk@ups.com</t>
  </si>
  <si>
    <t>savewithupsca@ups.com</t>
  </si>
  <si>
    <t>savewithups@ups.com</t>
  </si>
  <si>
    <t>mohamedassoufi@ups.com</t>
  </si>
  <si>
    <t>massoufi@ups.com</t>
  </si>
  <si>
    <t>aassuncao@ups.com</t>
  </si>
  <si>
    <t>tinaassy@ups.com</t>
  </si>
  <si>
    <t>rast@ups.com</t>
  </si>
  <si>
    <t>APCA_Quality.Assurance@astellas.com</t>
  </si>
  <si>
    <t>casti@ups.com</t>
  </si>
  <si>
    <t>vasti@ups.com</t>
  </si>
  <si>
    <t>sastle@ups.com</t>
  </si>
  <si>
    <t>jastleford@ups.com</t>
  </si>
  <si>
    <t>giseleaston@ups.com</t>
  </si>
  <si>
    <t>waston@ups.com</t>
  </si>
  <si>
    <t>crastor@ups.com</t>
  </si>
  <si>
    <t>ajoey@ups.com</t>
  </si>
  <si>
    <t>jastorga@ups.com</t>
  </si>
  <si>
    <t>gailastorino@ups.com</t>
  </si>
  <si>
    <t>azinvoicingemea@ups.com</t>
  </si>
  <si>
    <t>rastrauskas@ups.com</t>
  </si>
  <si>
    <t>kastrella@ups.com</t>
  </si>
  <si>
    <t>dastrero@ups.com</t>
  </si>
  <si>
    <t>astrongerups@ups.com</t>
  </si>
  <si>
    <t>jastuaarias@ups.com</t>
  </si>
  <si>
    <t>asuelojoy@ups.com</t>
  </si>
  <si>
    <t>ashashikant@ups.com</t>
  </si>
  <si>
    <t>casulin@ups.com</t>
  </si>
  <si>
    <t>basuncion@ups.com</t>
  </si>
  <si>
    <t>amarymay@ups.com</t>
  </si>
  <si>
    <t>pasundkar@ups.com</t>
  </si>
  <si>
    <t>aarchell@ups.com</t>
  </si>
  <si>
    <t>danielasuquo@ups.com</t>
  </si>
  <si>
    <t>dasuquo@ups.com</t>
  </si>
  <si>
    <t>aaswegan@ups.com</t>
  </si>
  <si>
    <t>DL-FirstClassDistro@att.com</t>
  </si>
  <si>
    <t>aatalay@ups.com</t>
  </si>
  <si>
    <t>eatalay@ups.com</t>
  </si>
  <si>
    <t>atalay.tahsin@ups.com</t>
  </si>
  <si>
    <t>samir.atalla@supportdynamics.jo</t>
  </si>
  <si>
    <t>diana.atallah@ups.com</t>
  </si>
  <si>
    <t>jatallah@ups.com</t>
  </si>
  <si>
    <t>batallian@ups.com</t>
  </si>
  <si>
    <t>cataman@ups.com</t>
  </si>
  <si>
    <t>moldiratamkulova@ups.com</t>
  </si>
  <si>
    <t>poziah.atan@ups.com</t>
  </si>
  <si>
    <t>jatanay@ups.com</t>
  </si>
  <si>
    <t>aatar@ups.com</t>
  </si>
  <si>
    <t>matar@ups.com</t>
  </si>
  <si>
    <t>yatasoy@ups.com</t>
  </si>
  <si>
    <t>aatay@ups.com</t>
  </si>
  <si>
    <t>eatay@ups.com</t>
  </si>
  <si>
    <t>oatay@ups.com</t>
  </si>
  <si>
    <t>atcha.dawood@ups.com</t>
  </si>
  <si>
    <t>gatchan@ups.com</t>
  </si>
  <si>
    <t>natchanna@ups.com</t>
  </si>
  <si>
    <t>katchison@ups.com</t>
  </si>
  <si>
    <t>latchison@ups.com</t>
  </si>
  <si>
    <t>batchley@ups.com</t>
  </si>
  <si>
    <t>ratchley@ups.com</t>
  </si>
  <si>
    <t>ferit.atci@europe.ups.com</t>
  </si>
  <si>
    <t>mateeq@ups.com</t>
  </si>
  <si>
    <t>gatehouse@ups.com</t>
  </si>
  <si>
    <t>taten@ups.com</t>
  </si>
  <si>
    <t>eatencio@ups.com</t>
  </si>
  <si>
    <t>kaleatencio@ups.com</t>
  </si>
  <si>
    <t>katencio@ups.com</t>
  </si>
  <si>
    <t>upsguacourier@ups.com</t>
  </si>
  <si>
    <t>atencionalcliente@ups.com</t>
  </si>
  <si>
    <t>tater@ups.com</t>
  </si>
  <si>
    <t>hasan.ates@europe.ups.com</t>
  </si>
  <si>
    <t>mates@ups.com</t>
  </si>
  <si>
    <t>tioshaates@ups.com</t>
  </si>
  <si>
    <t>tates@ups.com</t>
  </si>
  <si>
    <t>zehraates@ups.com</t>
  </si>
  <si>
    <t>zates@ups.com</t>
  </si>
  <si>
    <t>atguav@ups.com</t>
  </si>
  <si>
    <t>athmad@ups.com</t>
  </si>
  <si>
    <t>jathalathilvarkey@ups.com</t>
  </si>
  <si>
    <t>aankita@ups.com</t>
  </si>
  <si>
    <t>mathalye@ups.com</t>
  </si>
  <si>
    <t>aathanassiadis@ups.com</t>
  </si>
  <si>
    <t>dathanassiadou@ups.com</t>
  </si>
  <si>
    <t>theodoros.athanassopoulos@europe.ups.com</t>
  </si>
  <si>
    <t>sathappagounder@ups.com</t>
  </si>
  <si>
    <t>eugenea@ups.com</t>
  </si>
  <si>
    <t>odc3060@ups.com</t>
  </si>
  <si>
    <t>gathens@ups.com</t>
  </si>
  <si>
    <t>athgtw@ups.com</t>
  </si>
  <si>
    <t>ratherleyward@ups.com</t>
  </si>
  <si>
    <t>datherton@ups.com</t>
  </si>
  <si>
    <t>jatherton@ups.com</t>
  </si>
  <si>
    <t>patherton@ups.com</t>
  </si>
  <si>
    <t>cathie@upsstore.com</t>
  </si>
  <si>
    <t>nathikesavan@ups.com</t>
  </si>
  <si>
    <t>sathikunsin@ups.com</t>
  </si>
  <si>
    <t>nathimattathil@ups.com</t>
  </si>
  <si>
    <t>mathlei@ups.com</t>
  </si>
  <si>
    <t>kumarathreya@ups.com</t>
  </si>
  <si>
    <t>oathwal@ups.com</t>
  </si>
  <si>
    <t>catieh@ups.com</t>
  </si>
  <si>
    <t>aerica@ups.com</t>
  </si>
  <si>
    <t>aromano@ups.com</t>
  </si>
  <si>
    <t>hatik@ups.com</t>
  </si>
  <si>
    <t>silvanatik@ups.com</t>
  </si>
  <si>
    <t>vatilano@ups.com</t>
  </si>
  <si>
    <t>atinderc@recordxpress.ca</t>
  </si>
  <si>
    <t>abryanjoseph@ups.com</t>
  </si>
  <si>
    <t>iatis@ups.com</t>
  </si>
  <si>
    <t>katisu@ups.com</t>
  </si>
  <si>
    <t>satiyah@ups.com</t>
  </si>
  <si>
    <t>matiyat@ups.com</t>
  </si>
  <si>
    <t>satkerson@ups.com</t>
  </si>
  <si>
    <t>jatkin@ups.com</t>
  </si>
  <si>
    <t>ratkin@ups.com</t>
  </si>
  <si>
    <t>batkins@ups.com</t>
  </si>
  <si>
    <t>chrisatkins@ups.com</t>
  </si>
  <si>
    <t>catkins@ups.com</t>
  </si>
  <si>
    <t>deangeloatkins@ups.com</t>
  </si>
  <si>
    <t>elaineatkins@ups.com</t>
  </si>
  <si>
    <t>gatkins@ups.com</t>
  </si>
  <si>
    <t>jgatkins@ups.com</t>
  </si>
  <si>
    <t>jatkins@ups.com</t>
  </si>
  <si>
    <t>josephatkins@ups.com</t>
  </si>
  <si>
    <t>julieatkins@ups.com</t>
  </si>
  <si>
    <t>justinatkins@ups.com</t>
  </si>
  <si>
    <t>matkins@ups.com</t>
  </si>
  <si>
    <t>pamelaatkins@ups.com</t>
  </si>
  <si>
    <t>patkins@ups.com</t>
  </si>
  <si>
    <t>ratkins@ups.com</t>
  </si>
  <si>
    <t>satkins@ups.com</t>
  </si>
  <si>
    <t>sharekaatkins@ups.com</t>
  </si>
  <si>
    <t>vatkins@ups.com</t>
  </si>
  <si>
    <t>carlatkinson@ups.com</t>
  </si>
  <si>
    <t>catkinson@ups.com</t>
  </si>
  <si>
    <t>carrieatkinson@ups.com</t>
  </si>
  <si>
    <t>jatkinson@ups.com</t>
  </si>
  <si>
    <t>keithatkinson@ups.com</t>
  </si>
  <si>
    <t>lauraatkinson@ups.com</t>
  </si>
  <si>
    <t>leeatkinson@ups.com</t>
  </si>
  <si>
    <t>lexusatkinson@ups.com</t>
  </si>
  <si>
    <t>latkinson@ups.com</t>
  </si>
  <si>
    <t>loriatkinson@ups.com</t>
  </si>
  <si>
    <t>mailiatkinson@ups.com</t>
  </si>
  <si>
    <t>shaqueilaatkinson@ups.com</t>
  </si>
  <si>
    <t>satkinson@ups.com</t>
  </si>
  <si>
    <t>satkinson1@ups.com</t>
  </si>
  <si>
    <t>aatkisson@ups.com</t>
  </si>
  <si>
    <t>atldwhsupport@ups.com</t>
  </si>
  <si>
    <t>scsatlphilipsexportsair@ups.com</t>
  </si>
  <si>
    <t>ratlan@ups.com</t>
  </si>
  <si>
    <t>atlantadocumentcenter@ups.com</t>
  </si>
  <si>
    <t>Atlanta_Quotes@ups.com</t>
  </si>
  <si>
    <t>atlsidagateway@ups.com</t>
  </si>
  <si>
    <t>ATLAS_SDN_TIES@ups.com</t>
  </si>
  <si>
    <t>brokeragecin@ups.com</t>
  </si>
  <si>
    <t>atlastroisdorffax@ups.com</t>
  </si>
  <si>
    <t>oceancscexport@ups.com</t>
  </si>
  <si>
    <t>ratmadja@ups.com</t>
  </si>
  <si>
    <t>latmane@ups.com</t>
  </si>
  <si>
    <t>adiansukma@ups.com</t>
  </si>
  <si>
    <t>ratmuri@ups.com</t>
  </si>
  <si>
    <t>batoe@ups.com</t>
  </si>
  <si>
    <t>katoklo@ups.com</t>
  </si>
  <si>
    <t>gaton@ups.com</t>
  </si>
  <si>
    <t>fatori@ups.com</t>
  </si>
  <si>
    <t>matoufi@ups.com</t>
  </si>
  <si>
    <t>adnenatoui@ups.com</t>
  </si>
  <si>
    <t>matoui@ups.com</t>
  </si>
  <si>
    <t>atrassi.zakaria@ups.com</t>
  </si>
  <si>
    <t>ratray@ups.com</t>
  </si>
  <si>
    <t>atrisklost@ups.com</t>
  </si>
  <si>
    <t>ATSControl@ups.com</t>
  </si>
  <si>
    <t>attfreight@ups.com</t>
  </si>
  <si>
    <t>attachdetach@ups.com</t>
  </si>
  <si>
    <t>eattama@ups.com</t>
  </si>
  <si>
    <t>aattar@ups.com</t>
  </si>
  <si>
    <t>attardraymond@ups.com</t>
  </si>
  <si>
    <t>jattavi@ups.com</t>
  </si>
  <si>
    <t>jattaway@ups.com</t>
  </si>
  <si>
    <t>batteberry@ups.com</t>
  </si>
  <si>
    <t>wattebery@ups.com</t>
  </si>
  <si>
    <t>natteen@ups.com</t>
  </si>
  <si>
    <t>kattewell9@ups.com</t>
  </si>
  <si>
    <t>chrisatti@ups.com</t>
  </si>
  <si>
    <t>rattia@ups.com</t>
  </si>
  <si>
    <t>tattia@ups.com</t>
  </si>
  <si>
    <t>nattianese@ups.com</t>
  </si>
  <si>
    <t>mattin@ups.com</t>
  </si>
  <si>
    <t>giuseppina.attolino@europe.ups.com</t>
  </si>
  <si>
    <t>aatton@ups.com</t>
  </si>
  <si>
    <t>TYX2NMT@ups.com</t>
  </si>
  <si>
    <t>mattou@ups.com</t>
  </si>
  <si>
    <t>anne.attridge@europe.ups.com</t>
  </si>
  <si>
    <t>jattridge@ups.com</t>
  </si>
  <si>
    <t>jattwal@ups.com</t>
  </si>
  <si>
    <t>philipattwell@ups.com</t>
  </si>
  <si>
    <t>EUR1LXA@europe.ups.com</t>
  </si>
  <si>
    <t>PRR1NQY@ups.com</t>
  </si>
  <si>
    <t>RQM5XZV@ups.com</t>
  </si>
  <si>
    <t>aatwal@ups.com</t>
  </si>
  <si>
    <t>kerminderatwal@ups.com</t>
  </si>
  <si>
    <t>atwara.diane@ups.com</t>
  </si>
  <si>
    <t>catwater@ups.com</t>
  </si>
  <si>
    <t>katwell@ups.com</t>
  </si>
  <si>
    <t>matwell@ups.com</t>
  </si>
  <si>
    <t>satwell@ups.com</t>
  </si>
  <si>
    <t>aaronatwood@ups.com</t>
  </si>
  <si>
    <t>annieatwood@ups.com</t>
  </si>
  <si>
    <t>catwood@ups.com</t>
  </si>
  <si>
    <t>watwood@ups.com</t>
  </si>
  <si>
    <t>satyam@ups.com</t>
  </si>
  <si>
    <t>datyeo@ups.com</t>
  </si>
  <si>
    <t>aatyia@ups.com</t>
  </si>
  <si>
    <t>aatyyat@ups.com</t>
  </si>
  <si>
    <t>catz@ups.com</t>
  </si>
  <si>
    <t>matzel@ups.com</t>
  </si>
  <si>
    <t>aubcaircargo@ups.com</t>
  </si>
  <si>
    <t>auupsaqis@ups.com</t>
  </si>
  <si>
    <t>aubceir@ups.com</t>
  </si>
  <si>
    <t>aubcentryadjustment@ups.com</t>
  </si>
  <si>
    <t>auhouseclerks@ups.com</t>
  </si>
  <si>
    <t>auborderprocessing@ups.com</t>
  </si>
  <si>
    <t>aucod@ups.com</t>
  </si>
  <si>
    <t>aucustomsbrokers@ups.com</t>
  </si>
  <si>
    <t>audrawbacks@ups.com</t>
  </si>
  <si>
    <t>ebainformation@ups.com</t>
  </si>
  <si>
    <t>eeau@ups.com</t>
  </si>
  <si>
    <t>aufeedback@ups.com</t>
  </si>
  <si>
    <t>augordon@ups.com</t>
  </si>
  <si>
    <t>ausafety@ups.com</t>
  </si>
  <si>
    <t>aujessie@ups.com</t>
  </si>
  <si>
    <t>aurecruitment@ups.com</t>
  </si>
  <si>
    <t>oaintleadau@ups.com</t>
  </si>
  <si>
    <t>pansy.au@ups.com</t>
  </si>
  <si>
    <t>auspinvoices@ups.com</t>
  </si>
  <si>
    <t>auupsclinicaltrial@ups.com</t>
  </si>
  <si>
    <t>fauyeung@ups.com</t>
  </si>
  <si>
    <t>aaube@ups.com</t>
  </si>
  <si>
    <t>saube@ups.com</t>
  </si>
  <si>
    <t>taube@ups.com</t>
  </si>
  <si>
    <t>eaubee@ups.com</t>
  </si>
  <si>
    <t>maubermas@upslogistics.fr</t>
  </si>
  <si>
    <t>taubie@ups.com</t>
  </si>
  <si>
    <t>michel.aubiniere@europe.ups.com</t>
  </si>
  <si>
    <t>FRA1IYA@europe.ups.com</t>
  </si>
  <si>
    <t>kristinaubrey@ups.com</t>
  </si>
  <si>
    <t>laubrey@ups.com</t>
  </si>
  <si>
    <t>Aubrey_Lebot@canadacartage.com</t>
  </si>
  <si>
    <t>paubrey@ups.com</t>
  </si>
  <si>
    <t>jaubrun@ups.com</t>
  </si>
  <si>
    <t>marie-laure.aubry@ups.com</t>
  </si>
  <si>
    <t>saubry@ups.com</t>
  </si>
  <si>
    <t>msg03@twa.ups-scs.com</t>
  </si>
  <si>
    <t>laurenaubuchon@ups.com</t>
  </si>
  <si>
    <t>auburncopier@ups.com</t>
  </si>
  <si>
    <t>haubynn@ups.com</t>
  </si>
  <si>
    <t>aauckland@ups.com</t>
  </si>
  <si>
    <t>pac1akl@ups.com</t>
  </si>
  <si>
    <t>cauclair@ups.com</t>
  </si>
  <si>
    <t>msg01@uxausyd1.apac.internal.dns</t>
  </si>
  <si>
    <t>naucutt@ups.com</t>
  </si>
  <si>
    <t>baudet@ups.com</t>
  </si>
  <si>
    <t>eaudett@ups.com</t>
  </si>
  <si>
    <t>audioconf@ups.com</t>
  </si>
  <si>
    <t>LAudley@upsstore.com</t>
  </si>
  <si>
    <t>audra.kuhls@landsend.com</t>
  </si>
  <si>
    <t>audrey.krippendorf@ctimi.com</t>
  </si>
  <si>
    <t>audreyw@coat.com</t>
  </si>
  <si>
    <t>audrey.wargo@coat.com</t>
  </si>
  <si>
    <t>caudry@ups.com</t>
  </si>
  <si>
    <t>cauer@ups.com</t>
  </si>
  <si>
    <t>rauer@ups.com</t>
  </si>
  <si>
    <t>judith.auerbach@appl.ge.com</t>
  </si>
  <si>
    <t>aauffert@ups.com</t>
  </si>
  <si>
    <t>cauffert@ups.com</t>
  </si>
  <si>
    <t>daufgebauer@ups.com</t>
  </si>
  <si>
    <t>caufrecht@ups.com</t>
  </si>
  <si>
    <t>auftragssteuerungta@ups.com</t>
  </si>
  <si>
    <t>auftragssteuerungts@ups.com</t>
  </si>
  <si>
    <t>auftragssteuerungzkon@ups.com</t>
  </si>
  <si>
    <t>msg02@uxausyd1.apac.internal.dns</t>
  </si>
  <si>
    <t>bauge@ups.com</t>
  </si>
  <si>
    <t>maugelli@ups.com</t>
  </si>
  <si>
    <t>jauger@ups.com</t>
  </si>
  <si>
    <t>taughtman@ups.com</t>
  </si>
  <si>
    <t>baugir@ups.com</t>
  </si>
  <si>
    <t>LAugsburger@ups.com</t>
  </si>
  <si>
    <t>aaugsten@ups.com</t>
  </si>
  <si>
    <t>aaugust@ups.com</t>
  </si>
  <si>
    <t>laugust@ups.com</t>
  </si>
  <si>
    <t>naugust@ups.com</t>
  </si>
  <si>
    <t>acaudel@pennstroleasing.com</t>
  </si>
  <si>
    <t>hauguste@ups.com</t>
  </si>
  <si>
    <t>jauguste@ups.com</t>
  </si>
  <si>
    <t>pauguste@ups.com</t>
  </si>
  <si>
    <t>sauguste@ups.com</t>
  </si>
  <si>
    <t>caugustin@ups.com</t>
  </si>
  <si>
    <t>eaugustin@ups.com</t>
  </si>
  <si>
    <t>paugustin@ups.com</t>
  </si>
  <si>
    <t>waugustin@ups.com</t>
  </si>
  <si>
    <t>caugustine@ups.com</t>
  </si>
  <si>
    <t>jaugustine@ups.com</t>
  </si>
  <si>
    <t>jasondaugustine@ups.com</t>
  </si>
  <si>
    <t>jmaugustine@ups.com</t>
  </si>
  <si>
    <t>kaugustine@ups.com</t>
  </si>
  <si>
    <t>AUGUSTINEM@RENINCORP.COM</t>
  </si>
  <si>
    <t>sherwinaaugustine@ups.com</t>
  </si>
  <si>
    <t>saugustine@ups.com</t>
  </si>
  <si>
    <t>taugustine@ups.com</t>
  </si>
  <si>
    <t>paugustinus@ups.com</t>
  </si>
  <si>
    <t>jaugustocarvalhosantos@ups.com</t>
  </si>
  <si>
    <t>jaugusto@ups.com</t>
  </si>
  <si>
    <t>kaugustowska@ups.com</t>
  </si>
  <si>
    <t>caugustyn@ups.com</t>
  </si>
  <si>
    <t>raugustyn@ups.com</t>
  </si>
  <si>
    <t>taugustyn@ups.com</t>
  </si>
  <si>
    <t>aaugustyniak@ups.com</t>
  </si>
  <si>
    <t>laugustyniak@ups.com</t>
  </si>
  <si>
    <t>auhbrokerage@ups.com</t>
  </si>
  <si>
    <t>baujla@ups.com</t>
  </si>
  <si>
    <t>christineaujla@ups.com</t>
  </si>
  <si>
    <t>kauker@ups.com</t>
  </si>
  <si>
    <t>sauld@ups.com</t>
  </si>
  <si>
    <t>saulnette@ups.com</t>
  </si>
  <si>
    <t>hault@ups.com</t>
  </si>
  <si>
    <t>jault@ups.com</t>
  </si>
  <si>
    <t>raulthouse@ups.com</t>
  </si>
  <si>
    <t>kaultman@ups.com</t>
  </si>
  <si>
    <t>raultman@ups.com</t>
  </si>
  <si>
    <t>aumelexport@ups.com</t>
  </si>
  <si>
    <t>aumelaqis@ups.com</t>
  </si>
  <si>
    <t>aumeldesp@ups.com</t>
  </si>
  <si>
    <t>aumelspcentre@ups.com</t>
  </si>
  <si>
    <t>kaumillerjr@ups.com</t>
  </si>
  <si>
    <t>paumueller@ups.com</t>
  </si>
  <si>
    <t>launan@ups.com</t>
  </si>
  <si>
    <t>saune@ups.com</t>
  </si>
  <si>
    <t>aeizarliaung@ups.com</t>
  </si>
  <si>
    <t>paung@ups.com</t>
  </si>
  <si>
    <t>jaungst@ups.com</t>
  </si>
  <si>
    <t>asamarng@ups.com</t>
  </si>
  <si>
    <t>jaupaix@ups.com</t>
  </si>
  <si>
    <t>maupers@ups.com</t>
  </si>
  <si>
    <t>raupont@ups.com</t>
  </si>
  <si>
    <t>aupsmi@ups-mi.com</t>
  </si>
  <si>
    <t>kaure@ups.com</t>
  </si>
  <si>
    <t>eaurednikova@ups.com</t>
  </si>
  <si>
    <t>caurentz@ups.com</t>
  </si>
  <si>
    <t>mauriemma@ups.com</t>
  </si>
  <si>
    <t>dausberry@ups.com</t>
  </si>
  <si>
    <t>causbrooks@ups.com</t>
  </si>
  <si>
    <t>roberto.ausili@europe.ups.com</t>
  </si>
  <si>
    <t>bauslander@ups.com</t>
  </si>
  <si>
    <t>mausley@ups.com</t>
  </si>
  <si>
    <t>heatherausprung@ups.com</t>
  </si>
  <si>
    <t>sabineaust@ups.com</t>
  </si>
  <si>
    <t>maustein@ups.com</t>
  </si>
  <si>
    <t>joerg.auster@europe.ups.com</t>
  </si>
  <si>
    <t>kausterberry@ups.com</t>
  </si>
  <si>
    <t>aaustin@ups.com</t>
  </si>
  <si>
    <t>angelaaustin@ups.com</t>
  </si>
  <si>
    <t>ashleyaustin@ups.com</t>
  </si>
  <si>
    <t>brennanaustin@ups.com</t>
  </si>
  <si>
    <t>abyrne@hogan1.com</t>
  </si>
  <si>
    <t>camilleaustin@ups.com</t>
  </si>
  <si>
    <t>caustin@ups.com</t>
  </si>
  <si>
    <t>danielleaustin@ups.com</t>
  </si>
  <si>
    <t>deaustin@ups.com</t>
  </si>
  <si>
    <t>dmp7879@ups.com</t>
  </si>
  <si>
    <t>faustin@ups.com</t>
  </si>
  <si>
    <t>txastdmp@ups.com</t>
  </si>
  <si>
    <t>haustin@ups.com</t>
  </si>
  <si>
    <t>jacobaustin@ups.com</t>
  </si>
  <si>
    <t>jaustin@ups.com</t>
  </si>
  <si>
    <t>jenniferaustin@ups.com</t>
  </si>
  <si>
    <t>jonathonaustin@ups.com</t>
  </si>
  <si>
    <t>kaylaaustin@ups.com</t>
  </si>
  <si>
    <t>kaustin@ups.com</t>
  </si>
  <si>
    <t>kristynaustin@ups.com</t>
  </si>
  <si>
    <t>leanneaustin@ups.com</t>
  </si>
  <si>
    <t>laustin@ups.com</t>
  </si>
  <si>
    <t>marcusaustin@ups.com</t>
  </si>
  <si>
    <t>maustin@ups.com</t>
  </si>
  <si>
    <t>maustin1@ups.com</t>
  </si>
  <si>
    <t>michaelaustin@ups.com</t>
  </si>
  <si>
    <t>rsaustin@ups.com</t>
  </si>
  <si>
    <t>saustin@ups.com</t>
  </si>
  <si>
    <t>saustin1@ups.com</t>
  </si>
  <si>
    <t>tamikaaustin@ups.com</t>
  </si>
  <si>
    <t>taustin@ups.com</t>
  </si>
  <si>
    <t>thaustin@ups.com</t>
  </si>
  <si>
    <t>zaustin@ups.com</t>
  </si>
  <si>
    <t>taustinmoore@ups.com</t>
  </si>
  <si>
    <t>aauston@ups.com</t>
  </si>
  <si>
    <t>auar@ups.com</t>
  </si>
  <si>
    <t>austransport@ups.com</t>
  </si>
  <si>
    <t>raustria@ups.com</t>
  </si>
  <si>
    <t>cecmigrated_techsupaten@ups.com</t>
  </si>
  <si>
    <t>cecmigrated_techsupatde@ups.com</t>
  </si>
  <si>
    <t>saustriaco@ups.com</t>
  </si>
  <si>
    <t>baustyn@ups.com</t>
  </si>
  <si>
    <t>kautar@ups.com</t>
  </si>
  <si>
    <t>sauten@ups.com</t>
  </si>
  <si>
    <t>bautenrieth@ups.com</t>
  </si>
  <si>
    <t>cautenrieth@ups.com</t>
  </si>
  <si>
    <t>sautera@ups.com</t>
  </si>
  <si>
    <t>authorizedprogram@ups.com</t>
  </si>
  <si>
    <t>aautmon@ups.com</t>
  </si>
  <si>
    <t>auto-notify@gaalplpsvr004c.ups.com</t>
  </si>
  <si>
    <t>auto-notify@gaalpltapp0144.linux.us.ams1907.com</t>
  </si>
  <si>
    <t>autoaccountseast@ups.com</t>
  </si>
  <si>
    <t>autogistics@ups.com</t>
  </si>
  <si>
    <t>upsautofinance@ups.com</t>
  </si>
  <si>
    <t>yourupsjob@ups.com</t>
  </si>
  <si>
    <t>autohire@ups.com</t>
  </si>
  <si>
    <t>autoamsterdam@ups.com</t>
  </si>
  <si>
    <t>automotiveadmin@ups.com</t>
  </si>
  <si>
    <t>automotivech@ups.com</t>
  </si>
  <si>
    <t>autocompanycar@ups.com</t>
  </si>
  <si>
    <t>autoregion@ups.com</t>
  </si>
  <si>
    <t>automotivegl@ups.com</t>
  </si>
  <si>
    <t>automotiveherne@ups.com</t>
  </si>
  <si>
    <t>automotiveinfo@ups.com</t>
  </si>
  <si>
    <t>automotivenordics@ups.com</t>
  </si>
  <si>
    <t>autonationimplementation@ups.com</t>
  </si>
  <si>
    <t>eautrey@ups.com</t>
  </si>
  <si>
    <t>kautrey@ups.com</t>
  </si>
  <si>
    <t>pautry@ups.com</t>
  </si>
  <si>
    <t>rautry@ups.com</t>
  </si>
  <si>
    <t>vautry@ups.com</t>
  </si>
  <si>
    <t>Autumn.hindman@skullcandy.com</t>
  </si>
  <si>
    <t>bautwell@ups.com</t>
  </si>
  <si>
    <t>melyssiaauwerda@ups.com</t>
  </si>
  <si>
    <t>vauyeung@ups.com</t>
  </si>
  <si>
    <t>bauzenne@ups.com</t>
  </si>
  <si>
    <t>amandaauzins@ups.com</t>
  </si>
  <si>
    <t>asivakumar@ups.com</t>
  </si>
  <si>
    <t>aavallone@ups.com</t>
  </si>
  <si>
    <t>allenavalos@ups.com</t>
  </si>
  <si>
    <t>aavalos@ups.com</t>
  </si>
  <si>
    <t>bavalos@ups.com</t>
  </si>
  <si>
    <t>franciscoavalos@ups.com</t>
  </si>
  <si>
    <t>joseavalos@ups.com</t>
  </si>
  <si>
    <t>javalos@ups.com</t>
  </si>
  <si>
    <t>mavalos@ups.com</t>
  </si>
  <si>
    <t>soniaavalos@ups.com</t>
  </si>
  <si>
    <t>ibm@avantservices.com</t>
  </si>
  <si>
    <t>ncr@avantservices.com</t>
  </si>
  <si>
    <t>ravant@ups.com</t>
  </si>
  <si>
    <t>splus@avantservices.com</t>
  </si>
  <si>
    <t>ravanzado@ups.com</t>
  </si>
  <si>
    <t>mavanzo@ups.com</t>
  </si>
  <si>
    <t>aandrew@ups.com</t>
  </si>
  <si>
    <t>savary@ups.com</t>
  </si>
  <si>
    <t>tavary@ups.com</t>
  </si>
  <si>
    <t>aavci@ups.com</t>
  </si>
  <si>
    <t>mavci@ups.com</t>
  </si>
  <si>
    <t>melikeavci@ups.com</t>
  </si>
  <si>
    <t>eavdagic@ups.com</t>
  </si>
  <si>
    <t>eavdeeva@ups.com</t>
  </si>
  <si>
    <t>aavdibasic@ups.com</t>
  </si>
  <si>
    <t>eavdibasic@ups.com</t>
  </si>
  <si>
    <t>iavdic@ups.com</t>
  </si>
  <si>
    <t>mavdic@ups.com</t>
  </si>
  <si>
    <t>savdic@ups.com</t>
  </si>
  <si>
    <t>aleksandraavdjian@ups.com</t>
  </si>
  <si>
    <t>savelarlopez@ups.com</t>
  </si>
  <si>
    <t>javeles@ups.com</t>
  </si>
  <si>
    <t>anigel@ups.com</t>
  </si>
  <si>
    <t>Sylvie.aveline@crowe.ch</t>
  </si>
  <si>
    <t>apaulmaverick@ups.com</t>
  </si>
  <si>
    <t>bavellan@ups.com</t>
  </si>
  <si>
    <t>mavello@ups.com</t>
  </si>
  <si>
    <t>aavendano@ups.com</t>
  </si>
  <si>
    <t>iavendano@ups.com</t>
  </si>
  <si>
    <t>lavendano@ups.com</t>
  </si>
  <si>
    <t>iavendanopaz@ups.com</t>
  </si>
  <si>
    <t>aavenell@ups.com</t>
  </si>
  <si>
    <t>amelvin@ups.com</t>
  </si>
  <si>
    <t>kavenmarg@ups.com</t>
  </si>
  <si>
    <t>cavent@ups.com</t>
  </si>
  <si>
    <t>jenittaaverett@ups.com</t>
  </si>
  <si>
    <t>javerett@ups.com</t>
  </si>
  <si>
    <t>baveriett@ups.com</t>
  </si>
  <si>
    <t>maverill@ups.com</t>
  </si>
  <si>
    <t>michelleaverill@ups.com</t>
  </si>
  <si>
    <t>aaverin@ups.com</t>
  </si>
  <si>
    <t>baveritt@ups.com</t>
  </si>
  <si>
    <t>bavery@ups.com</t>
  </si>
  <si>
    <t>cavery@ups.com</t>
  </si>
  <si>
    <t>eavery@ups.com</t>
  </si>
  <si>
    <t>jeffreyavery@ups.com</t>
  </si>
  <si>
    <t>javery@ups.com</t>
  </si>
  <si>
    <t>kavery@ups.com</t>
  </si>
  <si>
    <t>lavery@ups.com</t>
  </si>
  <si>
    <t>mavery@ups.com</t>
  </si>
  <si>
    <t>ravery@ups.com</t>
  </si>
  <si>
    <t>ryanavery@ups.com</t>
  </si>
  <si>
    <t>ravery1@ups.com</t>
  </si>
  <si>
    <t>savery@ups.com</t>
  </si>
  <si>
    <t>stephenavery@ups.com</t>
  </si>
  <si>
    <t>tavery@ups.com</t>
  </si>
  <si>
    <t>tyleravery@ups.com</t>
  </si>
  <si>
    <t>avestruzryan@ups.com</t>
  </si>
  <si>
    <t>navetisyan@ups.com</t>
  </si>
  <si>
    <t>kavgeri@ups.com</t>
  </si>
  <si>
    <t>avidwekcca@adjmi.com</t>
  </si>
  <si>
    <t>AVI@SMARTFISHTECHNOLOGIES.COM</t>
  </si>
  <si>
    <t>aavila8@ups.com</t>
  </si>
  <si>
    <t>albertavila@ups.com</t>
  </si>
  <si>
    <t>alvaroavila@ups.com</t>
  </si>
  <si>
    <t>aavila@ups.com</t>
  </si>
  <si>
    <t>bridgetteavila@ups.com</t>
  </si>
  <si>
    <t>bruceavila@ups.com</t>
  </si>
  <si>
    <t>bryanavila@ups.com</t>
  </si>
  <si>
    <t>bavila@ups.com</t>
  </si>
  <si>
    <t>christopheravila@ups.com</t>
  </si>
  <si>
    <t>claudiaavila@ups.com</t>
  </si>
  <si>
    <t>cavila@ups.com</t>
  </si>
  <si>
    <t>davila@ups.com</t>
  </si>
  <si>
    <t>davila1@ups.com</t>
  </si>
  <si>
    <t>davidavila@ups.com</t>
  </si>
  <si>
    <t>dianaavila@ups.com</t>
  </si>
  <si>
    <t>diegoavila@ups.com</t>
  </si>
  <si>
    <t>eavila@ups.com</t>
  </si>
  <si>
    <t>elvisavila@ups.com</t>
  </si>
  <si>
    <t>exavila@ups.com</t>
  </si>
  <si>
    <t>ezequielavila@ups.com</t>
  </si>
  <si>
    <t>favila@ups.com</t>
  </si>
  <si>
    <t>agrazielann@ups.com</t>
  </si>
  <si>
    <t>irisavila@ups.com</t>
  </si>
  <si>
    <t>irmaavila@ups.com</t>
  </si>
  <si>
    <t>jaimeavila@ups.com</t>
  </si>
  <si>
    <t>janiceavila@ups.com</t>
  </si>
  <si>
    <t>jathnielavila@ups.com</t>
  </si>
  <si>
    <t>jesseavila@ups.com</t>
  </si>
  <si>
    <t>jjavila@ups.com</t>
  </si>
  <si>
    <t>javila@ups.com</t>
  </si>
  <si>
    <t>johnavila@ups.com</t>
  </si>
  <si>
    <t>manuelavila@ups.com</t>
  </si>
  <si>
    <t>margie.avila@ups.com</t>
  </si>
  <si>
    <t>mariacavila@ups.com</t>
  </si>
  <si>
    <t>amariavina@ups.com</t>
  </si>
  <si>
    <t>wavilamerchan@ups.com</t>
  </si>
  <si>
    <t>michaelavila@ups.com</t>
  </si>
  <si>
    <t>mavila1@ups.com</t>
  </si>
  <si>
    <t>eavilamondragon@ups.com</t>
  </si>
  <si>
    <t>nellyavila@ups.com</t>
  </si>
  <si>
    <t>navila@ups.com</t>
  </si>
  <si>
    <t>rafaelavila@ups.com</t>
  </si>
  <si>
    <t>ricardoavila@ups.com</t>
  </si>
  <si>
    <t>ritaavila@ups.com</t>
  </si>
  <si>
    <t>ronhalyavila@ups.com</t>
  </si>
  <si>
    <t>rubenavila@ups.com</t>
  </si>
  <si>
    <t>virginiaavila@ups.com</t>
  </si>
  <si>
    <t>vivianeavila@ups.com</t>
  </si>
  <si>
    <t>williamavila@ups.com</t>
  </si>
  <si>
    <t>wavila@ups.com</t>
  </si>
  <si>
    <t>yavila@ups.com</t>
  </si>
  <si>
    <t>ravilan@ups.com</t>
  </si>
  <si>
    <t>pavilanielsen@ups.com</t>
  </si>
  <si>
    <t>almaaviles@ups.com</t>
  </si>
  <si>
    <t>aangelshanon@ups.com</t>
  </si>
  <si>
    <t>aaviles@ups.com</t>
  </si>
  <si>
    <t>baviles@ups.com</t>
  </si>
  <si>
    <t>daviles@ups.com</t>
  </si>
  <si>
    <t>gaviles@ups.com</t>
  </si>
  <si>
    <t>javiles@ups.com</t>
  </si>
  <si>
    <t>savilesjr@ups.com</t>
  </si>
  <si>
    <t>laviles@ups.com</t>
  </si>
  <si>
    <t>tavileslujan@ups.com</t>
  </si>
  <si>
    <t>anielmar@ups.com</t>
  </si>
  <si>
    <t>paulaviles@ups.com</t>
  </si>
  <si>
    <t>raviles@ups.com</t>
  </si>
  <si>
    <t>victoraviles@ups.com</t>
  </si>
  <si>
    <t>vaviles@ups.com</t>
  </si>
  <si>
    <t>BOAviles@livingstoninc.com</t>
  </si>
  <si>
    <t>davilez@ups.com</t>
  </si>
  <si>
    <t>kavillacoronel@ups.com</t>
  </si>
  <si>
    <t>cavinafranco@ups.com</t>
  </si>
  <si>
    <t>DRW6SDW@ups.com</t>
  </si>
  <si>
    <t>aavinaramos@ups.com</t>
  </si>
  <si>
    <t>savington@ups.com</t>
  </si>
  <si>
    <t>navis@ups.com</t>
  </si>
  <si>
    <t>davitia@ups.com</t>
  </si>
  <si>
    <t>favitiaiii@ups.com</t>
  </si>
  <si>
    <t>vavitia@ups.com</t>
  </si>
  <si>
    <t>aavon@ups.com</t>
  </si>
  <si>
    <t>avontms@ups.com</t>
  </si>
  <si>
    <t>avonbhximports@ups.com</t>
  </si>
  <si>
    <t>avonmouth@ups.com</t>
  </si>
  <si>
    <t>lavramescu@ups.com</t>
  </si>
  <si>
    <t>aavril@ups.com</t>
  </si>
  <si>
    <t>avrupacozum@ups.com</t>
  </si>
  <si>
    <t>aavula@ups.com</t>
  </si>
  <si>
    <t>navuthu@ups.com</t>
  </si>
  <si>
    <t>mavveduto@ups.com</t>
  </si>
  <si>
    <t>ateckee@ups.com</t>
  </si>
  <si>
    <t>jawa@ups.com</t>
  </si>
  <si>
    <t>eawad@ups.com</t>
  </si>
  <si>
    <t>mawad@ups.com</t>
  </si>
  <si>
    <t>vawadhiya@ups.com</t>
  </si>
  <si>
    <t>aawaghade@ups.com</t>
  </si>
  <si>
    <t>sawakty@ups.com</t>
  </si>
  <si>
    <t>kawan@ups.com</t>
  </si>
  <si>
    <t>jawasthi@ups.com</t>
  </si>
  <si>
    <t>aakshay@ups.com</t>
  </si>
  <si>
    <t>apayal@ups.com</t>
  </si>
  <si>
    <t>karsten.awater@europe.ups.com</t>
  </si>
  <si>
    <t>asupriya@ups.com</t>
  </si>
  <si>
    <t>awbdetail@ups.com</t>
  </si>
  <si>
    <t>nawbery@ups.com</t>
  </si>
  <si>
    <t>oawe@ups.com</t>
  </si>
  <si>
    <t>dawer@ups.com</t>
  </si>
  <si>
    <t>naweys@ups.com</t>
  </si>
  <si>
    <t>mawitikuffour@ups.com</t>
  </si>
  <si>
    <t>awizoscs@ups.com</t>
  </si>
  <si>
    <t>oawosanya@ups.com</t>
  </si>
  <si>
    <t>aawoyemi@ups.com</t>
  </si>
  <si>
    <t>mawuku@ups.com</t>
  </si>
  <si>
    <t>mawwad@ups.com</t>
  </si>
  <si>
    <t>sawwad@ups.com</t>
  </si>
  <si>
    <t>marcus.ax@europe.ups.com</t>
  </si>
  <si>
    <t>sax@ups.com</t>
  </si>
  <si>
    <t>baxe@ups.com</t>
  </si>
  <si>
    <t>eaxe@ups.com</t>
  </si>
  <si>
    <t>laxe@ups.com</t>
  </si>
  <si>
    <t>paxe@ups.com</t>
  </si>
  <si>
    <t>Axel_Buitrago@Dell.com</t>
  </si>
  <si>
    <t>waxel@ups.com</t>
  </si>
  <si>
    <t>haxen@ups.com</t>
  </si>
  <si>
    <t>caxford@ups.com</t>
  </si>
  <si>
    <t>taxley@ups.com</t>
  </si>
  <si>
    <t>alexander.axmann@europe.ups.com</t>
  </si>
  <si>
    <t>myagent@ups.com</t>
  </si>
  <si>
    <t>eay@ups.com</t>
  </si>
  <si>
    <t>iay@ups.com</t>
  </si>
  <si>
    <t>sayad@ups.com</t>
  </si>
  <si>
    <t>hayadhi@ups.com</t>
  </si>
  <si>
    <t>alejandroayala@ups.com</t>
  </si>
  <si>
    <t>aayala@ups.com</t>
  </si>
  <si>
    <t>cayala@ups.com</t>
  </si>
  <si>
    <t>christianayala@ups.com</t>
  </si>
  <si>
    <t>christopherayala@ups.com</t>
  </si>
  <si>
    <t>dayala@ups.com</t>
  </si>
  <si>
    <t>eayala@ups.com</t>
  </si>
  <si>
    <t>eduardoayala@ups.com</t>
  </si>
  <si>
    <t>enriqueayala@ups.com</t>
  </si>
  <si>
    <t>fayala@ups.com</t>
  </si>
  <si>
    <t>gayala@ups.com</t>
  </si>
  <si>
    <t>javierayala@ups.com</t>
  </si>
  <si>
    <t>jennipherayala@ups.com</t>
  </si>
  <si>
    <t>Ayala.Joanne@ups-scs.com</t>
  </si>
  <si>
    <t>jayala1@ups.com</t>
  </si>
  <si>
    <t>johnayala@ups.com</t>
  </si>
  <si>
    <t>jayala@ups.com</t>
  </si>
  <si>
    <t>joseayala@ups.com</t>
  </si>
  <si>
    <t>kayala@ups.com</t>
  </si>
  <si>
    <t>lizbethayala@ups.com</t>
  </si>
  <si>
    <t>nincyayala@ups.com</t>
  </si>
  <si>
    <t>ramonayala@ups.com</t>
  </si>
  <si>
    <t>rayala@ups.com</t>
  </si>
  <si>
    <t>gayalasanchez@ups.com</t>
  </si>
  <si>
    <t>vayala@ups.com</t>
  </si>
  <si>
    <t>zayala@ups.com</t>
  </si>
  <si>
    <t>hayriyeayalin@ups.com</t>
  </si>
  <si>
    <t>dayan@ups.com</t>
  </si>
  <si>
    <t>jayanou@ups.com</t>
  </si>
  <si>
    <t>jayaquica@ups.com</t>
  </si>
  <si>
    <t>aayari@ups.com</t>
  </si>
  <si>
    <t>gayari@ups.com</t>
  </si>
  <si>
    <t>bayars@ups.com</t>
  </si>
  <si>
    <t>fayasse@ups.com</t>
  </si>
  <si>
    <t>whitneyayatian@ups.com</t>
  </si>
  <si>
    <t>yilmaz.ayaz@europe.ups.com</t>
  </si>
  <si>
    <t>daybar@ups.com</t>
  </si>
  <si>
    <t>jayd@ups.com</t>
  </si>
  <si>
    <t>mayd@ups.com</t>
  </si>
  <si>
    <t>caydas@ups.com</t>
  </si>
  <si>
    <t>faydemir@ups.com</t>
  </si>
  <si>
    <t>maydemir@ups.com</t>
  </si>
  <si>
    <t>saydemir@ups.com</t>
  </si>
  <si>
    <t>aaydi@ups.com</t>
  </si>
  <si>
    <t>aaydin@ups.com</t>
  </si>
  <si>
    <t>anilaydin@ups.com</t>
  </si>
  <si>
    <t>atakanaydin@ups.com</t>
  </si>
  <si>
    <t>baydin@ups.com</t>
  </si>
  <si>
    <t>gaydincelik@ups.com</t>
  </si>
  <si>
    <t>daydin@ups.com</t>
  </si>
  <si>
    <t>eaydin@ups.com</t>
  </si>
  <si>
    <t>mehmetaydin@ups.com</t>
  </si>
  <si>
    <t>murataydin@ups.com</t>
  </si>
  <si>
    <t>sedataydin@ups.com</t>
  </si>
  <si>
    <t>saydin@ups.com</t>
  </si>
  <si>
    <t>yaydin@ups.com</t>
  </si>
  <si>
    <t>zoehreaydin@ups.com</t>
  </si>
  <si>
    <t>maydingoz@ups.com</t>
  </si>
  <si>
    <t>naydinli@ups.com</t>
  </si>
  <si>
    <t>aaydogdu@ups.com</t>
  </si>
  <si>
    <t>wayed@ups.com</t>
  </si>
  <si>
    <t>fayegbusi@ups.com</t>
  </si>
  <si>
    <t>dayele@ups.com</t>
  </si>
  <si>
    <t>oayeni@ups.com</t>
  </si>
  <si>
    <t>alperayer@ups.com</t>
  </si>
  <si>
    <t>aayers@ups.com</t>
  </si>
  <si>
    <t>annaayers@ups.com</t>
  </si>
  <si>
    <t>cherylayers@ups.com</t>
  </si>
  <si>
    <t>christinaayers@ups.com</t>
  </si>
  <si>
    <t>cayers@ups.com</t>
  </si>
  <si>
    <t>dayers@ups.com</t>
  </si>
  <si>
    <t>douglasayers@ups.com</t>
  </si>
  <si>
    <t>fayers@ups.com</t>
  </si>
  <si>
    <t>jaayers@ups.com</t>
  </si>
  <si>
    <t>jamesayers@ups.com</t>
  </si>
  <si>
    <t>jasonayers@ups.com</t>
  </si>
  <si>
    <t>jazzmineayers@ups.com</t>
  </si>
  <si>
    <t>jayers@ups.com</t>
  </si>
  <si>
    <t>kayers@ups.com</t>
  </si>
  <si>
    <t>mayers@ups.com</t>
  </si>
  <si>
    <t>rayers@ups.com</t>
  </si>
  <si>
    <t>sarahayers@ups.com</t>
  </si>
  <si>
    <t>stanleyayers@ups.com</t>
  </si>
  <si>
    <t>teriayers@ups.com</t>
  </si>
  <si>
    <t>sayesh@ups.com</t>
  </si>
  <si>
    <t>zaygoren@ups.com</t>
  </si>
  <si>
    <t>rayhan@ups.com</t>
  </si>
  <si>
    <t>haykan@ups.com</t>
  </si>
  <si>
    <t>naykan@ups.com</t>
  </si>
  <si>
    <t>raylard@ups.com</t>
  </si>
  <si>
    <t>caylesbury@ups.com</t>
  </si>
  <si>
    <t>emaylin@ups.com</t>
  </si>
  <si>
    <t>taylmer@ups.com</t>
  </si>
  <si>
    <t>iaynard@ups.com</t>
  </si>
  <si>
    <t>omotayoayoafolabi@ups.com</t>
  </si>
  <si>
    <t>oayodele@ups.com</t>
  </si>
  <si>
    <t>dayoola@ups.com</t>
  </si>
  <si>
    <t>jayotte@ups.com</t>
  </si>
  <si>
    <t>payotte@ups.com</t>
  </si>
  <si>
    <t>sherrie.ayotte@ups.com</t>
  </si>
  <si>
    <t>hayoub@ups.com</t>
  </si>
  <si>
    <t>nicolaayre@ups.com</t>
  </si>
  <si>
    <t>richardayres@ups.com</t>
  </si>
  <si>
    <t>sayres@ups.com</t>
  </si>
  <si>
    <t>wayres@ups.com</t>
  </si>
  <si>
    <t>kevin.ayriss@ups.com</t>
  </si>
  <si>
    <t>aysha.wang@lamresearch.com</t>
  </si>
  <si>
    <t>aneri@ups.com</t>
  </si>
  <si>
    <t>araymark@ups.com</t>
  </si>
  <si>
    <t>aritcherjames@ups.com</t>
  </si>
  <si>
    <t>raytan@ups.com</t>
  </si>
  <si>
    <t>tayter@ups.com</t>
  </si>
  <si>
    <t>oaytug@ups.com</t>
  </si>
  <si>
    <t>yilmazayturk@ups.com</t>
  </si>
  <si>
    <t>amohdsofian@ups.com</t>
  </si>
  <si>
    <t>ajmal.ayubi@europe.ups.com</t>
  </si>
  <si>
    <t>RAyuen@livingstoninc.com</t>
  </si>
  <si>
    <t>fit@freight-in-time.com</t>
  </si>
  <si>
    <t>ajerome@ups.com</t>
  </si>
  <si>
    <t>kayyampalayamsreerangan@ups.com</t>
  </si>
  <si>
    <t>ameena@ups.com</t>
  </si>
  <si>
    <t>azcustomercare@ups.com</t>
  </si>
  <si>
    <t>aazaceta@ups.com</t>
  </si>
  <si>
    <t>gazakang@ups.com</t>
  </si>
  <si>
    <t>mazam@ups.com</t>
  </si>
  <si>
    <t>mazamoum@ups.com</t>
  </si>
  <si>
    <t>cazar@ups.com</t>
  </si>
  <si>
    <t>iazar@ups.com</t>
  </si>
  <si>
    <t>mazar@ups.com</t>
  </si>
  <si>
    <t>cazard@ups.com</t>
  </si>
  <si>
    <t>akristineelaine@ups.com</t>
  </si>
  <si>
    <t>azastatusrequest@ups.com</t>
  </si>
  <si>
    <t>razchangadanouseph@ups.com</t>
  </si>
  <si>
    <t>mazdejkovic@ups.com</t>
  </si>
  <si>
    <t>aazeem@ups.com</t>
  </si>
  <si>
    <t>sazeem@ups.com</t>
  </si>
  <si>
    <t>uazeem@ups.com</t>
  </si>
  <si>
    <t>kazeez@ups.com</t>
  </si>
  <si>
    <t>missyazen@ups.com</t>
  </si>
  <si>
    <t>jazera@ups.com</t>
  </si>
  <si>
    <t>bazevedo@ups.com</t>
  </si>
  <si>
    <t>cazevedo@ups.com</t>
  </si>
  <si>
    <t>joao-jorge.azevedo@europe.ups.com</t>
  </si>
  <si>
    <t>jazevedo@ups.com</t>
  </si>
  <si>
    <t>mazevedo@ups.com</t>
  </si>
  <si>
    <t>tazevedo@ups.com</t>
  </si>
  <si>
    <t>sazhahiyanambi@ups.com</t>
  </si>
  <si>
    <t>hazhuvalappil@ups.com</t>
  </si>
  <si>
    <t>noor.azianty@ups.com</t>
  </si>
  <si>
    <t>zazim@ups.com</t>
  </si>
  <si>
    <t>mazimi@ups.com</t>
  </si>
  <si>
    <t>azimmerman@oceprinting.com</t>
  </si>
  <si>
    <t>aziz.am@ups.com</t>
  </si>
  <si>
    <t>laziz@ups.com</t>
  </si>
  <si>
    <t>amdmahathir@ups.com</t>
  </si>
  <si>
    <t>maziz@ups.com</t>
  </si>
  <si>
    <t>richard.aziz@europe.ups.com</t>
  </si>
  <si>
    <t>shizaaziz@ups.com</t>
  </si>
  <si>
    <t>razizi@ups.com</t>
  </si>
  <si>
    <t>tazizler@ups.com</t>
  </si>
  <si>
    <t>azlanh@ups.com</t>
  </si>
  <si>
    <t>raznarez@ups.com</t>
  </si>
  <si>
    <t>JAzocar@livingstoninc.com</t>
  </si>
  <si>
    <t>aesfer@ups.com</t>
  </si>
  <si>
    <t>axena@ups.com</t>
  </si>
  <si>
    <t>FRA1AZR@europe.ups.com</t>
  </si>
  <si>
    <t>nazouz@ups.com</t>
  </si>
  <si>
    <t>azphodmp@ups.com</t>
  </si>
  <si>
    <t>mazukas@ups.com</t>
  </si>
  <si>
    <t>aayako@ups.com</t>
  </si>
  <si>
    <t>azumahiroyuki@ups.com</t>
  </si>
  <si>
    <t>asyuichi@ups.com</t>
  </si>
  <si>
    <t>iazurdia@ups.com</t>
  </si>
  <si>
    <t>QNM2BMN@ups.com</t>
  </si>
  <si>
    <t>azw10@ups.com</t>
  </si>
  <si>
    <t>bazza@ups.com</t>
  </si>
  <si>
    <t>vazzali@ups.com</t>
  </si>
  <si>
    <t>nazzolin@ups.com</t>
  </si>
  <si>
    <t>fazzopardi@ups.com</t>
  </si>
  <si>
    <t>bazzoug@ups.com</t>
  </si>
  <si>
    <t>bludina@ups.com</t>
  </si>
  <si>
    <t>bcountryman@balchem.com</t>
  </si>
  <si>
    <t>bmadhu@ups.com</t>
  </si>
  <si>
    <t>bmahadeva@ups.com</t>
  </si>
  <si>
    <t>sbn@ups.com</t>
  </si>
  <si>
    <t>nb@ups.com</t>
  </si>
  <si>
    <t>bsiegfried@dasinc.com</t>
  </si>
  <si>
    <t>bshivakumar@ups.com</t>
  </si>
  <si>
    <t>bvijayanandh@ups.com</t>
  </si>
  <si>
    <t>b1invbirkstock@ups.com</t>
  </si>
  <si>
    <t>b1invabbott@ups.com</t>
  </si>
  <si>
    <t>b1invamgen@ups.com</t>
  </si>
  <si>
    <t>b1invarris@ups.com</t>
  </si>
  <si>
    <t>b1invbsn@ups.com</t>
  </si>
  <si>
    <t>b1invcardiac@ups.com</t>
  </si>
  <si>
    <t>b1invconverse@ups.com</t>
  </si>
  <si>
    <t>b1invels@ups.com</t>
  </si>
  <si>
    <t>b1invesec@ups.com</t>
  </si>
  <si>
    <t>b1invgskc@ups.com</t>
  </si>
  <si>
    <t>b1invhawthorne@ups.com</t>
  </si>
  <si>
    <t>b1invmhc@ups.com</t>
  </si>
  <si>
    <t>b1invnchpt@ups.com</t>
  </si>
  <si>
    <t>b1invnnci@ups.com</t>
  </si>
  <si>
    <t>b1invnutricia@ups.com</t>
  </si>
  <si>
    <t>b1invsandoz@ups.com</t>
  </si>
  <si>
    <t>b1invsone@ups.com</t>
  </si>
  <si>
    <t>b1invsunph@ups.com</t>
  </si>
  <si>
    <t>b1invsysmex@ups.com</t>
  </si>
  <si>
    <t>b1invtaro@ups.com</t>
  </si>
  <si>
    <t>b1invtks@ups.com</t>
  </si>
  <si>
    <t>qpicb1@ups.com</t>
  </si>
  <si>
    <t>b1invgroup@ups.com</t>
  </si>
  <si>
    <t>gssc-b2b-team@external.cisco.com</t>
  </si>
  <si>
    <t>aba@ups.com</t>
  </si>
  <si>
    <t>jba@ashcity.com</t>
  </si>
  <si>
    <t>mba@ups.com</t>
  </si>
  <si>
    <t>bruiyuan@ups.com</t>
  </si>
  <si>
    <t>rbaad@ups.com</t>
  </si>
  <si>
    <t>bbaade@ups.com</t>
  </si>
  <si>
    <t>kbaalerud@ups.com</t>
  </si>
  <si>
    <t>adambaar@ups.com</t>
  </si>
  <si>
    <t>bbaar@ups.com</t>
  </si>
  <si>
    <t>mbaar@ups.com</t>
  </si>
  <si>
    <t>bbaarmann@ups.com</t>
  </si>
  <si>
    <t>cassandrabaas@ups.com</t>
  </si>
  <si>
    <t>fbaas@ups.com</t>
  </si>
  <si>
    <t>abaassteenhuis@ups.com</t>
  </si>
  <si>
    <t>bbabacan@ups.com</t>
  </si>
  <si>
    <t>valery.babaev@europe.ups.com</t>
  </si>
  <si>
    <t>sbabaic@ups.com</t>
  </si>
  <si>
    <t>nbabaitseva@ups.com</t>
  </si>
  <si>
    <t>mbabajide@ups.com</t>
  </si>
  <si>
    <t>obabalola@ups.com</t>
  </si>
  <si>
    <t>sbabanna@ups.com</t>
  </si>
  <si>
    <t>dbabar@ups.com</t>
  </si>
  <si>
    <t>ababascu@ups.com</t>
  </si>
  <si>
    <t>bbabashoff@ups.com</t>
  </si>
  <si>
    <t>kbabashoff@ups.com</t>
  </si>
  <si>
    <t>sherribabashoff@ups.com</t>
  </si>
  <si>
    <t>ebabatas@ups.com</t>
  </si>
  <si>
    <t>ebabativacardenas@ups.com</t>
  </si>
  <si>
    <t>vbabauta@ups.com</t>
  </si>
  <si>
    <t>ababb@ups.com</t>
  </si>
  <si>
    <t>dbabb@ups.com</t>
  </si>
  <si>
    <t>jbabb@ups.com</t>
  </si>
  <si>
    <t>tbabb@ups.com</t>
  </si>
  <si>
    <t>sbabbit@ups.com</t>
  </si>
  <si>
    <t>dbabbitt@ups.com</t>
  </si>
  <si>
    <t>jbabbittsjr@ups.com</t>
  </si>
  <si>
    <t>amybabcock@ups.com</t>
  </si>
  <si>
    <t>ababcock@ups.com</t>
  </si>
  <si>
    <t>cbabcock@ups.com</t>
  </si>
  <si>
    <t>jbabcock@ups.com</t>
  </si>
  <si>
    <t>janetbabcock@ups.com</t>
  </si>
  <si>
    <t>jasonbabcock@ups.com</t>
  </si>
  <si>
    <t>mbabcock@ups.com</t>
  </si>
  <si>
    <t>sbbabcock@ups.com</t>
  </si>
  <si>
    <t>sbabcock@ups.com</t>
  </si>
  <si>
    <t>tbabcock@ups.com</t>
  </si>
  <si>
    <t>timothybabcock@ups.com</t>
  </si>
  <si>
    <t>dbabczak@ups.com</t>
  </si>
  <si>
    <t>bbabczynski@ups.com</t>
  </si>
  <si>
    <t>ibabendererde@ups.com</t>
  </si>
  <si>
    <t>dbaber@ups.com</t>
  </si>
  <si>
    <t>lbaber@ups.com</t>
  </si>
  <si>
    <t>sbabia@ups.com</t>
  </si>
  <si>
    <t>tbabiak@ups.com</t>
  </si>
  <si>
    <t>bjoselito@ups.com</t>
  </si>
  <si>
    <t>carolbabiarz@ups.com</t>
  </si>
  <si>
    <t>babiarz.joyce@ups.com</t>
  </si>
  <si>
    <t>dbabic@ups.com</t>
  </si>
  <si>
    <t>zbabic@ups.com</t>
  </si>
  <si>
    <t>ababicz@ups.com</t>
  </si>
  <si>
    <t>brichardrobert@ups.com</t>
  </si>
  <si>
    <t>cbabin@ups.com</t>
  </si>
  <si>
    <t>daniel.babin@ups.com</t>
  </si>
  <si>
    <t>lbabin@ups.com</t>
  </si>
  <si>
    <t>sbabin@ups.com</t>
  </si>
  <si>
    <t>lxbabineau@ups.com</t>
  </si>
  <si>
    <t>kbabineaux@ups.com</t>
  </si>
  <si>
    <t>kristopherbabineaux@ups.com</t>
  </si>
  <si>
    <t>ababits@ups.com</t>
  </si>
  <si>
    <t>bbabjakgagnon@ups.com</t>
  </si>
  <si>
    <t>byvonnegwyneth@ups.com</t>
  </si>
  <si>
    <t>cbaboolal2@ups.com</t>
  </si>
  <si>
    <t>jbabor@ups.com</t>
  </si>
  <si>
    <t>sbabos@ups.com</t>
  </si>
  <si>
    <t>ababouchkina@ups.com</t>
  </si>
  <si>
    <t>bgautam@ups.com</t>
  </si>
  <si>
    <t>ababu@ups.com</t>
  </si>
  <si>
    <t>jagadeeshbabu@ups.com</t>
  </si>
  <si>
    <t>jasilbabu@ups.com</t>
  </si>
  <si>
    <t>babu.john@ups.com</t>
  </si>
  <si>
    <t>kbabu@ups.com</t>
  </si>
  <si>
    <t>kishorebabu@ups.com</t>
  </si>
  <si>
    <t>babukishore@ups.com</t>
  </si>
  <si>
    <t>monishababu@ups.com</t>
  </si>
  <si>
    <t>naheedababu@ups.com</t>
  </si>
  <si>
    <t>bnarendra@ups.com</t>
  </si>
  <si>
    <t>nbabu@ups.com</t>
  </si>
  <si>
    <t>upsomanasc@ups.com</t>
  </si>
  <si>
    <t>rbabu@ups.com</t>
  </si>
  <si>
    <t>sbabu@ups.com</t>
  </si>
  <si>
    <t>shebybabu@ups.com</t>
  </si>
  <si>
    <t>srimathibabu@ups.com</t>
  </si>
  <si>
    <t>tbabu@ups.com</t>
  </si>
  <si>
    <t>jbabula@ups.com</t>
  </si>
  <si>
    <t>hbabur@ups.com</t>
  </si>
  <si>
    <t>rbabwahsingh@ups.com</t>
  </si>
  <si>
    <t>accountspayable@babyjogger.com</t>
  </si>
  <si>
    <t>sbaby@ups.com</t>
  </si>
  <si>
    <t>sbabyak@ups.com</t>
  </si>
  <si>
    <t>dbabylon@ups.com</t>
  </si>
  <si>
    <t>hbabylon@ups.com</t>
  </si>
  <si>
    <t>amybaca@ups.com</t>
  </si>
  <si>
    <t>bbaca@ups.com</t>
  </si>
  <si>
    <t>dbaca@ups.com</t>
  </si>
  <si>
    <t>fbaca@ups.com</t>
  </si>
  <si>
    <t>jacobbaca@ups.com</t>
  </si>
  <si>
    <t>jamesbaca@ups.com</t>
  </si>
  <si>
    <t>jeraldbaca@ups.com</t>
  </si>
  <si>
    <t>jbaca@ups.com</t>
  </si>
  <si>
    <t>kbaca@ups.com</t>
  </si>
  <si>
    <t>mbaca@ups.com</t>
  </si>
  <si>
    <t>rbaca@ups.com</t>
  </si>
  <si>
    <t>sbaca@ups.com</t>
  </si>
  <si>
    <t>baljhon@ups.com</t>
  </si>
  <si>
    <t>lbacani@ups.com</t>
  </si>
  <si>
    <t>bmitzie@ups.com</t>
  </si>
  <si>
    <t>bryan@ups.com</t>
  </si>
  <si>
    <t>bdexterlloyd@ups.com</t>
  </si>
  <si>
    <t>bpatrickjason@ups.com</t>
  </si>
  <si>
    <t>bjohnangelo@ups.com</t>
  </si>
  <si>
    <t>stefano.bacchelli@ups.com</t>
  </si>
  <si>
    <t>pbacchi@ups.com</t>
  </si>
  <si>
    <t>morena.bacchiocchi@europe.ups.com</t>
  </si>
  <si>
    <t>tbacchus@ups.com</t>
  </si>
  <si>
    <t>baccoljeffrey@ups.com</t>
  </si>
  <si>
    <t>sbacerott@ups.com</t>
  </si>
  <si>
    <t>abacetti@ups.com</t>
  </si>
  <si>
    <t>vitalijabaceviciute@ups.com</t>
  </si>
  <si>
    <t>christoph.bach@europe.ups.com</t>
  </si>
  <si>
    <t>cbach@ups.com</t>
  </si>
  <si>
    <t>kbach@ups.com</t>
  </si>
  <si>
    <t>mjbach@ups.com</t>
  </si>
  <si>
    <t>nbach@ups.com</t>
  </si>
  <si>
    <t>sebastianbach@ups.com</t>
  </si>
  <si>
    <t>sbach@ups.com</t>
  </si>
  <si>
    <t>bmadhav@ups.com</t>
  </si>
  <si>
    <t>kbache@ups.com</t>
  </si>
  <si>
    <t>cbacheliermiller@ups.com</t>
  </si>
  <si>
    <t>hbachelin@ups.com</t>
  </si>
  <si>
    <t>jbacher@ups.com</t>
  </si>
  <si>
    <t>sbacher@ups.com</t>
  </si>
  <si>
    <t>lbachir@ups.com</t>
  </si>
  <si>
    <t>abachman@ups.com</t>
  </si>
  <si>
    <t>brendabachman@ups.com</t>
  </si>
  <si>
    <t>cbachman@ups.com</t>
  </si>
  <si>
    <t>jbachman@ups.com</t>
  </si>
  <si>
    <t>mbachman@parcelpro.com</t>
  </si>
  <si>
    <t>ybachman@ups.com</t>
  </si>
  <si>
    <t>cbachmann@ups.com</t>
  </si>
  <si>
    <t>dbachmann@ups.com</t>
  </si>
  <si>
    <t>kbachmann@ups.com</t>
  </si>
  <si>
    <t>hleebachmeier@ups.com</t>
  </si>
  <si>
    <t>bbachtel@ups.com</t>
  </si>
  <si>
    <t>bbachtelle@ups.com</t>
  </si>
  <si>
    <t>bbachwieben@ups.com</t>
  </si>
  <si>
    <t>pbacinsky@ups.com</t>
  </si>
  <si>
    <t>sabinabaciorchadrys@ups.com</t>
  </si>
  <si>
    <t>mbaciu@ups.com</t>
  </si>
  <si>
    <t>dback@ups.com</t>
  </si>
  <si>
    <t>hback@ups.com</t>
  </si>
  <si>
    <t>kback@ups.com</t>
  </si>
  <si>
    <t>bkyunghwa@ups.com</t>
  </si>
  <si>
    <t>mback@ups.com</t>
  </si>
  <si>
    <t>mikaelaback@ups.com</t>
  </si>
  <si>
    <t>backofficelacourneuve@ups.com</t>
  </si>
  <si>
    <t>gbacker@ups.com</t>
  </si>
  <si>
    <t>jbacker@ups.com</t>
  </si>
  <si>
    <t>kbacker@ups.com</t>
  </si>
  <si>
    <t>susan.v.backer@questintl.com</t>
  </si>
  <si>
    <t>mbackers@ups.com</t>
  </si>
  <si>
    <t>nbackgren@ups.com</t>
  </si>
  <si>
    <t>gbackhausen@ups.com</t>
  </si>
  <si>
    <t>jan.backhausen@europe.ups.com</t>
  </si>
  <si>
    <t>bbacking@ups.com</t>
  </si>
  <si>
    <t>rbacklas@ups.com</t>
  </si>
  <si>
    <t>backoffbrokch@ups.com</t>
  </si>
  <si>
    <t>boreklamacje@ups.com</t>
  </si>
  <si>
    <t>jbackstrom@ups.com</t>
  </si>
  <si>
    <t>backupmgr@mbe.com</t>
  </si>
  <si>
    <t>cbackus@ups.com</t>
  </si>
  <si>
    <t>mbackus@ups.com</t>
  </si>
  <si>
    <t>nbackus@ups.com</t>
  </si>
  <si>
    <t>sbackus@ups.com</t>
  </si>
  <si>
    <t>beugenejess@ups.com</t>
  </si>
  <si>
    <t>bacolinaodennis@ups.com</t>
  </si>
  <si>
    <t>bachilles@ups.com</t>
  </si>
  <si>
    <t>abacon@ups.com</t>
  </si>
  <si>
    <t>bbacon@ups.com</t>
  </si>
  <si>
    <t>debacon@ups.com</t>
  </si>
  <si>
    <t>ebacon@ups.com</t>
  </si>
  <si>
    <t>kbacon@ups.com</t>
  </si>
  <si>
    <t>spencerbacon@ups.com</t>
  </si>
  <si>
    <t>twbacon@ups.com</t>
  </si>
  <si>
    <t>bkatekyla@ups.com</t>
  </si>
  <si>
    <t>bronalyn@ups.com</t>
  </si>
  <si>
    <t>cbacque@ups.com</t>
  </si>
  <si>
    <t>bmaryann@ups.com</t>
  </si>
  <si>
    <t>bmaynard@ups.com</t>
  </si>
  <si>
    <t>cbaculy@ups.com</t>
  </si>
  <si>
    <t>bjoedabeda@ups.com</t>
  </si>
  <si>
    <t>tbacungan@ups.com</t>
  </si>
  <si>
    <t>kbaczek@ups.com</t>
  </si>
  <si>
    <t>kbaczonyi@ups.com</t>
  </si>
  <si>
    <t>bbaczynski@ups.com</t>
  </si>
  <si>
    <t>abada@ups.com</t>
  </si>
  <si>
    <t>ybada@ups.com</t>
  </si>
  <si>
    <t>bvaishali@ups.com</t>
  </si>
  <si>
    <t>jbadalato@ups.com</t>
  </si>
  <si>
    <t>rbadasha@ups.com</t>
  </si>
  <si>
    <t>mbaddam@ups.com</t>
  </si>
  <si>
    <t>rbaddeley@ups.com</t>
  </si>
  <si>
    <t>kbade@ups.com</t>
  </si>
  <si>
    <t>abadea@ups.com</t>
  </si>
  <si>
    <t>tbadea@ups.com</t>
  </si>
  <si>
    <t>bmanisha@ups.com</t>
  </si>
  <si>
    <t>jbaden@ups.com</t>
  </si>
  <si>
    <t>berjones@ups.com</t>
  </si>
  <si>
    <t>achim.bader@europe.ups.com</t>
  </si>
  <si>
    <t>claudiabader@ups.com</t>
  </si>
  <si>
    <t>dbader@ups.com</t>
  </si>
  <si>
    <t>lbader@ups.com</t>
  </si>
  <si>
    <t>bbadger@ups.com</t>
  </si>
  <si>
    <t>tonybadger@ups.com</t>
  </si>
  <si>
    <t>ebadgett@ups.com</t>
  </si>
  <si>
    <t>ericbadgett@ups.com</t>
  </si>
  <si>
    <t>jbadgett@ups.com</t>
  </si>
  <si>
    <t>vbadgett@ups.com</t>
  </si>
  <si>
    <t>ibadgley@ups.com</t>
  </si>
  <si>
    <t>jbadgley@ups.com</t>
  </si>
  <si>
    <t>abadgujar@ups.com</t>
  </si>
  <si>
    <t>bpankaj@ups.com</t>
  </si>
  <si>
    <t>bsuraj@ups.com</t>
  </si>
  <si>
    <t>pbadheka@ups.com</t>
  </si>
  <si>
    <t>gbadia@ups.com</t>
  </si>
  <si>
    <t>vbadia@ups.com</t>
  </si>
  <si>
    <t>javier.badias@europe.ups.com</t>
  </si>
  <si>
    <t>jbadics@ups.com</t>
  </si>
  <si>
    <t>abadilla@ups.com</t>
  </si>
  <si>
    <t>ebadilla@ups.com</t>
  </si>
  <si>
    <t>lbadilla@ups.com</t>
  </si>
  <si>
    <t>gbadillo@ups.com</t>
  </si>
  <si>
    <t>jbadillo@ups.com</t>
  </si>
  <si>
    <t>lbadillo@ups.com</t>
  </si>
  <si>
    <t>rbadillo@ups.com</t>
  </si>
  <si>
    <t>tbadillo@ups.com</t>
  </si>
  <si>
    <t>wbadinger@ups.com</t>
  </si>
  <si>
    <t>dbadlani@ups.com</t>
  </si>
  <si>
    <t>hbadloon@ups.com</t>
  </si>
  <si>
    <t>bprajakta@ups.com</t>
  </si>
  <si>
    <t>tbadocha@ups.com</t>
  </si>
  <si>
    <t>QYM1JCM@ups.com</t>
  </si>
  <si>
    <t>jbadolato@ups.com</t>
  </si>
  <si>
    <t>gbadon@ups.com</t>
  </si>
  <si>
    <t>bglenn@ups.com</t>
  </si>
  <si>
    <t>nbadouan@ups.com</t>
  </si>
  <si>
    <t>vbadrajan@ups.com</t>
  </si>
  <si>
    <t>abadrikian@ups.com</t>
  </si>
  <si>
    <t>bevelyn@ups.com</t>
  </si>
  <si>
    <t>bbinwahid@ups.com</t>
  </si>
  <si>
    <t>abadtke@ups.com</t>
  </si>
  <si>
    <t>audreybaduel@ups.com</t>
  </si>
  <si>
    <t>vbaduell@ups.com</t>
  </si>
  <si>
    <t>sbadugu@ups.com</t>
  </si>
  <si>
    <t>ebadulis@ups.com</t>
  </si>
  <si>
    <t>jbadur@ups.com</t>
  </si>
  <si>
    <t>jbaduria@ups.com</t>
  </si>
  <si>
    <t>amarbadyal@ups.com</t>
  </si>
  <si>
    <t>rugi.badyal@ups.com</t>
  </si>
  <si>
    <t>mbadziak@ups.com</t>
  </si>
  <si>
    <t>dbadzinski@ups.com</t>
  </si>
  <si>
    <t>bbae@ups.com</t>
  </si>
  <si>
    <t>bjaeho@ups.com</t>
  </si>
  <si>
    <t>mbae@ups.com</t>
  </si>
  <si>
    <t>bsanghee@ups.com</t>
  </si>
  <si>
    <t>pbaecke@ups.com</t>
  </si>
  <si>
    <t>ludo.baeckelandt@ups.com</t>
  </si>
  <si>
    <t>georg.baecker@europe.ups.com</t>
  </si>
  <si>
    <t>klaus.baecker@europe.ups.com</t>
  </si>
  <si>
    <t>andreas.baehre@europe.ups.com</t>
  </si>
  <si>
    <t>simone.baehren@europe.ups.com</t>
  </si>
  <si>
    <t>bandy@ups.com</t>
  </si>
  <si>
    <t>bheechun@ups.com</t>
  </si>
  <si>
    <t>bjangmi@ups.com</t>
  </si>
  <si>
    <t>ebaena@ups.com</t>
  </si>
  <si>
    <t>sbaenamunera@ups.com</t>
  </si>
  <si>
    <t>alexbaer@ups.com</t>
  </si>
  <si>
    <t>jbaer@ups.com</t>
  </si>
  <si>
    <t>mbaer@ups.com</t>
  </si>
  <si>
    <t>mebaer@ups.com</t>
  </si>
  <si>
    <t>sbaer@ups.com</t>
  </si>
  <si>
    <t>tbaer@ups.com</t>
  </si>
  <si>
    <t>abaerga@ups.com</t>
  </si>
  <si>
    <t>karibaerny@ups.com</t>
  </si>
  <si>
    <t>dbaerwald@ups.com</t>
  </si>
  <si>
    <t>ibaes@ups.com</t>
  </si>
  <si>
    <t>mbaesso@ups.com</t>
  </si>
  <si>
    <t>jbaet@ups.com</t>
  </si>
  <si>
    <t>pbaete@ups.com</t>
  </si>
  <si>
    <t>sbaeumer@ups.com</t>
  </si>
  <si>
    <t>ubaeumker@ups.com</t>
  </si>
  <si>
    <t>cbaez1@ups.com</t>
  </si>
  <si>
    <t>carlosbaez@ups.com</t>
  </si>
  <si>
    <t>cristinabaez@ups.com</t>
  </si>
  <si>
    <t>dbaez@ups.com</t>
  </si>
  <si>
    <t>ibaez@ups.com</t>
  </si>
  <si>
    <t>josebaez@ups.com</t>
  </si>
  <si>
    <t>markbaez@ups.com</t>
  </si>
  <si>
    <t>michealbaez@ups.com</t>
  </si>
  <si>
    <t>mbaez@ups.com</t>
  </si>
  <si>
    <t>rbaez@ups.com</t>
  </si>
  <si>
    <t>wbaez@ups.com</t>
  </si>
  <si>
    <t>jbaeza@ups.com</t>
  </si>
  <si>
    <t>ruth.baeza@europe.ups.com</t>
  </si>
  <si>
    <t>sbaffa@ups.com</t>
  </si>
  <si>
    <t>sbafford@ups.com</t>
  </si>
  <si>
    <t>mbaffour@ups.com</t>
  </si>
  <si>
    <t>jbafia@ups.com</t>
  </si>
  <si>
    <t>blata@ups.com</t>
  </si>
  <si>
    <t>abaftiroski@ups.com</t>
  </si>
  <si>
    <t>bagadchetan@ups.com</t>
  </si>
  <si>
    <t>baditi@ups.com</t>
  </si>
  <si>
    <t>bsayali@ups.com</t>
  </si>
  <si>
    <t>lbagadi@ups.com</t>
  </si>
  <si>
    <t>bjolanchris@ups.com</t>
  </si>
  <si>
    <t>bdomiejhel@ups.com</t>
  </si>
  <si>
    <t>tbagar@ups.com</t>
  </si>
  <si>
    <t>rbagarinojr@ups.com</t>
  </si>
  <si>
    <t>hbagatur@ups.com</t>
  </si>
  <si>
    <t>bjoy@ups.com</t>
  </si>
  <si>
    <t>pbagayella@ups.com</t>
  </si>
  <si>
    <t>lbagby@ups.com</t>
  </si>
  <si>
    <t>sbagchi@ups.com</t>
  </si>
  <si>
    <t>zehrabagci@ups.com</t>
  </si>
  <si>
    <t>sbagde@ups.com</t>
  </si>
  <si>
    <t>jbager@ups.com</t>
  </si>
  <si>
    <t>dbagg@ups.com</t>
  </si>
  <si>
    <t>abaggett@ups.com</t>
  </si>
  <si>
    <t>dbaggett@ups.com</t>
  </si>
  <si>
    <t>ebaggett@ups.com</t>
  </si>
  <si>
    <t>foad.baghaei@ups.com</t>
  </si>
  <si>
    <t>bswati@ups.com</t>
  </si>
  <si>
    <t>bbagheri@ups.com</t>
  </si>
  <si>
    <t>abaghestanian@ups.com</t>
  </si>
  <si>
    <t>mbaghni@ups.com</t>
  </si>
  <si>
    <t>kbaginski@ups.com</t>
  </si>
  <si>
    <t>tbaginski@ups.com</t>
  </si>
  <si>
    <t>bbagley@ups.com</t>
  </si>
  <si>
    <t>roccobagley@ups.com</t>
  </si>
  <si>
    <t>tbagley@ups.com</t>
  </si>
  <si>
    <t>dbagnall@ups.com</t>
  </si>
  <si>
    <t>mbagnall@ups.com</t>
  </si>
  <si>
    <t>pbagnall@ups.com</t>
  </si>
  <si>
    <t>zbagnall@ups.com</t>
  </si>
  <si>
    <t>obagnas@ups.com</t>
  </si>
  <si>
    <t>mariabagner@ups.com</t>
  </si>
  <si>
    <t>bremiejoy@ups.com</t>
  </si>
  <si>
    <t>rbagni@ups.com</t>
  </si>
  <si>
    <t>matthewbagnoli@ups.com</t>
  </si>
  <si>
    <t>gbagnost@ups.com</t>
  </si>
  <si>
    <t>irinabagnovskaya@ups.com</t>
  </si>
  <si>
    <t>bmacecilia@ups.com</t>
  </si>
  <si>
    <t>bjosephine@ups.com</t>
  </si>
  <si>
    <t>bagorioangelica@ups.com</t>
  </si>
  <si>
    <t>sbagozzi@ups.com</t>
  </si>
  <si>
    <t>blea@ups.com</t>
  </si>
  <si>
    <t>blowellito@ups.com</t>
  </si>
  <si>
    <t>bagus@combilogistics.co.id</t>
  </si>
  <si>
    <t>bjunaid@ups.com</t>
  </si>
  <si>
    <t>sbagwan@ups.com</t>
  </si>
  <si>
    <t>bvasudev@ups.com</t>
  </si>
  <si>
    <t>gbagwell@ups.com</t>
  </si>
  <si>
    <t>gregorybagwell@ups.com</t>
  </si>
  <si>
    <t>mbagwell@ups.com</t>
  </si>
  <si>
    <t>nbagwell@ups.com</t>
  </si>
  <si>
    <t>abah@ups.com</t>
  </si>
  <si>
    <t>bahcs@ups.com</t>
  </si>
  <si>
    <t>bahcustservice@ups.com</t>
  </si>
  <si>
    <t>jbah@ups.com</t>
  </si>
  <si>
    <t>mbah@ups.com</t>
  </si>
  <si>
    <t>ouratoubah@ups.com</t>
  </si>
  <si>
    <t>tanyabah@ups.com</t>
  </si>
  <si>
    <t>tbah@ups.com</t>
  </si>
  <si>
    <t>ybah@ups.com</t>
  </si>
  <si>
    <t>obahadir@ups.com</t>
  </si>
  <si>
    <t>sbahadur@ups.com</t>
  </si>
  <si>
    <t>jbaham@ups.com</t>
  </si>
  <si>
    <t>jbahan@ups.com</t>
  </si>
  <si>
    <t>pbahar@ups.com</t>
  </si>
  <si>
    <t>sbahar@ups.com</t>
  </si>
  <si>
    <t>sbaharmand@ups.com</t>
  </si>
  <si>
    <t>ebahbut@ups.com</t>
  </si>
  <si>
    <t>sbahca@ups.com</t>
  </si>
  <si>
    <t>cbahena@ups.com</t>
  </si>
  <si>
    <t>ebahena@ups.com</t>
  </si>
  <si>
    <t>fbahena@ups.com</t>
  </si>
  <si>
    <t>mbahena@ups.com</t>
  </si>
  <si>
    <t>obahena@ups.com</t>
  </si>
  <si>
    <t>abahenaluna@ups.com</t>
  </si>
  <si>
    <t>bjayesh@ups.com</t>
  </si>
  <si>
    <t>bahetipriyanka@ups.com</t>
  </si>
  <si>
    <t>nbahic@ups.com</t>
  </si>
  <si>
    <t>barti@ups.com</t>
  </si>
  <si>
    <t>Ybahk@livingstoninc.com</t>
  </si>
  <si>
    <t>lbahler@ups.com</t>
  </si>
  <si>
    <t>sbahler@ups.com</t>
  </si>
  <si>
    <t>rbahlke@ups.com</t>
  </si>
  <si>
    <t>jbahloul@ups.com</t>
  </si>
  <si>
    <t>bbahn@ups.com</t>
  </si>
  <si>
    <t>sbahn@ups.com</t>
  </si>
  <si>
    <t>lbahncarpenter@ups.com</t>
  </si>
  <si>
    <t>cbahnsen@ups.com</t>
  </si>
  <si>
    <t>kbahnsen@ups.com</t>
  </si>
  <si>
    <t>abahonjic@ups.com</t>
  </si>
  <si>
    <t>mbahor@ups.com</t>
  </si>
  <si>
    <t>mersadbahor@ups.com</t>
  </si>
  <si>
    <t>mbahova@ups.com</t>
  </si>
  <si>
    <t>cbahr@ups.com</t>
  </si>
  <si>
    <t>dbahr@ups.com</t>
  </si>
  <si>
    <t>bhcrcontrol@ups.com</t>
  </si>
  <si>
    <t>bhcustsvc@ups.com</t>
  </si>
  <si>
    <t>dbahrami@ups.com</t>
  </si>
  <si>
    <t>mbahri@ups.com</t>
  </si>
  <si>
    <t>bettybai@ups.com</t>
  </si>
  <si>
    <t>bbetty@ups.com</t>
  </si>
  <si>
    <t>bcrystal@ups.com</t>
  </si>
  <si>
    <t>blihong@ups.com</t>
  </si>
  <si>
    <t>bqingmei@ups.com</t>
  </si>
  <si>
    <t>tbai@ups.com</t>
  </si>
  <si>
    <t>btony@ups.com</t>
  </si>
  <si>
    <t>byue@ups.com</t>
  </si>
  <si>
    <t>ybai@ups.com</t>
  </si>
  <si>
    <t>lbaides@ups.com</t>
  </si>
  <si>
    <t>bmaryrochelle@ups.com</t>
  </si>
  <si>
    <t>abaidya@ups.com</t>
  </si>
  <si>
    <t>bnirmala@ups.com</t>
  </si>
  <si>
    <t>johannes.baier@europe.ups.com</t>
  </si>
  <si>
    <t>abaig@ups.com</t>
  </si>
  <si>
    <t>fbaigjr@ups.com</t>
  </si>
  <si>
    <t>kamranbaig@ups.com</t>
  </si>
  <si>
    <t>sbaig@ups.com</t>
  </si>
  <si>
    <t>vbaig@ups.com</t>
  </si>
  <si>
    <t>bnityanand@ups.com</t>
  </si>
  <si>
    <t>RB@ORIENTORIGINALS.COM</t>
  </si>
  <si>
    <t>jbaik@ups.com</t>
  </si>
  <si>
    <t>kbaik@ups.com</t>
  </si>
  <si>
    <t>mbailes@ups.com</t>
  </si>
  <si>
    <t>aaronbailey@ups.com</t>
  </si>
  <si>
    <t>aabailey@ups.com</t>
  </si>
  <si>
    <t>amrinbailey@ups.com</t>
  </si>
  <si>
    <t>adbailey@ups.com</t>
  </si>
  <si>
    <t>abailey@ups.com</t>
  </si>
  <si>
    <t>andrewbailey@ups.com</t>
  </si>
  <si>
    <t>angiebailey@ups.com</t>
  </si>
  <si>
    <t>arianabailey@ups.com</t>
  </si>
  <si>
    <t>brantbailey@ups.com</t>
  </si>
  <si>
    <t>brettbailey@ups.com</t>
  </si>
  <si>
    <t>bbailey1@ups.com</t>
  </si>
  <si>
    <t>bbailey3@ups.com</t>
  </si>
  <si>
    <t>bbailey2@ups.com</t>
  </si>
  <si>
    <t>bbailey@ups.com</t>
  </si>
  <si>
    <t>brianbailey@ups.com</t>
  </si>
  <si>
    <t>bryanbailey@ups.com</t>
  </si>
  <si>
    <t>carolinebailey@ups.com</t>
  </si>
  <si>
    <t>cedrickbailey@ups.com</t>
  </si>
  <si>
    <t>cbailey@ups.com</t>
  </si>
  <si>
    <t>chelseabailey@ups.com</t>
  </si>
  <si>
    <t>christopherbailey@ups.com</t>
  </si>
  <si>
    <t>cbailey1@ups.com</t>
  </si>
  <si>
    <t>colinbailey@ups.com</t>
  </si>
  <si>
    <t>corinnabailey@ups.com</t>
  </si>
  <si>
    <t>craigbailey@ups.com</t>
  </si>
  <si>
    <t>damionbailey@ups.com</t>
  </si>
  <si>
    <t>dbailey@ups.com</t>
  </si>
  <si>
    <t>davidbailey@ups.com</t>
  </si>
  <si>
    <t>dawnebailey@ups.com</t>
  </si>
  <si>
    <t>bailey.donald@ups.com</t>
  </si>
  <si>
    <t>donaldbailey@ups.com</t>
  </si>
  <si>
    <t>dbbailey@ups.com</t>
  </si>
  <si>
    <t>duanebailey@ups.com</t>
  </si>
  <si>
    <t>ebailey@ups.com</t>
  </si>
  <si>
    <t>hunterbailey@ups.com</t>
  </si>
  <si>
    <t>jadorebailey@ups.com</t>
  </si>
  <si>
    <t>jhbailey@ups.com</t>
  </si>
  <si>
    <t>jaymebailey@ups.com</t>
  </si>
  <si>
    <t>jbbailey@ups.com</t>
  </si>
  <si>
    <t>jbailey4@ups.com</t>
  </si>
  <si>
    <t>jbailey5@ups.com</t>
  </si>
  <si>
    <t>josephbailey@ups.com</t>
  </si>
  <si>
    <t>jbailey1@ups.com</t>
  </si>
  <si>
    <t>ebaileyjr@ups.com</t>
  </si>
  <si>
    <t>rbaileyjr@ups.com</t>
  </si>
  <si>
    <t>jbailey2@ups.com</t>
  </si>
  <si>
    <t>jbailey3@ups.com</t>
  </si>
  <si>
    <t>justinbailey@ups.com</t>
  </si>
  <si>
    <t>kaitlynbailey@ups.com</t>
  </si>
  <si>
    <t>kalibailey@ups.com</t>
  </si>
  <si>
    <t>karissabailey@upsstore.com</t>
  </si>
  <si>
    <t>kayshawnbailey@ups.com</t>
  </si>
  <si>
    <t>kxbailey@ups.com</t>
  </si>
  <si>
    <t>ksbailey@ups.com</t>
  </si>
  <si>
    <t>klbailey@ups.com</t>
  </si>
  <si>
    <t>kbailey@ups.com</t>
  </si>
  <si>
    <t>kimberlybailey@ups.com</t>
  </si>
  <si>
    <t>kbailey1@ups.com</t>
  </si>
  <si>
    <t>lindabailey@ups.com</t>
  </si>
  <si>
    <t>lisabailey@ups.com</t>
  </si>
  <si>
    <t>lbailey@ups.com</t>
  </si>
  <si>
    <t>loribailey@ups.com</t>
  </si>
  <si>
    <t>malikbailey@ups.com</t>
  </si>
  <si>
    <t>marciebailey@ups.com</t>
  </si>
  <si>
    <t>marcusbailey@ups.com</t>
  </si>
  <si>
    <t>markbailey@ups.com</t>
  </si>
  <si>
    <t>matthewbailey@ups.com</t>
  </si>
  <si>
    <t>mbailey1@ups.com</t>
  </si>
  <si>
    <t>meganbailey@ups.com</t>
  </si>
  <si>
    <t>melissabailey@ups.com</t>
  </si>
  <si>
    <t>mbailey@ups.com</t>
  </si>
  <si>
    <t>mlbailey@ups.com</t>
  </si>
  <si>
    <t>nancybailey@ups.com</t>
  </si>
  <si>
    <t>pbailey@ups.com</t>
  </si>
  <si>
    <t>racquelbailey@ups.com</t>
  </si>
  <si>
    <t>rbailey@ups.com</t>
  </si>
  <si>
    <t>rwbailey@ups.com</t>
  </si>
  <si>
    <t>rjbailey@ups.com</t>
  </si>
  <si>
    <t>ruthbailey@ups.com</t>
  </si>
  <si>
    <t>shawncbailey@ups.com</t>
  </si>
  <si>
    <t>smbailey@ups.com</t>
  </si>
  <si>
    <t>stevenbailey@ups.com</t>
  </si>
  <si>
    <t>tlbailey@ups.com</t>
  </si>
  <si>
    <t>tameraannbailey@ups.com</t>
  </si>
  <si>
    <t>tammybailey@ups.com</t>
  </si>
  <si>
    <t>tbailey1@ups.com</t>
  </si>
  <si>
    <t>tbailey@ups.com</t>
  </si>
  <si>
    <t>cbaileytaylor@ups.com</t>
  </si>
  <si>
    <t>terraylbailey@ups.com</t>
  </si>
  <si>
    <t>terryannbailey@ups.com</t>
  </si>
  <si>
    <t>thomasbailey@ups.com</t>
  </si>
  <si>
    <t>tinabailey@ups.com</t>
  </si>
  <si>
    <t>toddbailey@ups.com</t>
  </si>
  <si>
    <t>twbailey@ups.com</t>
  </si>
  <si>
    <t>tykeishabailey@ups.com</t>
  </si>
  <si>
    <t>wbailey@ups.com</t>
  </si>
  <si>
    <t>lbaileyomboy@ups.com</t>
  </si>
  <si>
    <t>cbaillargeon@ups.com</t>
  </si>
  <si>
    <t>jaredbaillargeon@ups.com</t>
  </si>
  <si>
    <t>fabricebaillet@ups.com</t>
  </si>
  <si>
    <t>brigitte.bailly@ups.com</t>
  </si>
  <si>
    <t>lbailon@ups.com</t>
  </si>
  <si>
    <t>pbailon@ups.com</t>
  </si>
  <si>
    <t>abain@ups.com</t>
  </si>
  <si>
    <t>bbain@ups.com</t>
  </si>
  <si>
    <t>jamesbain@ups.com</t>
  </si>
  <si>
    <t>jessicabain@ups.com</t>
  </si>
  <si>
    <t>pbain@ups.com</t>
  </si>
  <si>
    <t>wbain@ups.com</t>
  </si>
  <si>
    <t>kbainer@ups.com</t>
  </si>
  <si>
    <t>gbaines@ups.com</t>
  </si>
  <si>
    <t>nbaines@ups.com</t>
  </si>
  <si>
    <t>sbaines@ups.com</t>
  </si>
  <si>
    <t>kbaingan@ups.com</t>
  </si>
  <si>
    <t>anitabains@ups.com</t>
  </si>
  <si>
    <t>harbansbains@ups.com</t>
  </si>
  <si>
    <t>hbains@ups.com</t>
  </si>
  <si>
    <t>mbains@ups.com</t>
  </si>
  <si>
    <t>nbains@ups.com</t>
  </si>
  <si>
    <t>roselinbains@ups.com</t>
  </si>
  <si>
    <t>rbains@ups.com</t>
  </si>
  <si>
    <t>rubybains@ups.com</t>
  </si>
  <si>
    <t>tbains@ups.com</t>
  </si>
  <si>
    <t>dbaiocchi@ups.com</t>
  </si>
  <si>
    <t>sbaione@ups.com</t>
  </si>
  <si>
    <t>abaird@ups.com</t>
  </si>
  <si>
    <t>bbaird@ups.com</t>
  </si>
  <si>
    <t>bryan.baird@ups.com</t>
  </si>
  <si>
    <t>kellybaird@ups.com</t>
  </si>
  <si>
    <t>sbaird@ups.com</t>
  </si>
  <si>
    <t>sashabaird@ups.com</t>
  </si>
  <si>
    <t>rwbaisch@ups.com</t>
  </si>
  <si>
    <t>tbaisch@ups.com</t>
  </si>
  <si>
    <t>abaisden@ups.com</t>
  </si>
  <si>
    <t>cbaisden@ups.com</t>
  </si>
  <si>
    <t>janessabaisden@ups.com</t>
  </si>
  <si>
    <t>jbaisden@ups.com</t>
  </si>
  <si>
    <t>kbaisden@ups.com</t>
  </si>
  <si>
    <t>shannonbaisden@ups.com</t>
  </si>
  <si>
    <t>tbaisden@ups.com</t>
  </si>
  <si>
    <t>wbaisden@ups.com</t>
  </si>
  <si>
    <t>ebaisie@ups.com</t>
  </si>
  <si>
    <t>gbaisley@ups.com</t>
  </si>
  <si>
    <t>bindrajit@ups.com</t>
  </si>
  <si>
    <t>bbaizas@ups.com</t>
  </si>
  <si>
    <t>bbaize@ups.com</t>
  </si>
  <si>
    <t>mbaize@ups.com</t>
  </si>
  <si>
    <t>nbaize@ups.com</t>
  </si>
  <si>
    <t>gbaja@ups.com</t>
  </si>
  <si>
    <t>bhitesh@ups.com</t>
  </si>
  <si>
    <t>mbajak@ups.com</t>
  </si>
  <si>
    <t>sbajaria@ups.com</t>
  </si>
  <si>
    <t>afshin.bajat-sarmadi@europe.ups.com</t>
  </si>
  <si>
    <t>tbajek@ups.com</t>
  </si>
  <si>
    <t>bajentingmaryann@ups.com</t>
  </si>
  <si>
    <t>sbajerska@ups.com</t>
  </si>
  <si>
    <t>bajetmaryann@ups.com</t>
  </si>
  <si>
    <t>sbajic@ups.com</t>
  </si>
  <si>
    <t>vbajic@ups.com</t>
  </si>
  <si>
    <t>cbajnauth@ups.com</t>
  </si>
  <si>
    <t>ebajo@ups.com</t>
  </si>
  <si>
    <t>abajollari@ups.com</t>
  </si>
  <si>
    <t>abajpai@ups.com</t>
  </si>
  <si>
    <t>bbajra@ups.com</t>
  </si>
  <si>
    <t>mbajracharya@ups.com</t>
  </si>
  <si>
    <t>ebajraktarevic@ups.com</t>
  </si>
  <si>
    <t>lbajrami@ups.com</t>
  </si>
  <si>
    <t>ebajramovic@ups.com</t>
  </si>
  <si>
    <t>sbajramovic@ups.com</t>
  </si>
  <si>
    <t>abajtek@ups.com</t>
  </si>
  <si>
    <t>abajus@ups.com</t>
  </si>
  <si>
    <t>jamshedbajwa@ups.com</t>
  </si>
  <si>
    <t>jbajwa@ups.com</t>
  </si>
  <si>
    <t>abak@ups.com</t>
  </si>
  <si>
    <t>ibakalov@ups.com</t>
  </si>
  <si>
    <t>hbakan@ups.com</t>
  </si>
  <si>
    <t>babu@ups.com</t>
  </si>
  <si>
    <t>obakar@ups.com</t>
  </si>
  <si>
    <t>rbakari@ups.com</t>
  </si>
  <si>
    <t>kbakaysa@ups.com</t>
  </si>
  <si>
    <t>axbaker@ups.com</t>
  </si>
  <si>
    <t>adambaker@ups.com</t>
  </si>
  <si>
    <t>aislinnbaker@ups.com</t>
  </si>
  <si>
    <t>aiyannabaker@ups.com</t>
  </si>
  <si>
    <t>alexisbaker@ups.com</t>
  </si>
  <si>
    <t>alibaker@ups.com</t>
  </si>
  <si>
    <t>allisonbaker@ups.com</t>
  </si>
  <si>
    <t>amybaker@ups.com</t>
  </si>
  <si>
    <t>andrewbaker@ups.com</t>
  </si>
  <si>
    <t>angelabaker@ups.com</t>
  </si>
  <si>
    <t>abaker@ups.com</t>
  </si>
  <si>
    <t>ambaker@ups.com</t>
  </si>
  <si>
    <t>UKG8AXB@europe.ups.com</t>
  </si>
  <si>
    <t>abaker1@ups.com</t>
  </si>
  <si>
    <t>ashleybaker@ups.com</t>
  </si>
  <si>
    <t>aubreybaker@ups.com</t>
  </si>
  <si>
    <t>bbaker@ups.com</t>
  </si>
  <si>
    <t>bbaker1@ups.com</t>
  </si>
  <si>
    <t>bsbaker@ups.com</t>
  </si>
  <si>
    <t>brentbaker@ups.com</t>
  </si>
  <si>
    <t>brettbaker@ups.com</t>
  </si>
  <si>
    <t>brianbaker@ups.com</t>
  </si>
  <si>
    <t>briannabaker@ups.com</t>
  </si>
  <si>
    <t>bbaker4@ups.com</t>
  </si>
  <si>
    <t>brittanybaker@ups.com</t>
  </si>
  <si>
    <t>bryanbaker@ups.com</t>
  </si>
  <si>
    <t>bbaker3@ups.com</t>
  </si>
  <si>
    <t>bbaker2@ups.com</t>
  </si>
  <si>
    <t>camibaker@ups.com</t>
  </si>
  <si>
    <t>candacebaker@ups.com</t>
  </si>
  <si>
    <t>catherinebaker@ups.com</t>
  </si>
  <si>
    <t>cbaker3@ups.com</t>
  </si>
  <si>
    <t>cbaker5@ups.com</t>
  </si>
  <si>
    <t>chadbaker@ups.com</t>
  </si>
  <si>
    <t>cbaker2@ups.com</t>
  </si>
  <si>
    <t>charissabaker@ups.com</t>
  </si>
  <si>
    <t>bakercharles@ups.com</t>
  </si>
  <si>
    <t>christina.baker@ups.com</t>
  </si>
  <si>
    <t>christinebaker@ups.com</t>
  </si>
  <si>
    <t>cbaker@ups.com</t>
  </si>
  <si>
    <t>christopherbaker@ups.com</t>
  </si>
  <si>
    <t>cbaker4@ups.com</t>
  </si>
  <si>
    <t>cierabaker@ups.com</t>
  </si>
  <si>
    <t>ckbaker@ups.com</t>
  </si>
  <si>
    <t>clarencebaker@ups.com</t>
  </si>
  <si>
    <t>cliftonbaker@ups.com</t>
  </si>
  <si>
    <t>clyntonbaker@ups.com</t>
  </si>
  <si>
    <t>cbaker1@ups.com</t>
  </si>
  <si>
    <t>dhbaker@ups.com</t>
  </si>
  <si>
    <t>darneebaker@ups.com</t>
  </si>
  <si>
    <t>darrellbaker@ups.com</t>
  </si>
  <si>
    <t>dbaker1@ups.com</t>
  </si>
  <si>
    <t>dbaker2@ups.com</t>
  </si>
  <si>
    <t>davidbaker@ups.com</t>
  </si>
  <si>
    <t>deanegellobaker@ups.com</t>
  </si>
  <si>
    <t>devinbaker@ups.com</t>
  </si>
  <si>
    <t>dewaynebaker@ups.com</t>
  </si>
  <si>
    <t>dewittbaker@ups.com</t>
  </si>
  <si>
    <t>d.baker@ups.com</t>
  </si>
  <si>
    <t>douglasbaker@ups.com</t>
  </si>
  <si>
    <t>earlbaker@ups.com</t>
  </si>
  <si>
    <t>ebaker@ups.com</t>
  </si>
  <si>
    <t>ejbaker@ups.com</t>
  </si>
  <si>
    <t>fbaker@ups.com</t>
  </si>
  <si>
    <t>garybaker@ups.com</t>
  </si>
  <si>
    <t>gtbaker@ups.com</t>
  </si>
  <si>
    <t>gbaker@ups.com</t>
  </si>
  <si>
    <t>bakergrace@ups.com</t>
  </si>
  <si>
    <t>grazynabaker@ups.com</t>
  </si>
  <si>
    <t>gqbaker@ups.com</t>
  </si>
  <si>
    <t>gbaker1@ups.com</t>
  </si>
  <si>
    <t>gregorybaker@ups.com</t>
  </si>
  <si>
    <t>hannahbaker@ups.com</t>
  </si>
  <si>
    <t>hbaker1@ups.com</t>
  </si>
  <si>
    <t>ebakerii@ups.com</t>
  </si>
  <si>
    <t>hbakerii@ups.com</t>
  </si>
  <si>
    <t>jbakeriii@ups.com</t>
  </si>
  <si>
    <t>kbakeriii@ups.com</t>
  </si>
  <si>
    <t>rbakeriii@ups.com</t>
  </si>
  <si>
    <t>jlbaker@ups.com</t>
  </si>
  <si>
    <t>jacquelinebaker@ups.com</t>
  </si>
  <si>
    <t>jalannabaker@ups.com</t>
  </si>
  <si>
    <t>jbaker3@ups.com</t>
  </si>
  <si>
    <t>jamesbaker@ups.com</t>
  </si>
  <si>
    <t>jdbaker@ups.com</t>
  </si>
  <si>
    <t>baker.jeff@ups.com</t>
  </si>
  <si>
    <t>jenniferbaker@ups.com</t>
  </si>
  <si>
    <t>jessicabaker@ups.com</t>
  </si>
  <si>
    <t>joannbaker@ups.com</t>
  </si>
  <si>
    <t>joannebaker@ups.com</t>
  </si>
  <si>
    <t>johnbaker@ups.com</t>
  </si>
  <si>
    <t>jbaker@ups.com</t>
  </si>
  <si>
    <t>jrbaker@ups.com</t>
  </si>
  <si>
    <t>jonbaker@ups.com</t>
  </si>
  <si>
    <t>jonathanbaker@ups.com</t>
  </si>
  <si>
    <t>jordanbaker@ups.com</t>
  </si>
  <si>
    <t>josephbaker@ups.com</t>
  </si>
  <si>
    <t>jbaker1@ups.com</t>
  </si>
  <si>
    <t>cbakerjr@ups.com</t>
  </si>
  <si>
    <t>julietantoniabaker@ups.com</t>
  </si>
  <si>
    <t>justinbaker@ups.com</t>
  </si>
  <si>
    <t>jbaker4@ups.com</t>
  </si>
  <si>
    <t>kambaker@ups.com</t>
  </si>
  <si>
    <t>karenbaker@ups.com</t>
  </si>
  <si>
    <t>kbaker3@ups.com</t>
  </si>
  <si>
    <t>kbaker1@ups.com</t>
  </si>
  <si>
    <t>kdbaker@ups.com</t>
  </si>
  <si>
    <t>katinabaker@ups.com</t>
  </si>
  <si>
    <t>katrinabaker@ups.com</t>
  </si>
  <si>
    <t>kbaker4@ups.com</t>
  </si>
  <si>
    <t>kellybaker@ups.com</t>
  </si>
  <si>
    <t>kbaker2@ups.com</t>
  </si>
  <si>
    <t>kbbaker@ups.com</t>
  </si>
  <si>
    <t>kiarrabaker@ups.com</t>
  </si>
  <si>
    <t>kbaker@ups.com</t>
  </si>
  <si>
    <t>ksbaker@ups.com</t>
  </si>
  <si>
    <t>kylebaker@ups.com</t>
  </si>
  <si>
    <t>ldbaker@ups.com</t>
  </si>
  <si>
    <t>larrybaker@ups.com</t>
  </si>
  <si>
    <t>lbaker2@ups.com</t>
  </si>
  <si>
    <t>lwbaker@ups.com</t>
  </si>
  <si>
    <t>leeannbaker@ups.com</t>
  </si>
  <si>
    <t>lbaker1@ups.com</t>
  </si>
  <si>
    <t>lindibaker@ups.com</t>
  </si>
  <si>
    <t>lisabaker@ups.com</t>
  </si>
  <si>
    <t>lbaker@ups.com</t>
  </si>
  <si>
    <t>luciabaker@ups.com</t>
  </si>
  <si>
    <t>lynettebaker@ups.com</t>
  </si>
  <si>
    <t>madelinebaker@ups.com</t>
  </si>
  <si>
    <t>mailaunbaker@ups.com</t>
  </si>
  <si>
    <t>mallorybaker@ups.com</t>
  </si>
  <si>
    <t>mbaker1@ups.com</t>
  </si>
  <si>
    <t>mbaker3@ups.com</t>
  </si>
  <si>
    <t>jbakermcgee@ups.com</t>
  </si>
  <si>
    <t>melvinbaker@ups.com</t>
  </si>
  <si>
    <t>micahbaker@ups.com</t>
  </si>
  <si>
    <t>mbaker2@ups.com</t>
  </si>
  <si>
    <t>michaelbaker@ups.com</t>
  </si>
  <si>
    <t>mbaker@ups.com</t>
  </si>
  <si>
    <t>mikebaker@ups.com</t>
  </si>
  <si>
    <t>miltonbaker@ups.com</t>
  </si>
  <si>
    <t>mistybaker@ups.com</t>
  </si>
  <si>
    <t>neilbaker@ups.com</t>
  </si>
  <si>
    <t>nbaker@ups.com</t>
  </si>
  <si>
    <t>nicolebaker@ups.com</t>
  </si>
  <si>
    <t>nikeriabaker@ups.com</t>
  </si>
  <si>
    <t>patrickbaker@ups.com</t>
  </si>
  <si>
    <t>paulbaker@ups.com</t>
  </si>
  <si>
    <t>paul.baker@ups.com</t>
  </si>
  <si>
    <t>rtbaker@ups.com</t>
  </si>
  <si>
    <t>rsbaker@ups.com</t>
  </si>
  <si>
    <t>ravenbaker@ups.com</t>
  </si>
  <si>
    <t>rhonda.baker@ups.com</t>
  </si>
  <si>
    <t>robertbaker@ups.com</t>
  </si>
  <si>
    <t>rabaker@ups.com</t>
  </si>
  <si>
    <t>robinbaker@ups.com</t>
  </si>
  <si>
    <t>rogerbaker@ups.com</t>
  </si>
  <si>
    <t>ronbaker@ups.com</t>
  </si>
  <si>
    <t>rosalynbaker@ups.com</t>
  </si>
  <si>
    <t>rpbaker@ups.com</t>
  </si>
  <si>
    <t>rbaker@ups.com</t>
  </si>
  <si>
    <t>ryanbaker@ups.com</t>
  </si>
  <si>
    <t>sbaker@upsstore.com</t>
  </si>
  <si>
    <t>sarahbaker@ups.com</t>
  </si>
  <si>
    <t>schleahbaker@ups.com</t>
  </si>
  <si>
    <t>scottbaker@ups.com</t>
  </si>
  <si>
    <t>shaniquabaker@ups.com</t>
  </si>
  <si>
    <t>shaunbaker@ups.com</t>
  </si>
  <si>
    <t>shaurekabaker@ups.com</t>
  </si>
  <si>
    <t>skbaker@ups.com</t>
  </si>
  <si>
    <t>shelbybaker@ups.com</t>
  </si>
  <si>
    <t>shlondabaker@ups.com</t>
  </si>
  <si>
    <t>steffanbaker@ups.com</t>
  </si>
  <si>
    <t>stephenbaker@ups.com</t>
  </si>
  <si>
    <t>stevenbaker@ups.com</t>
  </si>
  <si>
    <t>suzannebaker@ups.com</t>
  </si>
  <si>
    <t>sydneybaker@ups.com</t>
  </si>
  <si>
    <t>tahrabaker@ups.com</t>
  </si>
  <si>
    <t>tenabaker@ups.com</t>
  </si>
  <si>
    <t>tdbaker@ups.com</t>
  </si>
  <si>
    <t>tbaker@ups.com</t>
  </si>
  <si>
    <t>theresabaker@ups.com</t>
  </si>
  <si>
    <t>timothybaker@ups.com</t>
  </si>
  <si>
    <t>trbaker@ups.com</t>
  </si>
  <si>
    <t>tonybaker@ups.com</t>
  </si>
  <si>
    <t>wbaker@ups.com</t>
  </si>
  <si>
    <t>zbaker@ups.com</t>
  </si>
  <si>
    <t>karen.l.baker@dynamex.com</t>
  </si>
  <si>
    <t>bakersfielddmp@ups.com</t>
  </si>
  <si>
    <t>turkibakheet@ups.com</t>
  </si>
  <si>
    <t>ibakhtina@ups.com</t>
  </si>
  <si>
    <t>gbakierzynski@ups.com</t>
  </si>
  <si>
    <t>bakingmariacecilia@ups.com</t>
  </si>
  <si>
    <t>hbakinson@ups.com</t>
  </si>
  <si>
    <t>tbakir@ups.com</t>
  </si>
  <si>
    <t>dbakke@ups.com</t>
  </si>
  <si>
    <t>davidbakken@ups.com</t>
  </si>
  <si>
    <t>nbakken@ups.com</t>
  </si>
  <si>
    <t>sbakken@ups.com</t>
  </si>
  <si>
    <t>arjen.bakker@europe.ups.com</t>
  </si>
  <si>
    <t>ebakker@ups.com</t>
  </si>
  <si>
    <t>mbakker@ups.com</t>
  </si>
  <si>
    <t>petrabakker@ups.com</t>
  </si>
  <si>
    <t>rbakker@ups.com</t>
  </si>
  <si>
    <t>koenbakkers@ups.com</t>
  </si>
  <si>
    <t>tbakleyjr@ups.com</t>
  </si>
  <si>
    <t>dbako@ups.com</t>
  </si>
  <si>
    <t>zbako@ups.com</t>
  </si>
  <si>
    <t>ebakohorvath@ups.com</t>
  </si>
  <si>
    <t>jbakowski@ups.com</t>
  </si>
  <si>
    <t>mbakr@ups.com</t>
  </si>
  <si>
    <t>sbaksh@ups.com</t>
  </si>
  <si>
    <t>rbakshi@ups.com</t>
  </si>
  <si>
    <t>beate.bakstad@europe.ups.com</t>
  </si>
  <si>
    <t>rbaksyte@ups.com</t>
  </si>
  <si>
    <t>sbakthavatsalu@ups.com</t>
  </si>
  <si>
    <t>jbaktys@ups.com</t>
  </si>
  <si>
    <t>mbal@ups.com</t>
  </si>
  <si>
    <t>rbal@ups.com</t>
  </si>
  <si>
    <t>gbala@ups.com</t>
  </si>
  <si>
    <t>lbala1@ups.com</t>
  </si>
  <si>
    <t>pcbala@ups.com</t>
  </si>
  <si>
    <t>pbala@ups.com</t>
  </si>
  <si>
    <t>abalaba@ups.com</t>
  </si>
  <si>
    <t>sbalaba@ups.com</t>
  </si>
  <si>
    <t>sbalaban@ups.com</t>
  </si>
  <si>
    <t>vbalaban@ups.com</t>
  </si>
  <si>
    <t>pbalachandran@ups.com</t>
  </si>
  <si>
    <t>bsanjev@ups.com</t>
  </si>
  <si>
    <t>ibalaci@ups.com</t>
  </si>
  <si>
    <t>bmajengelyn@ups.com</t>
  </si>
  <si>
    <t>lbaladez@ups.com</t>
  </si>
  <si>
    <t>rbaladhay@ups.com</t>
  </si>
  <si>
    <t>balagonnormanacu@ups.com</t>
  </si>
  <si>
    <t>bkrisiamarie@ups.com</t>
  </si>
  <si>
    <t>bjanmichael@ups.com</t>
  </si>
  <si>
    <t>bernadettbalai@ups.com</t>
  </si>
  <si>
    <t>jbalais@ups.com</t>
  </si>
  <si>
    <t>bwerlyn@ups.com</t>
  </si>
  <si>
    <t>bb@ups.com</t>
  </si>
  <si>
    <t>gbalaji@ups.com</t>
  </si>
  <si>
    <t>kbalaji@ups.com</t>
  </si>
  <si>
    <t>pbalaji@ups.com</t>
  </si>
  <si>
    <t>bsrinivasan@ups.com</t>
  </si>
  <si>
    <t>nbalakin@ups.com</t>
  </si>
  <si>
    <t>karthikabalakrishnan@ups.com</t>
  </si>
  <si>
    <t>kbalakrishnan@ups.com</t>
  </si>
  <si>
    <t>nbalakrishnan@ups.com</t>
  </si>
  <si>
    <t>nithyabalakrishnan@ups.com</t>
  </si>
  <si>
    <t>skumaran@ups.com</t>
  </si>
  <si>
    <t>bshathiskumaral@ups.com</t>
  </si>
  <si>
    <t>dbalakumar@ups.com</t>
  </si>
  <si>
    <t>jbalakumar@ups.com</t>
  </si>
  <si>
    <t>cbalamut@ups.com</t>
  </si>
  <si>
    <t>abalan@ups.com</t>
  </si>
  <si>
    <t>bdinesh@ups.com</t>
  </si>
  <si>
    <t>jbalan@ups.com</t>
  </si>
  <si>
    <t>pbalance@ups.com</t>
  </si>
  <si>
    <t>pbalanda@ups.com</t>
  </si>
  <si>
    <t>jbalandran@ups.com</t>
  </si>
  <si>
    <t>jolenebalanesi@ups.com</t>
  </si>
  <si>
    <t>sbalani@ups.com</t>
  </si>
  <si>
    <t>bjohnregis@ups.com</t>
  </si>
  <si>
    <t>bzyrahgrace@ups.com</t>
  </si>
  <si>
    <t>bbrian@ups.com</t>
  </si>
  <si>
    <t>dbalansay@ups.com</t>
  </si>
  <si>
    <t>ubalapanur@ups.com</t>
  </si>
  <si>
    <t>bkatecryzel@ups.com</t>
  </si>
  <si>
    <t>bsivakumari@ups.com</t>
  </si>
  <si>
    <t>jbalasingham@ups.com</t>
  </si>
  <si>
    <t>mbalasubramaniam@ups.com</t>
  </si>
  <si>
    <t>bsivakumar@ups.com</t>
  </si>
  <si>
    <t>abalasubramanian@ups.com</t>
  </si>
  <si>
    <t>bbalasubramanian@ups.com</t>
  </si>
  <si>
    <t>ibalasubramanian@ups.com</t>
  </si>
  <si>
    <t>balasubramanian.raghu@ups.com</t>
  </si>
  <si>
    <t>ranjithbalasubramanian@ups.com</t>
  </si>
  <si>
    <t>sbalasubramanian@ups.com</t>
  </si>
  <si>
    <t>gbalasubramaniyan@ups.com</t>
  </si>
  <si>
    <t>nbalasundaram@ups.com</t>
  </si>
  <si>
    <t>jbalatbat@ups.com</t>
  </si>
  <si>
    <t>bmaricar@ups.com</t>
  </si>
  <si>
    <t>sbalatico@ups.com</t>
  </si>
  <si>
    <t>sbalawatri@ups.com</t>
  </si>
  <si>
    <t>bbalay@ups.com</t>
  </si>
  <si>
    <t>bbalaz@ups.com</t>
  </si>
  <si>
    <t>lbalazs@ups.com</t>
  </si>
  <si>
    <t>nbalazs@ups.com</t>
  </si>
  <si>
    <t>jbalbin@ups.com</t>
  </si>
  <si>
    <t>gbalbontinvelasquez@ups.com</t>
  </si>
  <si>
    <t>dbalbuena@ups.com</t>
  </si>
  <si>
    <t>bivy@ups.com</t>
  </si>
  <si>
    <t>sbalci@ups.com</t>
  </si>
  <si>
    <t>jbalciunas@ups.com</t>
  </si>
  <si>
    <t>sbalcom@ups.com</t>
  </si>
  <si>
    <t>cbaldassari@ups.com</t>
  </si>
  <si>
    <t>tbaldassari@ups.com</t>
  </si>
  <si>
    <t>dbaldauf@ups.com</t>
  </si>
  <si>
    <t>wbaldavia@ups.com</t>
  </si>
  <si>
    <t>banshul@ups.com</t>
  </si>
  <si>
    <t>abalde@ups.com</t>
  </si>
  <si>
    <t>carlosbalde@ups.com</t>
  </si>
  <si>
    <t>daoudabalde@ups.com</t>
  </si>
  <si>
    <t>rbaldelli@ups.com</t>
  </si>
  <si>
    <t>abalderas@ups.com</t>
  </si>
  <si>
    <t>balderas.levy@ups.com</t>
  </si>
  <si>
    <t>gbalderaz@ups.com</t>
  </si>
  <si>
    <t>abalderrama@ups.com</t>
  </si>
  <si>
    <t>jbalderramos@ups.com</t>
  </si>
  <si>
    <t>nanbalderson@ups.com</t>
  </si>
  <si>
    <t>jbalderston@ups.com</t>
  </si>
  <si>
    <t>jbalding@ups.com</t>
  </si>
  <si>
    <t>nbalding@ups.com</t>
  </si>
  <si>
    <t>arianna.baldini@europe.ups.com</t>
  </si>
  <si>
    <t>jbaldomar@ups.com</t>
  </si>
  <si>
    <t>abaldomero@ups.com</t>
  </si>
  <si>
    <t>dbaldon@ups.com</t>
  </si>
  <si>
    <t>tonybaldovino@ups.com</t>
  </si>
  <si>
    <t>maria.grazia.baldrighi@europe.ups.com</t>
  </si>
  <si>
    <t>sabrina.baldrighi@europe.ups.com</t>
  </si>
  <si>
    <t>tbaldry@ups.com</t>
  </si>
  <si>
    <t>nbalducci@ups.com</t>
  </si>
  <si>
    <t>bbalduf@ups.com</t>
  </si>
  <si>
    <t>ajbaldwin@ups.com</t>
  </si>
  <si>
    <t>abaldwin@ups.com</t>
  </si>
  <si>
    <t>annebaldwin@ups.com</t>
  </si>
  <si>
    <t>bbaldwin@ups.com</t>
  </si>
  <si>
    <t>cameronbaldwin@ups.com</t>
  </si>
  <si>
    <t>dbaldwin1@ups.com</t>
  </si>
  <si>
    <t>jamesbaldwin@ups.com</t>
  </si>
  <si>
    <t>jbaldwin@ups.com</t>
  </si>
  <si>
    <t>wbaldwinjr@ups.com</t>
  </si>
  <si>
    <t>kbaldwin1@ups.com</t>
  </si>
  <si>
    <t>kevinbaldwin@ups.com</t>
  </si>
  <si>
    <t>kbaldwin@ups.com</t>
  </si>
  <si>
    <t>lbaldwin@ups.com</t>
  </si>
  <si>
    <t>machelebaldwin@ups.com</t>
  </si>
  <si>
    <t>mbaldwin@ups.com</t>
  </si>
  <si>
    <t>nbaldwin@ups.com</t>
  </si>
  <si>
    <t>nickbaldwin@ups.com</t>
  </si>
  <si>
    <t>sandrabaldwin@ups.com</t>
  </si>
  <si>
    <t>stevenbaldwin@ups.com</t>
  </si>
  <si>
    <t>tangalarbaldwin@ups.com</t>
  </si>
  <si>
    <t>treverbaldwin@ups.com</t>
  </si>
  <si>
    <t>tbaldwin@ups.com</t>
  </si>
  <si>
    <t>wandabaldwin@ups.com</t>
  </si>
  <si>
    <t>wbaldwin@ups.com</t>
  </si>
  <si>
    <t>christopherbale@ups.com</t>
  </si>
  <si>
    <t>jbale@ups.com</t>
  </si>
  <si>
    <t>kbale@ups.com</t>
  </si>
  <si>
    <t>EUR3AXB@europe.ups.com</t>
  </si>
  <si>
    <t>birene@ups.com</t>
  </si>
  <si>
    <t>cbales@ups.com</t>
  </si>
  <si>
    <t>ebales@ups.com</t>
  </si>
  <si>
    <t>jbales@ups.com</t>
  </si>
  <si>
    <t>johnathanbales@ups.com</t>
  </si>
  <si>
    <t>kbales@ups.com</t>
  </si>
  <si>
    <t>tbales@ups.com</t>
  </si>
  <si>
    <t>wbales@ups.com</t>
  </si>
  <si>
    <t>vasvija.balesic@europe.ups.com</t>
  </si>
  <si>
    <t>lbalestra@ups.com</t>
  </si>
  <si>
    <t>dbalestriere@ups.com</t>
  </si>
  <si>
    <t>bmargielyn@ups.com</t>
  </si>
  <si>
    <t>sbalev@ups.com</t>
  </si>
  <si>
    <t>bbalez@ups.com</t>
  </si>
  <si>
    <t>dbalfe@ups.com</t>
  </si>
  <si>
    <t>mbalfour@ups.com</t>
  </si>
  <si>
    <t>bmyrfeljoanne@ups.com</t>
  </si>
  <si>
    <t>ybalikis@ups.com</t>
  </si>
  <si>
    <t>bjenzel@ups.com</t>
  </si>
  <si>
    <t>bjossman@ups.com</t>
  </si>
  <si>
    <t>bbalingit@ups.com</t>
  </si>
  <si>
    <t>mbalinski@ups.com</t>
  </si>
  <si>
    <t>abalint@ups.com</t>
  </si>
  <si>
    <t>pbalint@ups.com</t>
  </si>
  <si>
    <t>bbalintona@ups.com</t>
  </si>
  <si>
    <t>ebaliong@ups.com</t>
  </si>
  <si>
    <t>mbalitaan@ups.com</t>
  </si>
  <si>
    <t>mbalka@ups.com</t>
  </si>
  <si>
    <t>mbalkarran@ups.com</t>
  </si>
  <si>
    <t>ebalkauskiene@ups.com</t>
  </si>
  <si>
    <t>mbalkaya@ups.com</t>
  </si>
  <si>
    <t>cbalkcom@ups.com</t>
  </si>
  <si>
    <t>ebalkcom@ups.com</t>
  </si>
  <si>
    <t>jbalkema@ups.com</t>
  </si>
  <si>
    <t>bshankar@ups.com</t>
  </si>
  <si>
    <t>nbalkiran@ups.com</t>
  </si>
  <si>
    <t>rbalkman@ups.com</t>
  </si>
  <si>
    <t>sbalkote@ups.com</t>
  </si>
  <si>
    <t>sbalkrushna@ups.com</t>
  </si>
  <si>
    <t>alfredball@ups.com</t>
  </si>
  <si>
    <t>aball1@ups.com</t>
  </si>
  <si>
    <t>apball@ups.com</t>
  </si>
  <si>
    <t>aball@ups.com</t>
  </si>
  <si>
    <t>andersonball@ups.com</t>
  </si>
  <si>
    <t>aball2@ups.com</t>
  </si>
  <si>
    <t>ball.christopher@ups.com</t>
  </si>
  <si>
    <t>dball@ups.com</t>
  </si>
  <si>
    <t>douglasball@ups.com</t>
  </si>
  <si>
    <t>bballiii@ups.com</t>
  </si>
  <si>
    <t>jamesball@ups.com</t>
  </si>
  <si>
    <t>jenniferball@ups.com</t>
  </si>
  <si>
    <t>jball@ups.com</t>
  </si>
  <si>
    <t>jocelynball@ups.com</t>
  </si>
  <si>
    <t>johnball@ups.com</t>
  </si>
  <si>
    <t>joshball@ups.com</t>
  </si>
  <si>
    <t>aballjr@ups.com</t>
  </si>
  <si>
    <t>kball@ups.com</t>
  </si>
  <si>
    <t>markball@ups.com</t>
  </si>
  <si>
    <t>mball@ups.com</t>
  </si>
  <si>
    <t>nball@ups.com</t>
  </si>
  <si>
    <t>ssball@ups.com</t>
  </si>
  <si>
    <t>stanleyball@ups.com</t>
  </si>
  <si>
    <t>stevenball@ups.com</t>
  </si>
  <si>
    <t>sball@ups.com</t>
  </si>
  <si>
    <t>tball@ups.com</t>
  </si>
  <si>
    <t>travisball@ups.com</t>
  </si>
  <si>
    <t>bjuliet@ups.com</t>
  </si>
  <si>
    <t>pballansaw@ups.com</t>
  </si>
  <si>
    <t>jballantyne@ups.com</t>
  </si>
  <si>
    <t>tballantyne@ups.com</t>
  </si>
  <si>
    <t>bballar@ups.com</t>
  </si>
  <si>
    <t>aballard1@ups.com</t>
  </si>
  <si>
    <t>aballard@ups.com</t>
  </si>
  <si>
    <t>bnballard@ups.com</t>
  </si>
  <si>
    <t>bbballard@ups.com</t>
  </si>
  <si>
    <t>brianballard@ups.com</t>
  </si>
  <si>
    <t>bballard@ups.com</t>
  </si>
  <si>
    <t>byronballard@ups.com</t>
  </si>
  <si>
    <t>cballard@ups.com</t>
  </si>
  <si>
    <t>chandlerballard@ups.com</t>
  </si>
  <si>
    <t>deandraballard@ups.com</t>
  </si>
  <si>
    <t>djuanaballard@ups.com</t>
  </si>
  <si>
    <t>dballard@ups.com</t>
  </si>
  <si>
    <t>elizabethballard@ups.com</t>
  </si>
  <si>
    <t>fballard@ups.com</t>
  </si>
  <si>
    <t>jamesballard@ups.com</t>
  </si>
  <si>
    <t>jaballard@ups.com</t>
  </si>
  <si>
    <t>johnballard@ups.com</t>
  </si>
  <si>
    <t>jonathanballard@ups.com</t>
  </si>
  <si>
    <t>josephballard@ups.com</t>
  </si>
  <si>
    <t>joshuaballard@ups.com</t>
  </si>
  <si>
    <t>mballard@ups.com</t>
  </si>
  <si>
    <t>mballard1@ups.com</t>
  </si>
  <si>
    <t>matthewballard@ups.com</t>
  </si>
  <si>
    <t>nballard@ups.com</t>
  </si>
  <si>
    <t>rjballard@ups.com</t>
  </si>
  <si>
    <t>rballard@ups.com</t>
  </si>
  <si>
    <t>reballard@ups.com</t>
  </si>
  <si>
    <t>tballard@ups.com</t>
  </si>
  <si>
    <t>taylorballard@ups.com</t>
  </si>
  <si>
    <t>ttballard@ups.com</t>
  </si>
  <si>
    <t>aballe@ups.com</t>
  </si>
  <si>
    <t>mballechristiansen@ups.com</t>
  </si>
  <si>
    <t>nballenger@ups.com</t>
  </si>
  <si>
    <t>pballenger@ups.com</t>
  </si>
  <si>
    <t>sballer@ups.com</t>
  </si>
  <si>
    <t>fballester@ups.com</t>
  </si>
  <si>
    <t>bkenneth@ups.com</t>
  </si>
  <si>
    <t>lballesteros@ups.com</t>
  </si>
  <si>
    <t>vballesteros@ups.com</t>
  </si>
  <si>
    <t>fballestrazzi@ups.com</t>
  </si>
  <si>
    <t>kballheim@ups.com</t>
  </si>
  <si>
    <t>sballi@ups.com</t>
  </si>
  <si>
    <t>mballiet@ups.com</t>
  </si>
  <si>
    <t>sydneeballiger@ups.com</t>
  </si>
  <si>
    <t>gballijns@ups.com</t>
  </si>
  <si>
    <t>yballines@ups.com</t>
  </si>
  <si>
    <t>aballinger@ups.com</t>
  </si>
  <si>
    <t>bballinger@ups.com</t>
  </si>
  <si>
    <t>dballinger@ups.com</t>
  </si>
  <si>
    <t>jballinger@ups.com</t>
  </si>
  <si>
    <t>tballinger@ups.com</t>
  </si>
  <si>
    <t>mballman@ups.com</t>
  </si>
  <si>
    <t>pballman@ups.com</t>
  </si>
  <si>
    <t>dballo@ups.com</t>
  </si>
  <si>
    <t>yballo@ups.com</t>
  </si>
  <si>
    <t>kballomy@ups.com</t>
  </si>
  <si>
    <t>mballon@ups.com</t>
  </si>
  <si>
    <t>FRA8ATB@europe.ups.com</t>
  </si>
  <si>
    <t>bballou@ups.com</t>
  </si>
  <si>
    <t>tballowe@ups.com</t>
  </si>
  <si>
    <t>gballreich@ups.com</t>
  </si>
  <si>
    <t>jballton@ups.com</t>
  </si>
  <si>
    <t>bballway@ups.com</t>
  </si>
  <si>
    <t>upsballyssupport@coyote.com</t>
  </si>
  <si>
    <t>bflloyd@ups.com</t>
  </si>
  <si>
    <t>mbalmaceda@ups.com</t>
  </si>
  <si>
    <t>sbalmerlogan@ups.com</t>
  </si>
  <si>
    <t>hbalmocena@ups.com</t>
  </si>
  <si>
    <t>pbalocka@ups.com</t>
  </si>
  <si>
    <t>balocosmichael@ups.com</t>
  </si>
  <si>
    <t>bvictordominic@ups.com</t>
  </si>
  <si>
    <t>ronaldobalog@ups.com</t>
  </si>
  <si>
    <t>zsolt.balog@europe.ups.com</t>
  </si>
  <si>
    <t>abalogh@ups.com</t>
  </si>
  <si>
    <t>bbalogh@ups.com</t>
  </si>
  <si>
    <t>mbalogh@ups.com</t>
  </si>
  <si>
    <t>kbalogun@ups.com</t>
  </si>
  <si>
    <t>obalogun@ups.com</t>
  </si>
  <si>
    <t>rbalogun@ups.com</t>
  </si>
  <si>
    <t>bbalola@ups.com</t>
  </si>
  <si>
    <t>jbaloloy@ups.com</t>
  </si>
  <si>
    <t>abalomben@ups.com</t>
  </si>
  <si>
    <t>abalooni@ups.com</t>
  </si>
  <si>
    <t>hbalouch@ups.com</t>
  </si>
  <si>
    <t>kbaloun@ups.com</t>
  </si>
  <si>
    <t>abaloutsch@ups.com</t>
  </si>
  <si>
    <t>sbaloyi@ups.com</t>
  </si>
  <si>
    <t>bzwinglidiamond@ups.com</t>
  </si>
  <si>
    <t>abalqui@ups.com</t>
  </si>
  <si>
    <t>kbalram@ups.com</t>
  </si>
  <si>
    <t>jbals@ups.com</t>
  </si>
  <si>
    <t>cbalsam@ups.com</t>
  </si>
  <si>
    <t>bbalser@ups.com</t>
  </si>
  <si>
    <t>ebalsiger@ups.com</t>
  </si>
  <si>
    <t>kbalsitis@ups.com</t>
  </si>
  <si>
    <t>brenzgennel@ups.com</t>
  </si>
  <si>
    <t>rbalsomo@ups.com</t>
  </si>
  <si>
    <t>hbalta@ups.com</t>
  </si>
  <si>
    <t>ybaltacheva@ups.com</t>
  </si>
  <si>
    <t>MBaltasar@ups.com</t>
  </si>
  <si>
    <t>bcedric@ups.com</t>
  </si>
  <si>
    <t>birishg@ups.com</t>
  </si>
  <si>
    <t>jbaltazar@ups.com</t>
  </si>
  <si>
    <t>paulbaltazar@ups.com</t>
  </si>
  <si>
    <t>pbaltazar@ups.com</t>
  </si>
  <si>
    <t>tbaltazar@ups.com</t>
  </si>
  <si>
    <t>bvanessa@ups.com</t>
  </si>
  <si>
    <t>zbaltazar@ups.com</t>
  </si>
  <si>
    <t>Richard.Baltensperger@polysys.ch</t>
  </si>
  <si>
    <t>sbaltes@ups.com</t>
  </si>
  <si>
    <t>tbaltes@ups.com</t>
  </si>
  <si>
    <t>tbalthrop@ups.com</t>
  </si>
  <si>
    <t>adisabaltic@ups.com</t>
  </si>
  <si>
    <t>abaltic@ups.com</t>
  </si>
  <si>
    <t>ibaltierrez@ups.com</t>
  </si>
  <si>
    <t>baltimoredmp@ups.com</t>
  </si>
  <si>
    <t>rbaltodano@ups.com</t>
  </si>
  <si>
    <t>sbaltrusaitis@ups.com</t>
  </si>
  <si>
    <t>kathrin.baltruschat@europe.ups.com</t>
  </si>
  <si>
    <t>bbaltus@ups.com</t>
  </si>
  <si>
    <t>bbaltusevich@ups.com</t>
  </si>
  <si>
    <t>dbaltusis@ups.com</t>
  </si>
  <si>
    <t>rbaltz@ups.com</t>
  </si>
  <si>
    <t>abaltzell@ups.com</t>
  </si>
  <si>
    <t>bbaltzelli@ups.com</t>
  </si>
  <si>
    <t>bdiana@ups.com</t>
  </si>
  <si>
    <t>jbaluck@ups.com</t>
  </si>
  <si>
    <t>mbalueva@ups.com</t>
  </si>
  <si>
    <t>bbernadette@ups.com</t>
  </si>
  <si>
    <t>sbalunis@ups.com</t>
  </si>
  <si>
    <t>dbaluta@ups.com</t>
  </si>
  <si>
    <t>bclodalbert@ups.com</t>
  </si>
  <si>
    <t>ebaluyot@ups.com</t>
  </si>
  <si>
    <t>bkizzeljoi@ups.com</t>
  </si>
  <si>
    <t>ebalvaneraperez@ups.com</t>
  </si>
  <si>
    <t>abalyuk@ups.com</t>
  </si>
  <si>
    <t>tbalza@ups.com</t>
  </si>
  <si>
    <t>lbalzarelli@ups.com</t>
  </si>
  <si>
    <t>dbalzer@ups.com</t>
  </si>
  <si>
    <t>mbalzo@ups.com</t>
  </si>
  <si>
    <t>abamane@ups.com</t>
  </si>
  <si>
    <t>sbamba@ups.com</t>
  </si>
  <si>
    <t>sbambach@ups.com</t>
  </si>
  <si>
    <t>gbambauerjr@ups.com</t>
  </si>
  <si>
    <t>ibamberg@ups.com</t>
  </si>
  <si>
    <t>bambergcenter@ups.com</t>
  </si>
  <si>
    <t>Iris.Bamberger@uni-data.de</t>
  </si>
  <si>
    <t>nbamberger@ups.com</t>
  </si>
  <si>
    <t>vbambic@ups.com</t>
  </si>
  <si>
    <t>valeria.bambini@europe.ups.com</t>
  </si>
  <si>
    <t>kbambino@ups.com</t>
  </si>
  <si>
    <t>vbamble@ups.com</t>
  </si>
  <si>
    <t>lbambro@ups.com</t>
  </si>
  <si>
    <t>dbambuch@ups.com</t>
  </si>
  <si>
    <t>abamforth@ups.com</t>
  </si>
  <si>
    <t>mbammel@ups.com</t>
  </si>
  <si>
    <t>pbammes@ups.com</t>
  </si>
  <si>
    <t>sbamne@ups.com</t>
  </si>
  <si>
    <t>tbamper@ups.com</t>
  </si>
  <si>
    <t>dban@ups.com</t>
  </si>
  <si>
    <t>rbanachiii@ups.com</t>
  </si>
  <si>
    <t>tbanach@ups.com</t>
  </si>
  <si>
    <t>bfaithmadison@ups.com</t>
  </si>
  <si>
    <t>rbanaga@ups.com</t>
  </si>
  <si>
    <t>ratanbanala@ups.com</t>
  </si>
  <si>
    <t>bjunemyel@ups.com</t>
  </si>
  <si>
    <t>bromeojr@ups.com</t>
  </si>
  <si>
    <t>mbanarhall@ups.com</t>
  </si>
  <si>
    <t>bmaryzyndjoylyn@ups.com</t>
  </si>
  <si>
    <t>banariamichael@ups.com</t>
  </si>
  <si>
    <t>jbanasiak@ups.com</t>
  </si>
  <si>
    <t>pbanasiak@ups.com</t>
  </si>
  <si>
    <t>mbanaszak@ups.com</t>
  </si>
  <si>
    <t>michaelbanaszak@ups.com</t>
  </si>
  <si>
    <t>ilona.banaszek@europe.ups.com</t>
  </si>
  <si>
    <t>kbanatlao@ups.com</t>
  </si>
  <si>
    <t>pbanc@ups.com</t>
  </si>
  <si>
    <t>bancerowski.melissa@ups.com</t>
  </si>
  <si>
    <t>abanchi@ups.com</t>
  </si>
  <si>
    <t>kbancroft@ups.com</t>
  </si>
  <si>
    <t>alecbanda@ups.com</t>
  </si>
  <si>
    <t>abanda@ups.com</t>
  </si>
  <si>
    <t>bbanda@ups.com</t>
  </si>
  <si>
    <t>christopherbanda@ups.com</t>
  </si>
  <si>
    <t>dbanda@ups.com</t>
  </si>
  <si>
    <t>kbanda@ups.com</t>
  </si>
  <si>
    <t>bandairelpaul@ups.com</t>
  </si>
  <si>
    <t>cbandal@ups.com</t>
  </si>
  <si>
    <t>bnandkishor@ups.com</t>
  </si>
  <si>
    <t>sbandarkar@ups.com</t>
  </si>
  <si>
    <t>mbandaru@ups.com</t>
  </si>
  <si>
    <t>vbandeira@ups.com</t>
  </si>
  <si>
    <t>bsoniya@ups.com</t>
  </si>
  <si>
    <t>bmohan@ups.com</t>
  </si>
  <si>
    <t>bsanjivani@ups.com</t>
  </si>
  <si>
    <t>bsukeshani@ups.com</t>
  </si>
  <si>
    <t>bvidhya@ups.com</t>
  </si>
  <si>
    <t>pbandhoeramman@ups.com</t>
  </si>
  <si>
    <t>pbandi@ups.com</t>
  </si>
  <si>
    <t>sbandic@ups.com</t>
  </si>
  <si>
    <t>FRA0AEB@europe.ups.com</t>
  </si>
  <si>
    <t>tbandiyoko@ups.com</t>
  </si>
  <si>
    <t>abandla@ups.com</t>
  </si>
  <si>
    <t>bxavierrafael@ups.com</t>
  </si>
  <si>
    <t>geetabandreddi@ups.com</t>
  </si>
  <si>
    <t>jeffreybandy@ups.com</t>
  </si>
  <si>
    <t>jbandy@ups.com</t>
  </si>
  <si>
    <t>rbandyga@ups.com</t>
  </si>
  <si>
    <t>abandyopadhyay@ups.com</t>
  </si>
  <si>
    <t>gbane@ups.com</t>
  </si>
  <si>
    <t>jbane@ups.com</t>
  </si>
  <si>
    <t>mbane@ups.com</t>
  </si>
  <si>
    <t>abanegas@ups.com</t>
  </si>
  <si>
    <t>jbanegas@ups.com</t>
  </si>
  <si>
    <t>JR.Baneira@europe.ups.com</t>
  </si>
  <si>
    <t>abanerjee@ups.com</t>
  </si>
  <si>
    <t>bchandan@ups.com</t>
  </si>
  <si>
    <t>dbanerjee@ups.com</t>
  </si>
  <si>
    <t>kbanerjee@ups.com</t>
  </si>
  <si>
    <t>sbanerjee@ups.com</t>
  </si>
  <si>
    <t>sanjoybanerjee@ups.com</t>
  </si>
  <si>
    <t>siddharthbanerjee@ups.com</t>
  </si>
  <si>
    <t>ebanevicius@ups.com</t>
  </si>
  <si>
    <t>dbaney@ups.com</t>
  </si>
  <si>
    <t>ibanfai@ups.com</t>
  </si>
  <si>
    <t>gbanfi@ups.com</t>
  </si>
  <si>
    <t>lbanfield@ups.com</t>
  </si>
  <si>
    <t>mbanfield@ups.com</t>
  </si>
  <si>
    <t>sheldonbang@ups.com</t>
  </si>
  <si>
    <t>bsojin@ups.com</t>
  </si>
  <si>
    <t>sbang@ups.com</t>
  </si>
  <si>
    <t>bniraj@ups.com</t>
  </si>
  <si>
    <t>bangaloreoperations@ups.com</t>
  </si>
  <si>
    <t>bkiran@ups.com</t>
  </si>
  <si>
    <t>brbabu@ups.com</t>
  </si>
  <si>
    <t>gbangash@ups.com</t>
  </si>
  <si>
    <t>tbangean@ups.com</t>
  </si>
  <si>
    <t>ibanger@ups.com</t>
  </si>
  <si>
    <t>sbangera@ups.com</t>
  </si>
  <si>
    <t>cbangerter@ups.com</t>
  </si>
  <si>
    <t>chrisbangerter@ups.com</t>
  </si>
  <si>
    <t>kbangerter@ups.com</t>
  </si>
  <si>
    <t>bmubarak@ups.com</t>
  </si>
  <si>
    <t>bmaryaine@ups.com</t>
  </si>
  <si>
    <t>bnoppawee@ups.com</t>
  </si>
  <si>
    <t>crgbd@ups.com</t>
  </si>
  <si>
    <t>rbangle@ups.com</t>
  </si>
  <si>
    <t>jbangs@ups.com</t>
  </si>
  <si>
    <t>fbangudu@ups.com</t>
  </si>
  <si>
    <t>sbangunde@ups.com</t>
  </si>
  <si>
    <t>ebani@ups.com</t>
  </si>
  <si>
    <t>tmbania@ups.com</t>
  </si>
  <si>
    <t>howardbaniewicz@ups.com</t>
  </si>
  <si>
    <t>sbanigandlapati@ups.com</t>
  </si>
  <si>
    <t>abanik@ups.com</t>
  </si>
  <si>
    <t>nbanik@ups.com</t>
  </si>
  <si>
    <t>sam.baniqued@ups.com</t>
  </si>
  <si>
    <t>jbanis@ups.com</t>
  </si>
  <si>
    <t>sbanister@ups.com</t>
  </si>
  <si>
    <t>mbaniventy@ups.com</t>
  </si>
  <si>
    <t>jbanjo@ups.com</t>
  </si>
  <si>
    <t>sbanka@ups.com</t>
  </si>
  <si>
    <t>lbanke@ups.com</t>
  </si>
  <si>
    <t>rbankerd@ups.com</t>
  </si>
  <si>
    <t>dbankhead@ups.com</t>
  </si>
  <si>
    <t>zbanki@ups.com</t>
  </si>
  <si>
    <t>profsvc@ups.com</t>
  </si>
  <si>
    <t>bbankos@ups.com</t>
  </si>
  <si>
    <t>vbankova@ups.com</t>
  </si>
  <si>
    <t>mbankowska@ups.com</t>
  </si>
  <si>
    <t>bankruptcy@ups.com</t>
  </si>
  <si>
    <t>adambanks@ups.com</t>
  </si>
  <si>
    <t>alesabanks@ups.com</t>
  </si>
  <si>
    <t>alexanderbanks@ups.com</t>
  </si>
  <si>
    <t>abanks@ups.com</t>
  </si>
  <si>
    <t>asbanks@ups.com</t>
  </si>
  <si>
    <t>arvelbanks@ups.com</t>
  </si>
  <si>
    <t>bbanks@ups.com</t>
  </si>
  <si>
    <t>caitlynnbanks@ups.com</t>
  </si>
  <si>
    <t>charlesbanks@ups.com</t>
  </si>
  <si>
    <t>charnelebanks@ups.com</t>
  </si>
  <si>
    <t>cimenarbanks@ups.com</t>
  </si>
  <si>
    <t>cbanks@ups.com</t>
  </si>
  <si>
    <t>dbanks@ups.com</t>
  </si>
  <si>
    <t>demetriabanks@ups.com</t>
  </si>
  <si>
    <t>deniecebanks@ups.com</t>
  </si>
  <si>
    <t>dexterbanks@ups.com</t>
  </si>
  <si>
    <t>dbanks1@ups.com</t>
  </si>
  <si>
    <t>ebanks@ups.com</t>
  </si>
  <si>
    <t>genebanks@ups.com</t>
  </si>
  <si>
    <t>gbanks@ups.com</t>
  </si>
  <si>
    <t>gregorybanks@ups.com</t>
  </si>
  <si>
    <t>ibanks@ups.com</t>
  </si>
  <si>
    <t>jacobbanks@ups.com</t>
  </si>
  <si>
    <t>jbanks@ups.com</t>
  </si>
  <si>
    <t>jasonbanks@ups.com</t>
  </si>
  <si>
    <t>jermainebanks@ups.com</t>
  </si>
  <si>
    <t>johnbanks@ups.com</t>
  </si>
  <si>
    <t>jordanbanks@ups.com</t>
  </si>
  <si>
    <t>karenbanks@ups.com</t>
  </si>
  <si>
    <t>lancelotbanks@ups.com</t>
  </si>
  <si>
    <t>lawrencebanks@ups.com</t>
  </si>
  <si>
    <t>lbanks@ups.com</t>
  </si>
  <si>
    <t>mbanks@ups.com</t>
  </si>
  <si>
    <t>nbanks@ups.com</t>
  </si>
  <si>
    <t>nuyenbanks@ups.com</t>
  </si>
  <si>
    <t>pbanks@ups.com</t>
  </si>
  <si>
    <t>qbanks@ups.com</t>
  </si>
  <si>
    <t>rbanks1@ups.com</t>
  </si>
  <si>
    <t>sandrabanks@ups.com</t>
  </si>
  <si>
    <t>shauntayviabanks@ups.com</t>
  </si>
  <si>
    <t>sbanks@ups.com</t>
  </si>
  <si>
    <t>tbanks@ups.com</t>
  </si>
  <si>
    <t>tiffanybanks@ups.com</t>
  </si>
  <si>
    <t>tunisiabanks@ups.com</t>
  </si>
  <si>
    <t>tylerbanks@ups.com</t>
  </si>
  <si>
    <t>vbanks@ups.com</t>
  </si>
  <si>
    <t>wbanks@ups.com</t>
  </si>
  <si>
    <t>kelly@cmcfreight.co.uk</t>
  </si>
  <si>
    <t>mbanksbey@ups.com</t>
  </si>
  <si>
    <t>kbanksgardner@ups.com</t>
  </si>
  <si>
    <t>ybanksmckay@ups.com</t>
  </si>
  <si>
    <t>cbanksshelton@ups.com</t>
  </si>
  <si>
    <t>cbankston@ups.com</t>
  </si>
  <si>
    <t>dbankston@ups.com</t>
  </si>
  <si>
    <t>jamesbankston@ups.com</t>
  </si>
  <si>
    <t>jbankston@ups.com</t>
  </si>
  <si>
    <t>justinbankston@ups.com</t>
  </si>
  <si>
    <t>lbankston@ups.com</t>
  </si>
  <si>
    <t>abann@ups.com</t>
  </si>
  <si>
    <t>ibannan@ups.com</t>
  </si>
  <si>
    <t>cbanner@ups.com</t>
  </si>
  <si>
    <t>kbanner@ups.com</t>
  </si>
  <si>
    <t>rbannerman@ups.com</t>
  </si>
  <si>
    <t>abannikov@ups.com</t>
  </si>
  <si>
    <t>kbannis@ups.com</t>
  </si>
  <si>
    <t>bannister.anne@ups.com</t>
  </si>
  <si>
    <t>cbannister@ups.com</t>
  </si>
  <si>
    <t>kbannister@ups.com</t>
  </si>
  <si>
    <t>lbannister@ups.com</t>
  </si>
  <si>
    <t>obannister@ups.com</t>
  </si>
  <si>
    <t>VOBannister@ups.com</t>
  </si>
  <si>
    <t>sbannon@ups.com</t>
  </si>
  <si>
    <t>hbano@ups.com</t>
  </si>
  <si>
    <t>pertuniabanoe@ups.com</t>
  </si>
  <si>
    <t>tbanoff@ups.com</t>
  </si>
  <si>
    <t>abanolgonzalez@ups.com</t>
  </si>
  <si>
    <t>mbanoon@ups.com</t>
  </si>
  <si>
    <t>kbanos@ups.com</t>
  </si>
  <si>
    <t>hbansal@ups.com</t>
  </si>
  <si>
    <t>bvineet@ups.com</t>
  </si>
  <si>
    <t>wbansch@ups.com</t>
  </si>
  <si>
    <t>bbanse@ups.com</t>
  </si>
  <si>
    <t>vbansia@ups.com</t>
  </si>
  <si>
    <t>ibansie@ups.com</t>
  </si>
  <si>
    <t>bdeanmark@ups.com</t>
  </si>
  <si>
    <t>bgail@ups.com</t>
  </si>
  <si>
    <t>jbansil@ups.com</t>
  </si>
  <si>
    <t>jfbansmer@ups.com</t>
  </si>
  <si>
    <t>bbansode@ups.com</t>
  </si>
  <si>
    <t>jbant@ups.com</t>
  </si>
  <si>
    <t>dbanta@ups.com</t>
  </si>
  <si>
    <t>tbanta@ups.com</t>
  </si>
  <si>
    <t>bjohnjosh@ups.com</t>
  </si>
  <si>
    <t>banalyn@ups.com</t>
  </si>
  <si>
    <t>bshushmita@ups.com</t>
  </si>
  <si>
    <t>bedwin@ups.com</t>
  </si>
  <si>
    <t>abanua@ups.com</t>
  </si>
  <si>
    <t>abanuelos@ups.com</t>
  </si>
  <si>
    <t>ashleybanuelos@ups.com</t>
  </si>
  <si>
    <t>gbanuelos@ups.com</t>
  </si>
  <si>
    <t>jbanuelos@ups.com</t>
  </si>
  <si>
    <t>michaelbanuelos@ups.com</t>
  </si>
  <si>
    <t>samuelbanuelos@ups.com</t>
  </si>
  <si>
    <t>sbanuet@ups.com</t>
  </si>
  <si>
    <t>cbanuls@ups.com</t>
  </si>
  <si>
    <t>mbanuls@ups.com</t>
  </si>
  <si>
    <t>jbanville@ups.com</t>
  </si>
  <si>
    <t>jbany@ups.com</t>
  </si>
  <si>
    <t>abanyai@ups.com</t>
  </si>
  <si>
    <t>upscapitalbanyansales@ups.com</t>
  </si>
  <si>
    <t>bbin@ups.com</t>
  </si>
  <si>
    <t>bdandan@ups.com</t>
  </si>
  <si>
    <t>bhuangmei@ups.com</t>
  </si>
  <si>
    <t>lbao@ups.com</t>
  </si>
  <si>
    <t>baongannguyen@ups.com</t>
  </si>
  <si>
    <t>rachelbao@ups.com</t>
  </si>
  <si>
    <t>rrbao@ups.com</t>
  </si>
  <si>
    <t>bwenlei@ups.com</t>
  </si>
  <si>
    <t>bxiaojuan@ups.com</t>
  </si>
  <si>
    <t>byang@asmo-na.com</t>
  </si>
  <si>
    <t>xbaogang@ups.com</t>
  </si>
  <si>
    <t>abaongoli@ups.com</t>
  </si>
  <si>
    <t>abapanapalli@ups.com</t>
  </si>
  <si>
    <t>pbapat@ups.com</t>
  </si>
  <si>
    <t>sbapatla@ups.com</t>
  </si>
  <si>
    <t>bashish@ups.com</t>
  </si>
  <si>
    <t>nbaptista@ups.com</t>
  </si>
  <si>
    <t>bbaptiste@ups.com</t>
  </si>
  <si>
    <t>ebaptiste@ups.com</t>
  </si>
  <si>
    <t>jbaptiste@ups.com</t>
  </si>
  <si>
    <t>baptiste.jennifer@ups.com</t>
  </si>
  <si>
    <t>joannabaptiste@ups.com</t>
  </si>
  <si>
    <t>tbaptiste@ups.com</t>
  </si>
  <si>
    <t>wbaptiste@ups.com</t>
  </si>
  <si>
    <t>dbaptistella@ups.com</t>
  </si>
  <si>
    <t>cbaquerizo@ups.com</t>
  </si>
  <si>
    <t>vbaquerizo@ups.com</t>
  </si>
  <si>
    <t>ubaquerocueto@ups.com</t>
  </si>
  <si>
    <t>ebaquero@ups.com</t>
  </si>
  <si>
    <t>jbaquero@ups.com</t>
  </si>
  <si>
    <t>mbaquero@ups.com</t>
  </si>
  <si>
    <t>nbaquero@ups.com</t>
  </si>
  <si>
    <t>abarabashin@ups.com</t>
  </si>
  <si>
    <t>bbarabin@ups.com</t>
  </si>
  <si>
    <t>dbarac@ups.com</t>
  </si>
  <si>
    <t>tbarac@ups.com</t>
  </si>
  <si>
    <t>carlo.barachetti@europe.ups.com</t>
  </si>
  <si>
    <t>zbarack@ups.com</t>
  </si>
  <si>
    <t>kbarad@ups.com</t>
  </si>
  <si>
    <t>rbarag@ups.com</t>
  </si>
  <si>
    <t>gbarahona@ups.com</t>
  </si>
  <si>
    <t>obarahona@ups.com</t>
  </si>
  <si>
    <t>suzannabarahona@ups.com</t>
  </si>
  <si>
    <t>bmonchitopaulo@ups.com</t>
  </si>
  <si>
    <t>braymondjerome@ups.com</t>
  </si>
  <si>
    <t>abarajas@ups.com</t>
  </si>
  <si>
    <t>astridbarajas@ups.com</t>
  </si>
  <si>
    <t>kbarajasborrallo@ups.com</t>
  </si>
  <si>
    <t>bbarajas@ups.com</t>
  </si>
  <si>
    <t>cbarajas@ups.com</t>
  </si>
  <si>
    <t>gracebarajas@ups.com</t>
  </si>
  <si>
    <t>gbarajas@ups.com</t>
  </si>
  <si>
    <t>jbarajas@ups.com</t>
  </si>
  <si>
    <t>lbarajas@ups.com</t>
  </si>
  <si>
    <t>mbarajas@ups.com</t>
  </si>
  <si>
    <t>rbarajas@ups.com</t>
  </si>
  <si>
    <t>toddbarajas@ups.com</t>
  </si>
  <si>
    <t>tbarajas@ups.com</t>
  </si>
  <si>
    <t>valentinabarajas@ups.com</t>
  </si>
  <si>
    <t>vbarajas@ups.com</t>
  </si>
  <si>
    <t>vbarakat@ups.com</t>
  </si>
  <si>
    <t>bdeepika@ups.com</t>
  </si>
  <si>
    <t>hbaral@ups.com</t>
  </si>
  <si>
    <t>baral.navnit@ups.com</t>
  </si>
  <si>
    <t>pbaral@ups.com</t>
  </si>
  <si>
    <t>sbaralic@ups.com</t>
  </si>
  <si>
    <t>annabaran@ups.com</t>
  </si>
  <si>
    <t>abaran@ups.com</t>
  </si>
  <si>
    <t>baran.barb@ups.com</t>
  </si>
  <si>
    <t>baran.mary@ups.com</t>
  </si>
  <si>
    <t>nicholasbaran@ups.com</t>
  </si>
  <si>
    <t>baranack.robin@ups.com</t>
  </si>
  <si>
    <t>ebaranek@ups.com</t>
  </si>
  <si>
    <t>abaraniak@ups.com</t>
  </si>
  <si>
    <t>kbaranieckamilewska@ups.com</t>
  </si>
  <si>
    <t>ibaranouski@ups.com</t>
  </si>
  <si>
    <t>obaranovskyi@ups.com</t>
  </si>
  <si>
    <t>aleksandrabaranowska@ups.com</t>
  </si>
  <si>
    <t>bbaranowska@ups.com</t>
  </si>
  <si>
    <t>lauriebaranowski@ups.com</t>
  </si>
  <si>
    <t>lbaranowski@ups.com</t>
  </si>
  <si>
    <t>rbaranowski@ups.com</t>
  </si>
  <si>
    <t>abaranska@ups.com</t>
  </si>
  <si>
    <t>mbaranska@ups.com</t>
  </si>
  <si>
    <t>bkislay@ups.com</t>
  </si>
  <si>
    <t>obarat@ups.com</t>
  </si>
  <si>
    <t>fbaratta@ups.com</t>
  </si>
  <si>
    <t>barauslagende@ups.com</t>
  </si>
  <si>
    <t>kbaray@ups.com</t>
  </si>
  <si>
    <t>ebbarayuga@ups.com</t>
  </si>
  <si>
    <t>rbarazowski@ups.com</t>
  </si>
  <si>
    <t>barb@buyseasons.com</t>
  </si>
  <si>
    <t>alfredbarba@ups.com</t>
  </si>
  <si>
    <t>abarba@ups.com</t>
  </si>
  <si>
    <t>aliciabarba@ups.com</t>
  </si>
  <si>
    <t>barba.christopher@ups.com</t>
  </si>
  <si>
    <t>lbarbacompanioni@ups.com</t>
  </si>
  <si>
    <t>ebarba@ups.com</t>
  </si>
  <si>
    <t>fbarba@ups.com</t>
  </si>
  <si>
    <t>cbarba@ups.com</t>
  </si>
  <si>
    <t>jbarba@ups.com</t>
  </si>
  <si>
    <t>mbarba@ups.com</t>
  </si>
  <si>
    <t>rbarba@ups.com</t>
  </si>
  <si>
    <t>billingbb@ups.com</t>
  </si>
  <si>
    <t>pbarbancho@ups.com</t>
  </si>
  <si>
    <t>barbara.butler@oneida.com</t>
  </si>
  <si>
    <t>barbara.castellano@toysrus.com</t>
  </si>
  <si>
    <t>Barbara@atozmedia.com</t>
  </si>
  <si>
    <t>DEWITTB@YNA.US</t>
  </si>
  <si>
    <t>Barbara.jones@amoena.com</t>
  </si>
  <si>
    <t>receptionist@rogersservicegroup.com</t>
  </si>
  <si>
    <t>barbara.lester@hp.com</t>
  </si>
  <si>
    <t>Barbara.Milnes@ricoh-usa.com</t>
  </si>
  <si>
    <t>bohno@clarion.com</t>
  </si>
  <si>
    <t>barbara.sturgeon@kla-tencor.com</t>
  </si>
  <si>
    <t>abarbarawi@ups.com</t>
  </si>
  <si>
    <t>jbarbarczuk@ups.com</t>
  </si>
  <si>
    <t>tbarbariantz@ups.com</t>
  </si>
  <si>
    <t>lukabarbaric@ups.com</t>
  </si>
  <si>
    <t>anna.barbarino@europe.ups.com</t>
  </si>
  <si>
    <t>nbarbaro@ups.com</t>
  </si>
  <si>
    <t>dbarbato@ups.com</t>
  </si>
  <si>
    <t>kbarbee@ups.com</t>
  </si>
  <si>
    <t>kmbarbee@ups.com</t>
  </si>
  <si>
    <t>pbarbee@ups.com</t>
  </si>
  <si>
    <t>wbarbee@ups.com</t>
  </si>
  <si>
    <t>abarber@ups.com</t>
  </si>
  <si>
    <t>carolinebarber@ups.com</t>
  </si>
  <si>
    <t>chadbarber@ups.com</t>
  </si>
  <si>
    <t>cbarber@ups.com</t>
  </si>
  <si>
    <t>dbarber@ups.com</t>
  </si>
  <si>
    <t>dustinbarber@ups.com</t>
  </si>
  <si>
    <t>gracebarber@ups.com</t>
  </si>
  <si>
    <t>jasonbarber@ups.com</t>
  </si>
  <si>
    <t>jbarber@ups.com</t>
  </si>
  <si>
    <t>jeffbarber@ups.com</t>
  </si>
  <si>
    <t>jimbarber@ups.com</t>
  </si>
  <si>
    <t>kimberlybarber@ups.com</t>
  </si>
  <si>
    <t>kbarber@ups.com</t>
  </si>
  <si>
    <t>mbarber@ups.com</t>
  </si>
  <si>
    <t>melindabarber@ups.com</t>
  </si>
  <si>
    <t>michaelbarber@ups.com</t>
  </si>
  <si>
    <t>michellebarber@ups.com</t>
  </si>
  <si>
    <t>nxbarber@ups.com</t>
  </si>
  <si>
    <t>oliverbarber@ups.com</t>
  </si>
  <si>
    <t>rasheenbarber@ups.com</t>
  </si>
  <si>
    <t>takiyshabarber@ups.com</t>
  </si>
  <si>
    <t>taylerbarber@ups.com</t>
  </si>
  <si>
    <t>timothybarber@ups.com</t>
  </si>
  <si>
    <t>toddbarber@upsstore.com</t>
  </si>
  <si>
    <t>tbarber@ups.com</t>
  </si>
  <si>
    <t>wbarber@ups.com</t>
  </si>
  <si>
    <t>jbarberajr@ups.com</t>
  </si>
  <si>
    <t>mauriziobarberini@ups.com</t>
  </si>
  <si>
    <t>mbarbero@ups.com</t>
  </si>
  <si>
    <t>kbarbery@ups.com</t>
  </si>
  <si>
    <t>alessandro.barbetti@europe.ups.com</t>
  </si>
  <si>
    <t>abarbic@ups.com</t>
  </si>
  <si>
    <t>dbarbiea@ups.com</t>
  </si>
  <si>
    <t>abarbier@ups.com</t>
  </si>
  <si>
    <t>bbarbier@ups.com</t>
  </si>
  <si>
    <t>jaybarbier@ups.com</t>
  </si>
  <si>
    <t>jbarbier@ups.com</t>
  </si>
  <si>
    <t>rafaelbarbieri@ups.com</t>
  </si>
  <si>
    <t>michela.barbini@europe.ups.com</t>
  </si>
  <si>
    <t>fbarbir@ups.com</t>
  </si>
  <si>
    <t>nbarbir@ups.com</t>
  </si>
  <si>
    <t>sbarbir@ups.com</t>
  </si>
  <si>
    <t>mbarbookles@ups.com</t>
  </si>
  <si>
    <t>fbarbosa@ups.com</t>
  </si>
  <si>
    <t>gbarbosa@ups.com</t>
  </si>
  <si>
    <t>gustavobarbosa@ups.com</t>
  </si>
  <si>
    <t>ivonebarbosa@ups.com</t>
  </si>
  <si>
    <t>jbarbosa@ups.com</t>
  </si>
  <si>
    <t>bluchelle@ups.com</t>
  </si>
  <si>
    <t>mbarbosa@ups.com</t>
  </si>
  <si>
    <t>obarbosamonsalve@ups.com</t>
  </si>
  <si>
    <t>nbarbosa@ups.com</t>
  </si>
  <si>
    <t>paulbarbosa@ups.com</t>
  </si>
  <si>
    <t>rbarbosa@ups.com</t>
  </si>
  <si>
    <t>vbarbosa@ups.com</t>
  </si>
  <si>
    <t>wbarbosa@ups.com</t>
  </si>
  <si>
    <t>TBarbosa@livingstoninc.com</t>
  </si>
  <si>
    <t>abarbour@ups.com</t>
  </si>
  <si>
    <t>cbarbour@ups.com</t>
  </si>
  <si>
    <t>jbarbour@ups.com</t>
  </si>
  <si>
    <t>abarboza@ups.com</t>
  </si>
  <si>
    <t>cbarboza@ups.com</t>
  </si>
  <si>
    <t>vbarboza@ups.com</t>
  </si>
  <si>
    <t>victor.barboza@ups.com</t>
  </si>
  <si>
    <t>cbarbre@ups.com</t>
  </si>
  <si>
    <t>sbarbrey@ups.com</t>
  </si>
  <si>
    <t>tbarbrey@ups.com</t>
  </si>
  <si>
    <t>enrico.barbusca@europe.ups.com</t>
  </si>
  <si>
    <t>tbarbush@ups.com</t>
  </si>
  <si>
    <t>lbarcalow@ups.com</t>
  </si>
  <si>
    <t>silvia.barcaroli@europe.ups.com</t>
  </si>
  <si>
    <t>coord.rio@itatrans.com.br</t>
  </si>
  <si>
    <t>jbarcelo@ups.com</t>
  </si>
  <si>
    <t>mbarcelo@ups.com</t>
  </si>
  <si>
    <t>mbarcenilla@ups.com</t>
  </si>
  <si>
    <t>lbarchan@ups.com</t>
  </si>
  <si>
    <t>bbarchet@ups.com</t>
  </si>
  <si>
    <t>jbarchini@ups.com</t>
  </si>
  <si>
    <t>jbarcia@ups.com</t>
  </si>
  <si>
    <t>txema.barcina@europe.ups.com</t>
  </si>
  <si>
    <t>jbarcinas@ups.com</t>
  </si>
  <si>
    <t>lars.barckmann@europe.ups.com</t>
  </si>
  <si>
    <t>barclaysamuel@ups.com</t>
  </si>
  <si>
    <t>barclaysmailroom@ups.com</t>
  </si>
  <si>
    <t>abarco@ups.com</t>
  </si>
  <si>
    <t>rbarcomb@ups.com</t>
  </si>
  <si>
    <t>dorotabarczak@ups.com</t>
  </si>
  <si>
    <t>jbarczak@ups.com</t>
  </si>
  <si>
    <t>rbarczak@ups.com</t>
  </si>
  <si>
    <t>rbarczynski@ups.com</t>
  </si>
  <si>
    <t>bkaran@ups.com</t>
  </si>
  <si>
    <t>bbardele@ups.com</t>
  </si>
  <si>
    <t>lbardella@ups.com</t>
  </si>
  <si>
    <t>kbarden@ups.com</t>
  </si>
  <si>
    <t>pbardi@ups.com</t>
  </si>
  <si>
    <t>bbardill@ups.com</t>
  </si>
  <si>
    <t>bbardoni@ups.com</t>
  </si>
  <si>
    <t>abardouille@ups.com</t>
  </si>
  <si>
    <t>dpbardram@ups.com</t>
  </si>
  <si>
    <t>cbardsley@ups.com</t>
  </si>
  <si>
    <t>abarduchi@ups.com</t>
  </si>
  <si>
    <t>barevikrant@ups.com</t>
  </si>
  <si>
    <t>wbare@ups.com</t>
  </si>
  <si>
    <t>BBarefoot@upsstore.com</t>
  </si>
  <si>
    <t>gbareille@ups.com</t>
  </si>
  <si>
    <t>jbareis@ups.com</t>
  </si>
  <si>
    <t>jbarela@ups.com</t>
  </si>
  <si>
    <t>kbarela@ups.com</t>
  </si>
  <si>
    <t>pbarela@ups.com</t>
  </si>
  <si>
    <t>sbarela@ups.com</t>
  </si>
  <si>
    <t>christinabarella@ups.com</t>
  </si>
  <si>
    <t>lbarella@ups.com</t>
  </si>
  <si>
    <t>jbareman@ups.com</t>
  </si>
  <si>
    <t>mbarencik@ups.com</t>
  </si>
  <si>
    <t>mbarend@ups.com</t>
  </si>
  <si>
    <t>rbareng@ups.com</t>
  </si>
  <si>
    <t>ebareno@ups.com</t>
  </si>
  <si>
    <t>abaret@ups.com</t>
  </si>
  <si>
    <t>bbarfield@ups.com</t>
  </si>
  <si>
    <t>jbarfield@ups.com</t>
  </si>
  <si>
    <t>kxbarfield@ups.com</t>
  </si>
  <si>
    <t>rbarfield@ups.com</t>
  </si>
  <si>
    <t>wbarfield@ups.com</t>
  </si>
  <si>
    <t>larenbarge@ups.com</t>
  </si>
  <si>
    <t>sbarge@ups.com</t>
  </si>
  <si>
    <t>bbarger@ups.com</t>
  </si>
  <si>
    <t>cabarger@ups.com</t>
  </si>
  <si>
    <t>michaelbarger@ups.com</t>
  </si>
  <si>
    <t>sbarger@ups.com</t>
  </si>
  <si>
    <t>vbarger@ups.com</t>
  </si>
  <si>
    <t>emilybargery@ups.com</t>
  </si>
  <si>
    <t>cbarham@ups.com</t>
  </si>
  <si>
    <t>ebarham@ups.com</t>
  </si>
  <si>
    <t>cbarhamjr@ups.com</t>
  </si>
  <si>
    <t>sbarhate@ups.com</t>
  </si>
  <si>
    <t>jbarhorst@ups.com</t>
  </si>
  <si>
    <t>bariamit@ups.com</t>
  </si>
  <si>
    <t>abari@ups.com</t>
  </si>
  <si>
    <t>ibari@ups.com</t>
  </si>
  <si>
    <t>rbaria@ups.com</t>
  </si>
  <si>
    <t>barias@ctron.com</t>
  </si>
  <si>
    <t>abaricevic@ups.com</t>
  </si>
  <si>
    <t>dbarichak@ups.com</t>
  </si>
  <si>
    <t>sbarick@ups.com</t>
  </si>
  <si>
    <t>tbarie@ups.com</t>
  </si>
  <si>
    <t>bariksmruti@ups.com</t>
  </si>
  <si>
    <t>fbarillas@ups.com</t>
  </si>
  <si>
    <t>gbarillas@ups.com</t>
  </si>
  <si>
    <t>ibarillas@ups.com</t>
  </si>
  <si>
    <t>hbaris@ups.com</t>
  </si>
  <si>
    <t>bkathrinejoy@ups.com</t>
  </si>
  <si>
    <t>vbariyiga@ups.com</t>
  </si>
  <si>
    <t>dbark@ups.com</t>
  </si>
  <si>
    <t>btaewon@ups.com</t>
  </si>
  <si>
    <t>vbarka@ups.com</t>
  </si>
  <si>
    <t>barchana@ups.com</t>
  </si>
  <si>
    <t>jbarkanic@ups.com</t>
  </si>
  <si>
    <t>abarkans@ups.com</t>
  </si>
  <si>
    <t>rbarkdull@ups.com</t>
  </si>
  <si>
    <t>aebarker@ups.com</t>
  </si>
  <si>
    <t>austinbarker@ups.com</t>
  </si>
  <si>
    <t>cherylbarker@ups.com</t>
  </si>
  <si>
    <t>christopherbarker@ups.com</t>
  </si>
  <si>
    <t>ccbarker@ups.com</t>
  </si>
  <si>
    <t>crystalbarker@ups.com</t>
  </si>
  <si>
    <t>gbarker@ups.com</t>
  </si>
  <si>
    <t>FQP4LXJ@ups.com</t>
  </si>
  <si>
    <t>lbarker@ups.com</t>
  </si>
  <si>
    <t>mbarker@upsstore.com</t>
  </si>
  <si>
    <t>masonbarker@ups.com</t>
  </si>
  <si>
    <t>nikkibarker@ups.com</t>
  </si>
  <si>
    <t>robertbarker@ups.com</t>
  </si>
  <si>
    <t>roybarker@ups.com</t>
  </si>
  <si>
    <t>scottbarker@ups.com</t>
  </si>
  <si>
    <t>barker.sophia@ups.com</t>
  </si>
  <si>
    <t>UKG6TSB@europe.ups.com</t>
  </si>
  <si>
    <t>wbarker@ups.com</t>
  </si>
  <si>
    <t>abarkhad@ups.com</t>
  </si>
  <si>
    <t>abarkins@ups.com</t>
  </si>
  <si>
    <t>jonathanbarkley@ups.com</t>
  </si>
  <si>
    <t>dbarkleyjr@ups.com</t>
  </si>
  <si>
    <t>judebarkley@ups.com</t>
  </si>
  <si>
    <t>mbarkley@ups.com</t>
  </si>
  <si>
    <t>sxbarkley@ups.com</t>
  </si>
  <si>
    <t>sbarkley@ups.com</t>
  </si>
  <si>
    <t>mbarkolas@ups.com</t>
  </si>
  <si>
    <t>abarksdale@ups.com</t>
  </si>
  <si>
    <t>bbarksdale@ups.com</t>
  </si>
  <si>
    <t>dbarksdale@ups.com</t>
  </si>
  <si>
    <t>derrickbarksdale@ups.com</t>
  </si>
  <si>
    <t>jbarksdale@ups.com</t>
  </si>
  <si>
    <t>kbarksdale@ups.com</t>
  </si>
  <si>
    <t>mbarksdale@ups.com</t>
  </si>
  <si>
    <t>tiffineybarksdale@ups.com</t>
  </si>
  <si>
    <t>tbarksdale@ups.com</t>
  </si>
  <si>
    <t>sbarksfield@ups.com</t>
  </si>
  <si>
    <t>bdasharath@ups.com</t>
  </si>
  <si>
    <t>dbarla@ups.com</t>
  </si>
  <si>
    <t>ebarlaan@ups.com</t>
  </si>
  <si>
    <t>jbarland@ups.com</t>
  </si>
  <si>
    <t>jbarlee@ups.com</t>
  </si>
  <si>
    <t>kbarley@ups.com</t>
  </si>
  <si>
    <t>sbarley@ups.com</t>
  </si>
  <si>
    <t>carinabarlow@ups.com</t>
  </si>
  <si>
    <t>christopherbarlow@ups.com</t>
  </si>
  <si>
    <t>colleenbarlow@ups.com</t>
  </si>
  <si>
    <t>dbarlow@ups.com</t>
  </si>
  <si>
    <t>jbarlow@ups.com</t>
  </si>
  <si>
    <t>jessicabarlow@ups.com</t>
  </si>
  <si>
    <t>mbarlow1@ups.com</t>
  </si>
  <si>
    <t>tbarlow@ups.com</t>
  </si>
  <si>
    <t>wbarlow@ups.com</t>
  </si>
  <si>
    <t>abarlup@ups.com</t>
  </si>
  <si>
    <t>sbarma@ups.com</t>
  </si>
  <si>
    <t>abarmore@ups.com</t>
  </si>
  <si>
    <t>kbarna@ups.com</t>
  </si>
  <si>
    <t>cbarnabe@ups.com</t>
  </si>
  <si>
    <t>ebarnaby@ups.com</t>
  </si>
  <si>
    <t>cbarnack@ups.com</t>
  </si>
  <si>
    <t>sbarnacki@ups.com</t>
  </si>
  <si>
    <t>barnardantonette@ups.com</t>
  </si>
  <si>
    <t>cbarnard@ups.com</t>
  </si>
  <si>
    <t>ebarnard@ups.com</t>
  </si>
  <si>
    <t>gbarnard@ups.com</t>
  </si>
  <si>
    <t>hbarnard@ups.com</t>
  </si>
  <si>
    <t>mpbarnard@ups.com</t>
  </si>
  <si>
    <t>tbarnard@ups.com</t>
  </si>
  <si>
    <t>ibarnardweston@ups.com</t>
  </si>
  <si>
    <t>pbarnas@ups.com</t>
  </si>
  <si>
    <t>rbarndt@ups.com</t>
  </si>
  <si>
    <t>sbarnecut@ups.com</t>
  </si>
  <si>
    <t>rbarnell@ups.com</t>
  </si>
  <si>
    <t>jbarner@ups.com</t>
  </si>
  <si>
    <t>aaronbarnes@ups.com</t>
  </si>
  <si>
    <t>rbarnesabeyawardena@ups.com</t>
  </si>
  <si>
    <t>adrickbarnes@ups.com</t>
  </si>
  <si>
    <t>aigneabarnes@ups.com</t>
  </si>
  <si>
    <t>akecionebarnes@ups.com</t>
  </si>
  <si>
    <t>abarnes@ups.com</t>
  </si>
  <si>
    <t>abarnes1@ups.com</t>
  </si>
  <si>
    <t>anthonybarnes@ups.com</t>
  </si>
  <si>
    <t>bbarnes@ups.com</t>
  </si>
  <si>
    <t>brentbarnes@ups.com</t>
  </si>
  <si>
    <t>briellabarnes@ups.com</t>
  </si>
  <si>
    <t>cainebarnes@ups.com</t>
  </si>
  <si>
    <t>carolbarnes@ups.com</t>
  </si>
  <si>
    <t>cherylbarnes@ups.com</t>
  </si>
  <si>
    <t>chevannesebarnes@ups.com</t>
  </si>
  <si>
    <t>connerbarnes@ups.com</t>
  </si>
  <si>
    <t>cbarnes1@ups.com</t>
  </si>
  <si>
    <t>courtneybarnes@ups.com</t>
  </si>
  <si>
    <t>dallinbarnes@ups.com</t>
  </si>
  <si>
    <t>dana.barnes@ups.com</t>
  </si>
  <si>
    <t>dbarnes1@ups.com</t>
  </si>
  <si>
    <t>danielbarnes@ups.com</t>
  </si>
  <si>
    <t>dannybarnes@ups.com</t>
  </si>
  <si>
    <t>darrylbarnes@ups.com</t>
  </si>
  <si>
    <t>dbbarnes@ups.com</t>
  </si>
  <si>
    <t>dawndrabarnes@ups.com</t>
  </si>
  <si>
    <t>dennisbarnes@ups.com</t>
  </si>
  <si>
    <t>dbarnes@ups.com</t>
  </si>
  <si>
    <t>diallabarnes@ups.com</t>
  </si>
  <si>
    <t>donbarnes@ups.com</t>
  </si>
  <si>
    <t>donaldbarnes@ups.com</t>
  </si>
  <si>
    <t>barnes.doreen@ups.com</t>
  </si>
  <si>
    <t>dougbarnes@ups.com</t>
  </si>
  <si>
    <t>drbarnes@ups.com</t>
  </si>
  <si>
    <t>ebarnes@ups.com</t>
  </si>
  <si>
    <t>gbarnes@ups.com</t>
  </si>
  <si>
    <t>gwenbarnes@ups.com</t>
  </si>
  <si>
    <t>jacobbarnes@ups.com</t>
  </si>
  <si>
    <t>jamelbarnes@ups.com</t>
  </si>
  <si>
    <t>jvbarnes@ups.com</t>
  </si>
  <si>
    <t>jamesbarnes@ups.com</t>
  </si>
  <si>
    <t>jmbarnes@ups.com</t>
  </si>
  <si>
    <t>jennabarnes@ups.com</t>
  </si>
  <si>
    <t>jenniferbarnes@ups.com</t>
  </si>
  <si>
    <t>jeremiahbarnes@ups.com</t>
  </si>
  <si>
    <t>jbarnes@ups.com</t>
  </si>
  <si>
    <t>johnbarnes@ups.com</t>
  </si>
  <si>
    <t>joybarnes@ups.com</t>
  </si>
  <si>
    <t>jlbarnes@ups.com</t>
  </si>
  <si>
    <t>kbarnes@ups.com</t>
  </si>
  <si>
    <t>keithbarnes@ups.com</t>
  </si>
  <si>
    <t>klbarnes@ups.com</t>
  </si>
  <si>
    <t>kernonbarnes@ups.com</t>
  </si>
  <si>
    <t>kimbleebarnes@ups.com</t>
  </si>
  <si>
    <t>kristiebarnes@ups.com</t>
  </si>
  <si>
    <t>ltbarnes@ups.com</t>
  </si>
  <si>
    <t>laurindabarnes@ups.com</t>
  </si>
  <si>
    <t>madelynebarnes@ups.com</t>
  </si>
  <si>
    <t>mariabarnes@ups.com</t>
  </si>
  <si>
    <t>maricrisbarnes@ups.com</t>
  </si>
  <si>
    <t>markbarnes@ups.com</t>
  </si>
  <si>
    <t>mcbarnes@ups.com</t>
  </si>
  <si>
    <t>mbarnes@ups.com</t>
  </si>
  <si>
    <t>matthewbarnes@ups.com</t>
  </si>
  <si>
    <t>micahbarnes@ups.com</t>
  </si>
  <si>
    <t>michaelbarnes@ups.com</t>
  </si>
  <si>
    <t>mbarnes2@ups.com</t>
  </si>
  <si>
    <t>moniquebarnes@ups.com</t>
  </si>
  <si>
    <t>nbarnes@ups.com</t>
  </si>
  <si>
    <t>nsbarnes@ups.com</t>
  </si>
  <si>
    <t>nvbarnes@ups.com</t>
  </si>
  <si>
    <t>paigebarnes@ups.com</t>
  </si>
  <si>
    <t>pbarnes@ups.com</t>
  </si>
  <si>
    <t>prestonbarnes@ups.com</t>
  </si>
  <si>
    <t>rlbarnes@ups.com</t>
  </si>
  <si>
    <t>rdbarnes@ups.com</t>
  </si>
  <si>
    <t>ryanebarnes@ups.com</t>
  </si>
  <si>
    <t>sarabarnes@ups.com</t>
  </si>
  <si>
    <t>sbarnes@ups.com</t>
  </si>
  <si>
    <t>cbarnessr@ups.com</t>
  </si>
  <si>
    <t>stephenbarnes@ups.com</t>
  </si>
  <si>
    <t>tamineccabarnes@ups.com</t>
  </si>
  <si>
    <t>wbarnes@ups.com</t>
  </si>
  <si>
    <t>kbarnesfreeman@ups.com</t>
  </si>
  <si>
    <t>abarnett@ups.com</t>
  </si>
  <si>
    <t>amybarnett@ups.com</t>
  </si>
  <si>
    <t>aprilbarnett@ups.com</t>
  </si>
  <si>
    <t>bryanbarnett@ups.com</t>
  </si>
  <si>
    <t>cbarnett@ups.com</t>
  </si>
  <si>
    <t>cabarnett@ups.com</t>
  </si>
  <si>
    <t>chelondabarnett@ups.com</t>
  </si>
  <si>
    <t>cindybarnett@ups.com</t>
  </si>
  <si>
    <t>corriebarnett@ups.com</t>
  </si>
  <si>
    <t>darrellbarnett@ups.com</t>
  </si>
  <si>
    <t>ebarnett@ups.com</t>
  </si>
  <si>
    <t>ericbarnett@ups.com</t>
  </si>
  <si>
    <t>garybarnett@ups.com</t>
  </si>
  <si>
    <t>jamesonbarnett@ups.com</t>
  </si>
  <si>
    <t>jwbarnett@ups.com</t>
  </si>
  <si>
    <t>jeremybarnett@ups.com</t>
  </si>
  <si>
    <t>jbarnett1@ups.com</t>
  </si>
  <si>
    <t>joshuabarnett@ups.com</t>
  </si>
  <si>
    <t>rbarnettjr@ups.com</t>
  </si>
  <si>
    <t>jbarnett@ups.com</t>
  </si>
  <si>
    <t>kathybarnett@ups.com</t>
  </si>
  <si>
    <t>kaylabarnett@ups.com</t>
  </si>
  <si>
    <t>kevinbarnett@ups.com</t>
  </si>
  <si>
    <t>kimberlybarnett@ups.com</t>
  </si>
  <si>
    <t>kristinbarnett@ups.com</t>
  </si>
  <si>
    <t>mbarnett@ups.com</t>
  </si>
  <si>
    <t>michaelbarnett@ups.com</t>
  </si>
  <si>
    <t>milanbarnett@ups.com</t>
  </si>
  <si>
    <t>pamelabarnett@ups.com</t>
  </si>
  <si>
    <t>pbarnett@ups.com</t>
  </si>
  <si>
    <t>rbarnett@ups.com</t>
  </si>
  <si>
    <t>scottbarnett@ups.com</t>
  </si>
  <si>
    <t>sbarnett1@ups.com</t>
  </si>
  <si>
    <t>seanbarnett@ups.com</t>
  </si>
  <si>
    <t>slatenbarnett@ups.com</t>
  </si>
  <si>
    <t>skbarnett@ups.com</t>
  </si>
  <si>
    <t>sbarnett@ups.com</t>
  </si>
  <si>
    <t>stevenbarnett@ups.com</t>
  </si>
  <si>
    <t>suzanbarnett@ups.com</t>
  </si>
  <si>
    <t>travarisbarnett@ups.com</t>
  </si>
  <si>
    <t>vbarnett@ups.com</t>
  </si>
  <si>
    <t>bbarnette@ups.com</t>
  </si>
  <si>
    <t>cliffordbarnette@ups.com</t>
  </si>
  <si>
    <t>kbarnette@ups.com</t>
  </si>
  <si>
    <t>lbarnette@ups.com</t>
  </si>
  <si>
    <t>tiffanybarnette@ups.com</t>
  </si>
  <si>
    <t>cbarneyjr@ups.com</t>
  </si>
  <si>
    <t>sbarney@ups.com</t>
  </si>
  <si>
    <t>bbarnhardt@ups.com</t>
  </si>
  <si>
    <t>dbarnhart@ups.com</t>
  </si>
  <si>
    <t>jpbarnahrt2@ups.com</t>
  </si>
  <si>
    <t>jbarnhart@ups.com</t>
  </si>
  <si>
    <t>rbarnhart@ups.com</t>
  </si>
  <si>
    <t>ryanbarnhart@ups.com</t>
  </si>
  <si>
    <t>zbarnhart@ups.com</t>
  </si>
  <si>
    <t>abarnhill@ups.com</t>
  </si>
  <si>
    <t>jbarnhill@ups.com</t>
  </si>
  <si>
    <t>johnbarnhill@ups.com</t>
  </si>
  <si>
    <t>nbarnhurst@ups.com</t>
  </si>
  <si>
    <t>pbarnick@ups.com</t>
  </si>
  <si>
    <t>kbarnson@ups.com</t>
  </si>
  <si>
    <t>dbarnum@ups.com</t>
  </si>
  <si>
    <t>tbarnum@ups.com</t>
  </si>
  <si>
    <t>kbarnwell@ups.com</t>
  </si>
  <si>
    <t>rbarnwell@ups.com</t>
  </si>
  <si>
    <t>timothybarnwell@ups.com</t>
  </si>
  <si>
    <t>tbarnwell@ups.com</t>
  </si>
  <si>
    <t>jbarocio@ups.com</t>
  </si>
  <si>
    <t>dbaron@ups.com</t>
  </si>
  <si>
    <t>ebaron@ups.com</t>
  </si>
  <si>
    <t>ebaron1@ups.com</t>
  </si>
  <si>
    <t>kbaron@ups.com</t>
  </si>
  <si>
    <t>bmacristina@ups.com</t>
  </si>
  <si>
    <t>mbaron@ups.com</t>
  </si>
  <si>
    <t>mlbaron@ups.com</t>
  </si>
  <si>
    <t>monabaron@ups.com</t>
  </si>
  <si>
    <t>tricia.baron@ups.com</t>
  </si>
  <si>
    <t>abarone@ups.com</t>
  </si>
  <si>
    <t>jbarone@winholt.com</t>
  </si>
  <si>
    <t>pbarone@ups.com</t>
  </si>
  <si>
    <t>sbarone@ups.com</t>
  </si>
  <si>
    <t>beriberto@ups.com</t>
  </si>
  <si>
    <t>tbaronian@ups.com</t>
  </si>
  <si>
    <t>lbaroniunaite@ups.com</t>
  </si>
  <si>
    <t>cbaronowitz@ups.com</t>
  </si>
  <si>
    <t>sbarot@ups.com</t>
  </si>
  <si>
    <t>abaroza@ups.com</t>
  </si>
  <si>
    <t>carolinabarquero@ups.com</t>
  </si>
  <si>
    <t>cbarquero@ups.com</t>
  </si>
  <si>
    <t>dbarquero@ups.com</t>
  </si>
  <si>
    <t>lbarquerorojas@ups.com</t>
  </si>
  <si>
    <t>bbarr@ups.com</t>
  </si>
  <si>
    <t>cbarr@ups.com</t>
  </si>
  <si>
    <t>dakotabarr@ups.com</t>
  </si>
  <si>
    <t>dabarr@ups.com</t>
  </si>
  <si>
    <t>gordonbarr@ups.com</t>
  </si>
  <si>
    <t>hbarr@ups.com</t>
  </si>
  <si>
    <t>lbarr@ups.com</t>
  </si>
  <si>
    <t>mbarr@ups.com</t>
  </si>
  <si>
    <t>nbarr@ups.com</t>
  </si>
  <si>
    <t>rebekahbarr@ups.com</t>
  </si>
  <si>
    <t>rbarr@ups.com</t>
  </si>
  <si>
    <t>tbarr@ups.com</t>
  </si>
  <si>
    <t>juan.barra@europe.ups.com</t>
  </si>
  <si>
    <t>jbarrachina@ups.com</t>
  </si>
  <si>
    <t>mbarradas@ups.com</t>
  </si>
  <si>
    <t>abarragan@ups.com</t>
  </si>
  <si>
    <t>cbarragan@ups.com</t>
  </si>
  <si>
    <t>edgarbarragan@ups.com</t>
  </si>
  <si>
    <t>ebarragan@ups.com</t>
  </si>
  <si>
    <t>jbarragan@ups.com</t>
  </si>
  <si>
    <t>lbarragan@ups.com</t>
  </si>
  <si>
    <t>mbarragan@ups.com</t>
  </si>
  <si>
    <t>fbarraganperales@ups.com</t>
  </si>
  <si>
    <t>pbarral@ups.com</t>
  </si>
  <si>
    <t>jbarrale@ups.com</t>
  </si>
  <si>
    <t>ebarranco@ups.com</t>
  </si>
  <si>
    <t>rbarranqueiro@ups.com</t>
  </si>
  <si>
    <t>ebarrantes@ups.com</t>
  </si>
  <si>
    <t>rbarrantesugalde@ups.com</t>
  </si>
  <si>
    <t>abarratt@ups.com</t>
  </si>
  <si>
    <t>abarraza@ups.com</t>
  </si>
  <si>
    <t>cbarraza@ups.com</t>
  </si>
  <si>
    <t>gbarraza@ups.com</t>
  </si>
  <si>
    <t>jbarraza@ups.com</t>
  </si>
  <si>
    <t>jbarraza1@ups.com</t>
  </si>
  <si>
    <t>marisolbarraza@ups.com</t>
  </si>
  <si>
    <t>pbarraza@ups.com</t>
  </si>
  <si>
    <t>sbarraza@ups.com</t>
  </si>
  <si>
    <t>vbarreca@ups.com</t>
  </si>
  <si>
    <t>bdalisay@ups.com</t>
  </si>
  <si>
    <t>bmilaniel@ups.com</t>
  </si>
  <si>
    <t>abarreira@ups.com</t>
  </si>
  <si>
    <t>rbarreira@ups.com</t>
  </si>
  <si>
    <t>abarreiro@ups.com</t>
  </si>
  <si>
    <t>edouardbarreiro@ups.com</t>
  </si>
  <si>
    <t>gbarreiro@ups.com</t>
  </si>
  <si>
    <t>rbarreiro@ups.com</t>
  </si>
  <si>
    <t>mbarrellajr@ups.com</t>
  </si>
  <si>
    <t>jbarrena@ups.com</t>
  </si>
  <si>
    <t>nbarreno@ups.com</t>
  </si>
  <si>
    <t>abarrera@ups.com</t>
  </si>
  <si>
    <t>carlosbarrera@ups.com</t>
  </si>
  <si>
    <t>cbarrera@ups.com</t>
  </si>
  <si>
    <t>claudiabarrera@ups.com</t>
  </si>
  <si>
    <t>crystalbarrera@ups.com</t>
  </si>
  <si>
    <t>dbarrera@ups.com</t>
  </si>
  <si>
    <t>darianbarrera@ups.com</t>
  </si>
  <si>
    <t>eliciabarrera@ups.com</t>
  </si>
  <si>
    <t>abarreraescobar@ups.com</t>
  </si>
  <si>
    <t>NVW8YYZ@ups.com</t>
  </si>
  <si>
    <t>fbarrera@ups.com</t>
  </si>
  <si>
    <t>hbarrera@ups.com</t>
  </si>
  <si>
    <t>henriettabarrera@ups.com</t>
  </si>
  <si>
    <t>jarettbarrera@ups.com</t>
  </si>
  <si>
    <t>javierbarrera@ups.com</t>
  </si>
  <si>
    <t>jbarrera@ups.com</t>
  </si>
  <si>
    <t>bjessica@ups.com</t>
  </si>
  <si>
    <t>jorgebarrera@ups.com</t>
  </si>
  <si>
    <t>joselyndbarrera@ups.com</t>
  </si>
  <si>
    <t>jrbarrera@ups.com</t>
  </si>
  <si>
    <t>juanbarrera@ups.com</t>
  </si>
  <si>
    <t>mariobarrera@ups.com</t>
  </si>
  <si>
    <t>martinbarrera@ups.com</t>
  </si>
  <si>
    <t>rbarrera@ups.com</t>
  </si>
  <si>
    <t>sheilabarrera@ups.com</t>
  </si>
  <si>
    <t>sbarrera@ups.com</t>
  </si>
  <si>
    <t>ybarrera@ups.com</t>
  </si>
  <si>
    <t>bzyramae@ups.com</t>
  </si>
  <si>
    <t>abarreraramos@ups.com</t>
  </si>
  <si>
    <t>irinabarreras@ups.com</t>
  </si>
  <si>
    <t>nbarreras@ups.com</t>
  </si>
  <si>
    <t>abarreri@ups.com</t>
  </si>
  <si>
    <t>dbarrese@ups.com</t>
  </si>
  <si>
    <t>barrese.raymond@ups.com</t>
  </si>
  <si>
    <t>jbarretthieme@ups.com</t>
  </si>
  <si>
    <t>cbarreto@ups.com</t>
  </si>
  <si>
    <t>ebarreto@ups.com</t>
  </si>
  <si>
    <t>jbarreto@ups.com</t>
  </si>
  <si>
    <t>abarretomoreno@ups.com</t>
  </si>
  <si>
    <t>nicolebarreto@ups.com</t>
  </si>
  <si>
    <t>pbarreto@ups.com</t>
  </si>
  <si>
    <t>anijebarrett@ups.com</t>
  </si>
  <si>
    <t>abarrett@ups.com</t>
  </si>
  <si>
    <t>bradleybarrett@ups.com</t>
  </si>
  <si>
    <t>bbarrett@ups.com</t>
  </si>
  <si>
    <t>brandybarrett@ups.com</t>
  </si>
  <si>
    <t>dbarrett@ups.com</t>
  </si>
  <si>
    <t>davidbarrett@ups.com</t>
  </si>
  <si>
    <t>deanbarrett@ups.com</t>
  </si>
  <si>
    <t>dresdenbarrett@ups.com</t>
  </si>
  <si>
    <t>gingerbarrett@ups.com</t>
  </si>
  <si>
    <t>ibarrett@ups.com</t>
  </si>
  <si>
    <t>jamesbarrett@ups.com</t>
  </si>
  <si>
    <t>jbarrett@ups.com</t>
  </si>
  <si>
    <t>jasonbarrett@ups.com</t>
  </si>
  <si>
    <t>jeffreybarrett@ups.com</t>
  </si>
  <si>
    <t>jessicabarrett@ups.com</t>
  </si>
  <si>
    <t>johnbarrett@ups.com</t>
  </si>
  <si>
    <t>joycelinbarrett@ups.com</t>
  </si>
  <si>
    <t>kbarrett@ups.com</t>
  </si>
  <si>
    <t>kerrybarrett@ups.com</t>
  </si>
  <si>
    <t>kevinbarrett@ups.com</t>
  </si>
  <si>
    <t>lakishabarrett@ups.com</t>
  </si>
  <si>
    <t>lwbarrett@ups.com</t>
  </si>
  <si>
    <t>lbarrett@ups.com</t>
  </si>
  <si>
    <t>leighannbarrett@ups.com</t>
  </si>
  <si>
    <t>marybarrett@ups.com</t>
  </si>
  <si>
    <t>matthewbarrett@ups.com</t>
  </si>
  <si>
    <t>nicolebarrett@ups.com</t>
  </si>
  <si>
    <t>barrettn@onestopinc.com</t>
  </si>
  <si>
    <t>ppbarrett@ups.com</t>
  </si>
  <si>
    <t>randybarrett@ups.com</t>
  </si>
  <si>
    <t>rbarrett@ups.com</t>
  </si>
  <si>
    <t>rorybarrett@ups.com</t>
  </si>
  <si>
    <t>sbarrett@ups.com</t>
  </si>
  <si>
    <t>tbarrett@ups.com</t>
  </si>
  <si>
    <t>tevenbarrett@ups.com</t>
  </si>
  <si>
    <t>timbarrett@ups.com</t>
  </si>
  <si>
    <t>timothy.barrett@ups.com</t>
  </si>
  <si>
    <t>walterbarrett@ups.com</t>
  </si>
  <si>
    <t>wbarrett1@ups.com</t>
  </si>
  <si>
    <t>jbarrette@ups.com</t>
  </si>
  <si>
    <t>bjohn@ups.com</t>
  </si>
  <si>
    <t>jbarrick@ups.com</t>
  </si>
  <si>
    <t>sbarrickman@ups.com</t>
  </si>
  <si>
    <t>kbarrie@ups.com</t>
  </si>
  <si>
    <t>vannybarrie@ups.com</t>
  </si>
  <si>
    <t>abarrientos@ups.com</t>
  </si>
  <si>
    <t>lbarrientosbarrientos@ups.com</t>
  </si>
  <si>
    <t>elianabarrientos@ups.com</t>
  </si>
  <si>
    <t>bglenda@ups.com</t>
  </si>
  <si>
    <t>jesusbarrientos@ups.com</t>
  </si>
  <si>
    <t>bnilojeff@ups.com</t>
  </si>
  <si>
    <t>obarrientos@ups.com</t>
  </si>
  <si>
    <t>rbarrientos@ups.com</t>
  </si>
  <si>
    <t>dbarrier@ups.com</t>
  </si>
  <si>
    <t>mbarriera@ups.com</t>
  </si>
  <si>
    <t>zbarrierazarco@ups.com</t>
  </si>
  <si>
    <t>jbarriere@ups.com</t>
  </si>
  <si>
    <t>nbarriga@ups.com</t>
  </si>
  <si>
    <t>pbarriga@ups.com</t>
  </si>
  <si>
    <t>abarrile@ups.com</t>
  </si>
  <si>
    <t>robertbarringer@ups.com</t>
  </si>
  <si>
    <t>rbarrington@ups.com</t>
  </si>
  <si>
    <t>sbarrington@ups.com</t>
  </si>
  <si>
    <t>shantolbarrington@ups.com</t>
  </si>
  <si>
    <t>cbarrionuevo@ups.com</t>
  </si>
  <si>
    <t>jbarrionuevorodriguez@ups.com</t>
  </si>
  <si>
    <t>alejandrobarrios@ups.com</t>
  </si>
  <si>
    <t>abarrios@ups.com</t>
  </si>
  <si>
    <t>cbarrios@ups.com</t>
  </si>
  <si>
    <t>ebarrios@ups.com</t>
  </si>
  <si>
    <t>gbarrios@ups.com</t>
  </si>
  <si>
    <t>jbarrios@ups.com</t>
  </si>
  <si>
    <t>kbarrios@ups.com</t>
  </si>
  <si>
    <t>mbarrioslopez@ups.com</t>
  </si>
  <si>
    <t>robertbarrios@ups.com</t>
  </si>
  <si>
    <t>sbarrios@ups.com</t>
  </si>
  <si>
    <t>deant37363@aol.com</t>
  </si>
  <si>
    <t>abarro@ups.com</t>
  </si>
  <si>
    <t>rbarro@ups.com</t>
  </si>
  <si>
    <t>hbarroco@ups.com</t>
  </si>
  <si>
    <t>bjonathan@ups.com</t>
  </si>
  <si>
    <t>abarron@ups.com</t>
  </si>
  <si>
    <t>axbarron@ups.com</t>
  </si>
  <si>
    <t>bbarron@ups.com</t>
  </si>
  <si>
    <t>cbarron@ups.com</t>
  </si>
  <si>
    <t>donnabarron@ups.com</t>
  </si>
  <si>
    <t>ebarron@ups.com</t>
  </si>
  <si>
    <t>mbarronespinoza@ups.com</t>
  </si>
  <si>
    <t>heidibarron@ups.com</t>
  </si>
  <si>
    <t>jamesbarron@ups.com</t>
  </si>
  <si>
    <t>jbarron@ups.com</t>
  </si>
  <si>
    <t>jbarron1@ups.com</t>
  </si>
  <si>
    <t>lbarron@ups.com</t>
  </si>
  <si>
    <t>marcosbarron@ups.com</t>
  </si>
  <si>
    <t>maribelbarron@ups.com</t>
  </si>
  <si>
    <t>mbarron@ups.com</t>
  </si>
  <si>
    <t>nbarron@ups.com</t>
  </si>
  <si>
    <t>pbarron@ups.com</t>
  </si>
  <si>
    <t>pedrobarron@ups.com</t>
  </si>
  <si>
    <t>sbarron@ups.com</t>
  </si>
  <si>
    <t>vbarron@ups.com</t>
  </si>
  <si>
    <t>ebarros@upsstore.com</t>
  </si>
  <si>
    <t>elviobarros@ups.com</t>
  </si>
  <si>
    <t>jbarros@ups.com</t>
  </si>
  <si>
    <t>lucianabarros@ups.com</t>
  </si>
  <si>
    <t>vbarrosohernandez@ups.com</t>
  </si>
  <si>
    <t>jbarroso@ups.com</t>
  </si>
  <si>
    <t>mbarrotte@ups.com</t>
  </si>
  <si>
    <t>abarrow@ups.com</t>
  </si>
  <si>
    <t>cbarrow@ups.com</t>
  </si>
  <si>
    <t>hbarrow@ups.com</t>
  </si>
  <si>
    <t>jbarrow@ups.com</t>
  </si>
  <si>
    <t>jonathanbarrow@ups.com</t>
  </si>
  <si>
    <t>obarrow@ups.com</t>
  </si>
  <si>
    <t>webarrow@ups.com</t>
  </si>
  <si>
    <t>bbarrows@ups.com</t>
  </si>
  <si>
    <t>jbarrows@ups.com</t>
  </si>
  <si>
    <t>michaelbarrs@ups.com</t>
  </si>
  <si>
    <t>mbarrueta@ups.com</t>
  </si>
  <si>
    <t>bbaldeck@xpressman.com</t>
  </si>
  <si>
    <t>bbedard@franklintraffic.com</t>
  </si>
  <si>
    <t>cbarry@ups.com</t>
  </si>
  <si>
    <t>cnbarry@ups.com</t>
  </si>
  <si>
    <t>dbarry@ups.com</t>
  </si>
  <si>
    <t>barry.dawson@resideo.com</t>
  </si>
  <si>
    <t>eaglesfitz@comcast.net</t>
  </si>
  <si>
    <t>gbarry@ups.com</t>
  </si>
  <si>
    <t>BCHartman@taylorcorp.com</t>
  </si>
  <si>
    <t>jasonbarry@ups.com</t>
  </si>
  <si>
    <t>jbarry@ups.com</t>
  </si>
  <si>
    <t>juanbarry@ups.com</t>
  </si>
  <si>
    <t>ktbarry@ups.com</t>
  </si>
  <si>
    <t>kylebarry@ups.com</t>
  </si>
  <si>
    <t>BMALLOY@COLORADOCLOTHING.COM</t>
  </si>
  <si>
    <t>mbarry@ups.com</t>
  </si>
  <si>
    <t>obarry@ups.com</t>
  </si>
  <si>
    <t>pbarry@ups.com</t>
  </si>
  <si>
    <t>peterbarry@ups.com</t>
  </si>
  <si>
    <t>pjbarry@ups.com</t>
  </si>
  <si>
    <t>scottbarry@ups.com</t>
  </si>
  <si>
    <t>seanbarry@ups.com</t>
  </si>
  <si>
    <t>BARRYS@SPEP.COM</t>
  </si>
  <si>
    <t>sbarry@ups.com</t>
  </si>
  <si>
    <t>tbarry@ups.com</t>
  </si>
  <si>
    <t>warrenbarry@ups.com</t>
  </si>
  <si>
    <t>kbarrywalker@ups.com</t>
  </si>
  <si>
    <t>mbars@ups.com</t>
  </si>
  <si>
    <t>samanthabars@ups.com</t>
  </si>
  <si>
    <t>abarsamian@ups.com</t>
  </si>
  <si>
    <t>bjoelryan@ups.com</t>
  </si>
  <si>
    <t>kbarse@ups.com</t>
  </si>
  <si>
    <t>bpriyanka@ups.com</t>
  </si>
  <si>
    <t>nbarsing@ups.com</t>
  </si>
  <si>
    <t>jbarsomian@ups.com</t>
  </si>
  <si>
    <t>mbarsotti@ups.com</t>
  </si>
  <si>
    <t>abarstow@ups.com</t>
  </si>
  <si>
    <t>sbarstow@ups.com</t>
  </si>
  <si>
    <t>chris.barszcz@ups.com</t>
  </si>
  <si>
    <t>lbart@ups.com</t>
  </si>
  <si>
    <t>31652529313@gin.nl</t>
  </si>
  <si>
    <t>christopherbarta@ups.com</t>
  </si>
  <si>
    <t>kbarta@ups.com</t>
  </si>
  <si>
    <t>tbartaczewicz@ups.com</t>
  </si>
  <si>
    <t>lbartaddison@ups.com</t>
  </si>
  <si>
    <t>abartczak@ups.com</t>
  </si>
  <si>
    <t>zbartczak@ups.com</t>
  </si>
  <si>
    <t>cbartee@ups.com</t>
  </si>
  <si>
    <t>conradbartee@ups.com</t>
  </si>
  <si>
    <t>harrybartel@ups.com</t>
  </si>
  <si>
    <t>rbarteljr@ups.com</t>
  </si>
  <si>
    <t>bartel.steve@ups.com</t>
  </si>
  <si>
    <t>cbartell@ups.com</t>
  </si>
  <si>
    <t>sbartelmay@ups.com</t>
  </si>
  <si>
    <t>claudia.bartels@europe.ups.com</t>
  </si>
  <si>
    <t>hbartels@ups.com</t>
  </si>
  <si>
    <t>mbartels@ups.com</t>
  </si>
  <si>
    <t>dbartelt@ups.com</t>
  </si>
  <si>
    <t>gbartens@ups.com</t>
  </si>
  <si>
    <t>armin.bartenschlager@europe.ups.com</t>
  </si>
  <si>
    <t>rbartenstein@ups.com</t>
  </si>
  <si>
    <t>kbarter@ups.com</t>
  </si>
  <si>
    <t>gbartet@ups.com</t>
  </si>
  <si>
    <t>abarth@ups.com</t>
  </si>
  <si>
    <t>ebarth@ups.com</t>
  </si>
  <si>
    <t>gbarth@ups.com</t>
  </si>
  <si>
    <t>margaretbarth@ups.com</t>
  </si>
  <si>
    <t>mbarth@ups.com</t>
  </si>
  <si>
    <t>pbarth@ups.com</t>
  </si>
  <si>
    <t>tbarth@ups.com</t>
  </si>
  <si>
    <t>cbarthel@ups.com</t>
  </si>
  <si>
    <t>ebarthel@ups.com</t>
  </si>
  <si>
    <t>gbarthel@ups.com</t>
  </si>
  <si>
    <t>berlinebarthelemy@ups.com</t>
  </si>
  <si>
    <t>sbarthelemy@ups.com</t>
  </si>
  <si>
    <t>nbarthle@ups.com</t>
  </si>
  <si>
    <t>bbarthold@ups.com</t>
  </si>
  <si>
    <t>michellebarthold@ups.com</t>
  </si>
  <si>
    <t>abartholomew@ups.com</t>
  </si>
  <si>
    <t>bbartholomew@ups.com</t>
  </si>
  <si>
    <t>jbartholomew@ups.com</t>
  </si>
  <si>
    <t>lbartholomew@ups.com</t>
  </si>
  <si>
    <t>nbartie@ups.com</t>
  </si>
  <si>
    <t>mbartke@ups.com</t>
  </si>
  <si>
    <t>sbartke@ups.com</t>
  </si>
  <si>
    <t>abartkiewicz@ups.com</t>
  </si>
  <si>
    <t>dbartko@ups.com</t>
  </si>
  <si>
    <t>abartkow@ups.com</t>
  </si>
  <si>
    <t>abartkowiak@ups.com</t>
  </si>
  <si>
    <t>cbartkowiak@ups.com</t>
  </si>
  <si>
    <t>mbartkowiak@ups.com</t>
  </si>
  <si>
    <t>matthewbartkowiak@ups.com</t>
  </si>
  <si>
    <t>barbarabartl@ups.com</t>
  </si>
  <si>
    <t>ebartle@ups.com</t>
  </si>
  <si>
    <t>kbartlebaugh@ups.com</t>
  </si>
  <si>
    <t>bbartleson@ups.com</t>
  </si>
  <si>
    <t>abartlett1@ups.com</t>
  </si>
  <si>
    <t>alexbartlett@ups.com</t>
  </si>
  <si>
    <t>abartlett@ups.com</t>
  </si>
  <si>
    <t>chrisbartlett@ups.com</t>
  </si>
  <si>
    <t>dbartlett@ups.com</t>
  </si>
  <si>
    <t>jjbartlett@ups.com</t>
  </si>
  <si>
    <t>kbartlett@ups.com</t>
  </si>
  <si>
    <t>rbartlett@ups.com</t>
  </si>
  <si>
    <t>rossbartlett@ups.com</t>
  </si>
  <si>
    <t>sheilabartlett@ups.com</t>
  </si>
  <si>
    <t>theresabartlett@ups.com</t>
  </si>
  <si>
    <t>tbartlett@ups.com</t>
  </si>
  <si>
    <t>abartley@ups.com</t>
  </si>
  <si>
    <t>bbartley@ups.com</t>
  </si>
  <si>
    <t>kbartley@ups.com</t>
  </si>
  <si>
    <t>keithbartley@ups.com</t>
  </si>
  <si>
    <t>bartley.magar@seagate.com</t>
  </si>
  <si>
    <t>mbartley@ups.com</t>
  </si>
  <si>
    <t>rbartley@ups.com</t>
  </si>
  <si>
    <t>tbartley@ups.com</t>
  </si>
  <si>
    <t>tracibartley@ups.com</t>
  </si>
  <si>
    <t>vbartley@ups.com</t>
  </si>
  <si>
    <t>smbartley-rose@ups.com</t>
  </si>
  <si>
    <t>meganbartling@ups.com</t>
  </si>
  <si>
    <t>mbartling@ups.com</t>
  </si>
  <si>
    <t>jbartlowsr@ups.com</t>
  </si>
  <si>
    <t>dbartman@ups.com</t>
  </si>
  <si>
    <t>gbartman@ups.com</t>
  </si>
  <si>
    <t>mbartnick@ups.com</t>
  </si>
  <si>
    <t>dbartnicki@ups.com</t>
  </si>
  <si>
    <t>tbarto@ups.com</t>
  </si>
  <si>
    <t>cbartocci@ups.com</t>
  </si>
  <si>
    <t>mbartodziej@ups.com</t>
  </si>
  <si>
    <t>jbartolazzi@ups.com</t>
  </si>
  <si>
    <t>lbartoli@ups.com</t>
  </si>
  <si>
    <t>tbartoli@ups.com</t>
  </si>
  <si>
    <t>pbartolo@ups.com</t>
  </si>
  <si>
    <t>raulbartolo@ups.com</t>
  </si>
  <si>
    <t>abartolome@ups.com</t>
  </si>
  <si>
    <t>bfrederick1@ups.com</t>
  </si>
  <si>
    <t>jbartolome@ups.com</t>
  </si>
  <si>
    <t>bjeremiasrenato@ups.com</t>
  </si>
  <si>
    <t>bartolomejonathan@ups.com</t>
  </si>
  <si>
    <t>jbartolon@ups.com</t>
  </si>
  <si>
    <t>mbartolone@ups.com</t>
  </si>
  <si>
    <t>mbartolonifranco@ups.com</t>
  </si>
  <si>
    <t>sbartoloni@ups.com</t>
  </si>
  <si>
    <t>enricobartolucci@ups.com</t>
  </si>
  <si>
    <t>bbarton@ups.com</t>
  </si>
  <si>
    <t>cmbarton@ups.com</t>
  </si>
  <si>
    <t>cbarton@ups.com</t>
  </si>
  <si>
    <t>christopherbarton@ups.com</t>
  </si>
  <si>
    <t>cornelbarton@ups.com</t>
  </si>
  <si>
    <t>dbarton@ups.com</t>
  </si>
  <si>
    <t>davidbarton@ups.com</t>
  </si>
  <si>
    <t>dylanbarton@ups.com</t>
  </si>
  <si>
    <t>gbarton@ups.com</t>
  </si>
  <si>
    <t>hbarton@ups.com</t>
  </si>
  <si>
    <t>jeffbarton@ups.com</t>
  </si>
  <si>
    <t>johnbarton@ups.com</t>
  </si>
  <si>
    <t>kbarton@ups.com</t>
  </si>
  <si>
    <t>lynnbarton@ups.com</t>
  </si>
  <si>
    <t>mbarton@ups.com</t>
  </si>
  <si>
    <t>nbarton@ups.com</t>
  </si>
  <si>
    <t>pbarton@ups.com</t>
  </si>
  <si>
    <t>stephenbarton@ups.com</t>
  </si>
  <si>
    <t>tbarton@ups.com</t>
  </si>
  <si>
    <t>bartontransport@ups.com</t>
  </si>
  <si>
    <t>vbarton@ups.com</t>
  </si>
  <si>
    <t>wbarton@ups.com</t>
  </si>
  <si>
    <t>dbartonova@ups.com</t>
  </si>
  <si>
    <t>bbartos@ups.com</t>
  </si>
  <si>
    <t>mbartosh@ups.com</t>
  </si>
  <si>
    <t>mbartosiak@ups.com</t>
  </si>
  <si>
    <t>mbartosiewicz@ups.com</t>
  </si>
  <si>
    <t>mbartosik@ups.com</t>
  </si>
  <si>
    <t>ibartosz@ups.com</t>
  </si>
  <si>
    <t>abartoszewicz@ups.com</t>
  </si>
  <si>
    <t>pbartoszewski@ups.com</t>
  </si>
  <si>
    <t>hbartra@ups.com</t>
  </si>
  <si>
    <t>wbartram@ups.com</t>
  </si>
  <si>
    <t>daniellebarts@ups.com</t>
  </si>
  <si>
    <t>karl-heinz-bartsch@europe.ups.com</t>
  </si>
  <si>
    <t>kbartscher@ups.com</t>
  </si>
  <si>
    <t>bbartschi@ups.com</t>
  </si>
  <si>
    <t>cbartucci@ups.com</t>
  </si>
  <si>
    <t>sbartunek@ups.com</t>
  </si>
  <si>
    <t>reinhard.bartusch@europe.ups.com</t>
  </si>
  <si>
    <t>mbartusis@ups.com</t>
  </si>
  <si>
    <t>pbartys@ups.com</t>
  </si>
  <si>
    <t>ebartyzel@ups.com</t>
  </si>
  <si>
    <t>norbert.bartz@europe.ups.com</t>
  </si>
  <si>
    <t>wcbartz@ups.com</t>
  </si>
  <si>
    <t>sbartzokis@ups.com</t>
  </si>
  <si>
    <t>abarua@ups.com</t>
  </si>
  <si>
    <t>baruakiran@ups.com</t>
  </si>
  <si>
    <t>pbarua@ups.com</t>
  </si>
  <si>
    <t>sbarua@ups.com</t>
  </si>
  <si>
    <t>rbaruch@ups.com</t>
  </si>
  <si>
    <t>abaruti@ups.com</t>
  </si>
  <si>
    <t>hbaruwala@ups.com</t>
  </si>
  <si>
    <t>sbarve@ups.com</t>
  </si>
  <si>
    <t>scottbarwick@ups.com</t>
  </si>
  <si>
    <t>monikabarwinska@ups.com</t>
  </si>
  <si>
    <t>cbarwis@ups.com</t>
  </si>
  <si>
    <t>wbarz@ups.com</t>
  </si>
  <si>
    <t>cbarzey@ups.com</t>
  </si>
  <si>
    <t>dionnebarzey@ups.com</t>
  </si>
  <si>
    <t>mbas@ups.com</t>
  </si>
  <si>
    <t>bcyprianjade@ups.com</t>
  </si>
  <si>
    <t>jbasa@ups.com</t>
  </si>
  <si>
    <t>bkristineangela@ups.com</t>
  </si>
  <si>
    <t>kbasak@ups.com</t>
  </si>
  <si>
    <t>obasak@ups.com</t>
  </si>
  <si>
    <t>rbasak@ups.com</t>
  </si>
  <si>
    <t>sbasak@ups.com</t>
  </si>
  <si>
    <t>surajitbasak@ups.com</t>
  </si>
  <si>
    <t>abasani@ups.com</t>
  </si>
  <si>
    <t>fbasanisi@ups.com</t>
  </si>
  <si>
    <t>nbasant@ups.com</t>
  </si>
  <si>
    <t>buelent.basar@europe.ups.com</t>
  </si>
  <si>
    <t>jbasar@upsstore.com</t>
  </si>
  <si>
    <t>bmarge@ups.com</t>
  </si>
  <si>
    <t>pbasar@upsstore.com</t>
  </si>
  <si>
    <t>mbasaran@ups.com</t>
  </si>
  <si>
    <t>sbasaran@ups.com</t>
  </si>
  <si>
    <t>ubasaran@ups.com</t>
  </si>
  <si>
    <t>basarikattinitin@ups.com</t>
  </si>
  <si>
    <t>abasavarajurs@ups.com</t>
  </si>
  <si>
    <t>basave.miguel@ups.com</t>
  </si>
  <si>
    <t>mbasavraju@ups.com</t>
  </si>
  <si>
    <t>basbaseden@ups.com</t>
  </si>
  <si>
    <t>mbasch@ups.com</t>
  </si>
  <si>
    <t>kimbasciano@ups.com</t>
  </si>
  <si>
    <t>binecita@ups.com</t>
  </si>
  <si>
    <t>bjia@ups.com</t>
  </si>
  <si>
    <t>bremedios@ups.com</t>
  </si>
  <si>
    <t>broginal@ups.com</t>
  </si>
  <si>
    <t>rbascombe@ups.com</t>
  </si>
  <si>
    <t>bjessamae@ups.com</t>
  </si>
  <si>
    <t>dbasden@ups.com</t>
  </si>
  <si>
    <t>narendrabasdeo@ups.com</t>
  </si>
  <si>
    <t>CBasdeo@livingstoninc.com</t>
  </si>
  <si>
    <t>abasdras@ups.com</t>
  </si>
  <si>
    <t>dbasehoar@ups.com</t>
  </si>
  <si>
    <t>bbasehore@ups.com</t>
  </si>
  <si>
    <t>abasel@ups.com</t>
  </si>
  <si>
    <t>cbasel@ups.com</t>
  </si>
  <si>
    <t>bbasengezi@ups.com</t>
  </si>
  <si>
    <t>nbaser@ups.com</t>
  </si>
  <si>
    <t>mbasey@ups.com</t>
  </si>
  <si>
    <t>nbasford@ups.com</t>
  </si>
  <si>
    <t>cindybash@ups.com</t>
  </si>
  <si>
    <t>jbash@ups.com</t>
  </si>
  <si>
    <t>mbasha@ups.com</t>
  </si>
  <si>
    <t>abasham@ups.com</t>
  </si>
  <si>
    <t>anthonybasham@ups.com</t>
  </si>
  <si>
    <t>gbasham@ups.com</t>
  </si>
  <si>
    <t>jamarabasham@ups.com</t>
  </si>
  <si>
    <t>jbasham@ups.com</t>
  </si>
  <si>
    <t>lsbasham@ups.com</t>
  </si>
  <si>
    <t>mbasham@ups.com</t>
  </si>
  <si>
    <t>rbasham@ups.com</t>
  </si>
  <si>
    <t>sbasham@ups.com</t>
  </si>
  <si>
    <t>sbasham1@ups.com</t>
  </si>
  <si>
    <t>tbasham@ups.com</t>
  </si>
  <si>
    <t>bsunaina@ups.com</t>
  </si>
  <si>
    <t>ebashaw@ups.com</t>
  </si>
  <si>
    <t>eebashaw@ups.com</t>
  </si>
  <si>
    <t>fbasheer@ups.com</t>
  </si>
  <si>
    <t>sbasheer@ups.com</t>
  </si>
  <si>
    <t>mbasher@ups.com</t>
  </si>
  <si>
    <t>jbashford@ups.com</t>
  </si>
  <si>
    <t>kbashia@ups.com</t>
  </si>
  <si>
    <t>kbashir@ups.com</t>
  </si>
  <si>
    <t>ubashiru@ups.com</t>
  </si>
  <si>
    <t>sbashline@ups.com</t>
  </si>
  <si>
    <t>abashnick@ups.com</t>
  </si>
  <si>
    <t>mbashor@ups.com</t>
  </si>
  <si>
    <t>abashore@ups.com</t>
  </si>
  <si>
    <t>ibashtaqi@ups.com</t>
  </si>
  <si>
    <t>basicdg@ups.com</t>
  </si>
  <si>
    <t>bcbenyo@purefishing.com</t>
  </si>
  <si>
    <t>rbasile@ups.com</t>
  </si>
  <si>
    <t>hbasilgan@ups.com</t>
  </si>
  <si>
    <t>mbasili@ups.com</t>
  </si>
  <si>
    <t>dbasilio@ups.com</t>
  </si>
  <si>
    <t>bgerzon@ups.com</t>
  </si>
  <si>
    <t>gbasilio@ups.com</t>
  </si>
  <si>
    <t>bjethro@ups.com</t>
  </si>
  <si>
    <t>bmariziel@ups.com</t>
  </si>
  <si>
    <t>bzsamilariane@ups.com</t>
  </si>
  <si>
    <t>mbasilious@ups.com</t>
  </si>
  <si>
    <t>mbasinger@ups.com</t>
  </si>
  <si>
    <t>tbasinger@ups.com</t>
  </si>
  <si>
    <t>xavierbaskar@ups.com</t>
  </si>
  <si>
    <t>xbaskar@ups.com</t>
  </si>
  <si>
    <t>bbharathidasan@ups.com</t>
  </si>
  <si>
    <t>ebaskaran@ups.com</t>
  </si>
  <si>
    <t>hbaskaran@ups.com</t>
  </si>
  <si>
    <t>mbaskaran@ups.com</t>
  </si>
  <si>
    <t>kbaskauskaite@ups.com</t>
  </si>
  <si>
    <t>jbaskerville@ups.com</t>
  </si>
  <si>
    <t>kbaskerville@ups.com</t>
  </si>
  <si>
    <t>nbaskerville@ups.com</t>
  </si>
  <si>
    <t>tbaskett@ups.com</t>
  </si>
  <si>
    <t>bbaskin@ups.com</t>
  </si>
  <si>
    <t>brianbaskin@ups.com</t>
  </si>
  <si>
    <t>denisebaskin@ups.com</t>
  </si>
  <si>
    <t>dbaskin@ups.com</t>
  </si>
  <si>
    <t>vbaskin@ups.com</t>
  </si>
  <si>
    <t>bbaskins@ups.com</t>
  </si>
  <si>
    <t>tbasl@ups.com</t>
  </si>
  <si>
    <t>ebaslik@ups.com</t>
  </si>
  <si>
    <t>michelbasmadjian@ups.com</t>
  </si>
  <si>
    <t>bdimplejane@ups.com</t>
  </si>
  <si>
    <t>basmith@ctron.com</t>
  </si>
  <si>
    <t>ibasnight@ups.com</t>
  </si>
  <si>
    <t>dbason@ups.com</t>
  </si>
  <si>
    <t>mbason@ups.com</t>
  </si>
  <si>
    <t>mbasora@ups.com</t>
  </si>
  <si>
    <t>hbasra@ups.com</t>
  </si>
  <si>
    <t>jaswinderbasra@ups.com</t>
  </si>
  <si>
    <t>christopherbass@ups.com</t>
  </si>
  <si>
    <t>cbass@ups.com</t>
  </si>
  <si>
    <t>coreybass@ups.com</t>
  </si>
  <si>
    <t>dbass@ups.com</t>
  </si>
  <si>
    <t>delphiabass@ups.com</t>
  </si>
  <si>
    <t>gbass@ups.com</t>
  </si>
  <si>
    <t>heatherbass@ups.com</t>
  </si>
  <si>
    <t>hbass@ups.com</t>
  </si>
  <si>
    <t>jadabass@ups.com</t>
  </si>
  <si>
    <t>jbass@ups.com</t>
  </si>
  <si>
    <t>kbass@ups.com</t>
  </si>
  <si>
    <t>lbass@ups.com</t>
  </si>
  <si>
    <t>mbass@ups.com</t>
  </si>
  <si>
    <t>michaelbass@ups.com</t>
  </si>
  <si>
    <t>murradbass@ups.com</t>
  </si>
  <si>
    <t>nbass@ups.com</t>
  </si>
  <si>
    <t>qbass@ups.com</t>
  </si>
  <si>
    <t>rbass@ups.com</t>
  </si>
  <si>
    <t>sbass@ups.com</t>
  </si>
  <si>
    <t>tamarabass@ups.com</t>
  </si>
  <si>
    <t>thomasbass@ups.com</t>
  </si>
  <si>
    <t>vbass@ups.com</t>
  </si>
  <si>
    <t>sbassaler@ups.com</t>
  </si>
  <si>
    <t>dbassett@ups.com</t>
  </si>
  <si>
    <t>darrianbassett@ups.com</t>
  </si>
  <si>
    <t>jmbassett@ups.com</t>
  </si>
  <si>
    <t>kbassett@ups.com</t>
  </si>
  <si>
    <t>tbassett@ups.com</t>
  </si>
  <si>
    <t>pbassey@ups.com</t>
  </si>
  <si>
    <t>jbassham@ups.com</t>
  </si>
  <si>
    <t>jimmiebasshughes@ups.com</t>
  </si>
  <si>
    <t>nbassi@ups.com</t>
  </si>
  <si>
    <t>nbassiti@ups.com</t>
  </si>
  <si>
    <t>jbasso@ups.com</t>
  </si>
  <si>
    <t>jbastarache@ups.com</t>
  </si>
  <si>
    <t>markus.basten@europe.ups.com</t>
  </si>
  <si>
    <t>dbasterash@ups.com</t>
  </si>
  <si>
    <t>mbastianelli@ups.com</t>
  </si>
  <si>
    <t>lbastiansz@ups.com</t>
  </si>
  <si>
    <t>ebastidaalonso@ups.com</t>
  </si>
  <si>
    <t>jbastidasportilla@ups.com</t>
  </si>
  <si>
    <t>santiagobastidas@ups.com</t>
  </si>
  <si>
    <t>jbastijns@ups.com</t>
  </si>
  <si>
    <t>ibastilladiaz@ups.com</t>
  </si>
  <si>
    <t>ebastin@ups.com</t>
  </si>
  <si>
    <t>sbastin@ups.com</t>
  </si>
  <si>
    <t>bastoangeline@ups.com</t>
  </si>
  <si>
    <t>kbaston@ups.com</t>
  </si>
  <si>
    <t>fabio.bastos@ups.com</t>
  </si>
  <si>
    <t>natividade.bastos@europe.ups.com</t>
  </si>
  <si>
    <t>gbastow@ups.com</t>
  </si>
  <si>
    <t>sbastubbe@ups.com</t>
  </si>
  <si>
    <t>abasu@ups.com</t>
  </si>
  <si>
    <t>bdeepanwita@ups.com</t>
  </si>
  <si>
    <t>rbasu@ups.com</t>
  </si>
  <si>
    <t>bsibsankar@ups.com</t>
  </si>
  <si>
    <t>bashutosh@ups.com</t>
  </si>
  <si>
    <t>lbasuki@ups.com</t>
  </si>
  <si>
    <t>bmarina@ups.com</t>
  </si>
  <si>
    <t>dbasuroy@ups.com</t>
  </si>
  <si>
    <t>babhishek@ups.com</t>
  </si>
  <si>
    <t>baszak.christine@ups.com</t>
  </si>
  <si>
    <t>bjoanamarie@ups.com</t>
  </si>
  <si>
    <t>sbatalden@ups.com</t>
  </si>
  <si>
    <t>bbeverly@ups.com</t>
  </si>
  <si>
    <t>lbatalona@ups.com</t>
  </si>
  <si>
    <t>rbatara@ups.com</t>
  </si>
  <si>
    <t>pbatarowicz@ups.com</t>
  </si>
  <si>
    <t>mbatarseh@ups.com</t>
  </si>
  <si>
    <t>denise.batastini@ge.com</t>
  </si>
  <si>
    <t>mbatca@ups.com</t>
  </si>
  <si>
    <t>bbatchelor@ups.com</t>
  </si>
  <si>
    <t>beverleybatchelor@ups.com</t>
  </si>
  <si>
    <t>mbatchelor@ups.com</t>
  </si>
  <si>
    <t>samanthabatchelor@ups.com</t>
  </si>
  <si>
    <t>pbatchford@ups.com</t>
  </si>
  <si>
    <t>ebatdorff@ups.com</t>
  </si>
  <si>
    <t>cbateman@ups.com</t>
  </si>
  <si>
    <t>debbiebateman@ups.com</t>
  </si>
  <si>
    <t>justinbateman@ups.com</t>
  </si>
  <si>
    <t>kbateman@ups.com</t>
  </si>
  <si>
    <t>mbateman@ups.com</t>
  </si>
  <si>
    <t>sbateman@ups.com</t>
  </si>
  <si>
    <t>tbateman@ups.com</t>
  </si>
  <si>
    <t>vbateman@ups.com</t>
  </si>
  <si>
    <t>alexbates@ups.com</t>
  </si>
  <si>
    <t>alexandrabates@ups.com</t>
  </si>
  <si>
    <t>abates@ups.com</t>
  </si>
  <si>
    <t>bbates@ups.com</t>
  </si>
  <si>
    <t>carmenbates@ups.com</t>
  </si>
  <si>
    <t>cbates@ups.com</t>
  </si>
  <si>
    <t>christopherbates@ups.com</t>
  </si>
  <si>
    <t>danielbates@ups.com</t>
  </si>
  <si>
    <t>destinybates@ups.com</t>
  </si>
  <si>
    <t>dbates@jlclark.com</t>
  </si>
  <si>
    <t>ebates@ups.com</t>
  </si>
  <si>
    <t>eduardobates@ups.com</t>
  </si>
  <si>
    <t>jacquelinebates@ups.com</t>
  </si>
  <si>
    <t>jbates@ups.com</t>
  </si>
  <si>
    <t>jenniferbates@ups.com</t>
  </si>
  <si>
    <t>jbates2@ups.com</t>
  </si>
  <si>
    <t>jonathanbates@ups.com</t>
  </si>
  <si>
    <t>jbates1@ups.com</t>
  </si>
  <si>
    <t>juliabates@ups.com</t>
  </si>
  <si>
    <t>kbates@ups.com</t>
  </si>
  <si>
    <t>lisabates@ups.com</t>
  </si>
  <si>
    <t>lbates@ups.com</t>
  </si>
  <si>
    <t>matthewbates@ups.com</t>
  </si>
  <si>
    <t>mbates@ups.com</t>
  </si>
  <si>
    <t>michellebates@ups.com</t>
  </si>
  <si>
    <t>nbates@ups.com</t>
  </si>
  <si>
    <t>nubiabates@ups.com</t>
  </si>
  <si>
    <t>obates@ups.com</t>
  </si>
  <si>
    <t>parkerbates@ups.com</t>
  </si>
  <si>
    <t>pbates@ups.com</t>
  </si>
  <si>
    <t>rbates@ups.com</t>
  </si>
  <si>
    <t>richard.bates@ups.com</t>
  </si>
  <si>
    <t>rxbates@ups.com</t>
  </si>
  <si>
    <t>sbates@ups.com</t>
  </si>
  <si>
    <t>sonyabates@ups.com</t>
  </si>
  <si>
    <t>tannerbates@ups.com</t>
  </si>
  <si>
    <t>tbates@ups.com</t>
  </si>
  <si>
    <t>trentbates@ups.com</t>
  </si>
  <si>
    <t>vbates@ups.com</t>
  </si>
  <si>
    <t>mbatesbey@ups.com</t>
  </si>
  <si>
    <t>jbateson@ups.com</t>
  </si>
  <si>
    <t>kbatey@ups.com</t>
  </si>
  <si>
    <t>sbatey@ups.com</t>
  </si>
  <si>
    <t>bajay@ups.com</t>
  </si>
  <si>
    <t>rbath@ups.com</t>
  </si>
  <si>
    <t>sbathala@ups.com</t>
  </si>
  <si>
    <t>abathe@ups.com</t>
  </si>
  <si>
    <t>bthinesyan@ups.com</t>
  </si>
  <si>
    <t>kbathmann@ups.com</t>
  </si>
  <si>
    <t>abathula@ups.com</t>
  </si>
  <si>
    <t>surendrabathula@ups.com</t>
  </si>
  <si>
    <t>mbathurst@ups.com</t>
  </si>
  <si>
    <t>hbatie@ups.com</t>
  </si>
  <si>
    <t>jbatisse@ups.com</t>
  </si>
  <si>
    <t>anacatarinabatista@ups.com</t>
  </si>
  <si>
    <t>andersonbatista@ups.com</t>
  </si>
  <si>
    <t>lbatista@ups.com</t>
  </si>
  <si>
    <t>mbatista@ups.com</t>
  </si>
  <si>
    <t>hbatistamesquita@ups.com</t>
  </si>
  <si>
    <t>sbatista@ups.com</t>
  </si>
  <si>
    <t>stevenbatista@ups.com</t>
  </si>
  <si>
    <t>dbatiste@ups.com</t>
  </si>
  <si>
    <t>delvinbatiste@ups.com</t>
  </si>
  <si>
    <t>dominickbatiste@ups.com</t>
  </si>
  <si>
    <t>lbatiste@ups.com</t>
  </si>
  <si>
    <t>cbatlle@ups.com</t>
  </si>
  <si>
    <t>dbatllesanchez@ups.com</t>
  </si>
  <si>
    <t>lbatna@ups.com</t>
  </si>
  <si>
    <t>mbatorowicz@ups.com</t>
  </si>
  <si>
    <t>gbatra@ups.com</t>
  </si>
  <si>
    <t>kbatra@ups.com</t>
  </si>
  <si>
    <t>pbatres@ups.com</t>
  </si>
  <si>
    <t>sbatres@ups.com</t>
  </si>
  <si>
    <t>gbatross@ups.com</t>
  </si>
  <si>
    <t>abatschauer@ups.com</t>
  </si>
  <si>
    <t>abatson@ups.com</t>
  </si>
  <si>
    <t>hbatson@ups.com</t>
  </si>
  <si>
    <t>batson.jayne@ups.com</t>
  </si>
  <si>
    <t>kbatson@ups.com</t>
  </si>
  <si>
    <t>hbatt@ups.com</t>
  </si>
  <si>
    <t>wbatt@ups.com</t>
  </si>
  <si>
    <t>sbattad@ups.com</t>
  </si>
  <si>
    <t>abattaglia@ups.com</t>
  </si>
  <si>
    <t>rbattagliajr@ups.com</t>
  </si>
  <si>
    <t>mariabattaglia@ups.com</t>
  </si>
  <si>
    <t>battaglia.maurizio@ups.com</t>
  </si>
  <si>
    <t>rbattaglia@ups.com</t>
  </si>
  <si>
    <t>abattaglini@ups.com</t>
  </si>
  <si>
    <t>sbattaglini@ups.com</t>
  </si>
  <si>
    <t>ubattal@ups.com</t>
  </si>
  <si>
    <t>dbattease@ups.com</t>
  </si>
  <si>
    <t>angela.batten@ups.com</t>
  </si>
  <si>
    <t>rbattershell@ups.com</t>
  </si>
  <si>
    <t>jbattieste@ups.com</t>
  </si>
  <si>
    <t>bbattilega@ups.com</t>
  </si>
  <si>
    <t>jbattin@ups.com</t>
  </si>
  <si>
    <t>rbattin@ups.com</t>
  </si>
  <si>
    <t>rbattipaglia@ups.com</t>
  </si>
  <si>
    <t>mxbattista@ups.com</t>
  </si>
  <si>
    <t>mbattista@ups.com</t>
  </si>
  <si>
    <t>sbattistella@ups.com</t>
  </si>
  <si>
    <t>tbattisto@ups.com</t>
  </si>
  <si>
    <t>abattle@ups.com</t>
  </si>
  <si>
    <t>cbattle@ups.com</t>
  </si>
  <si>
    <t>jbattledonson@ups.com</t>
  </si>
  <si>
    <t>ibattle@ups.com</t>
  </si>
  <si>
    <t>jermainebattle@ups.com</t>
  </si>
  <si>
    <t>tbattlejr@ups.com</t>
  </si>
  <si>
    <t>lbattle@ups.com</t>
  </si>
  <si>
    <t>latieshabattle@ups.com</t>
  </si>
  <si>
    <t>magdabattle@ups.com</t>
  </si>
  <si>
    <t>mbattle@ups.com</t>
  </si>
  <si>
    <t>michellebattle@ups.com</t>
  </si>
  <si>
    <t>rbattles@ups.com</t>
  </si>
  <si>
    <t>jbattreal@ups.com</t>
  </si>
  <si>
    <t>tbatts@ups.com</t>
  </si>
  <si>
    <t>bvinita@ups.com</t>
  </si>
  <si>
    <t>jan-eric.batty@europe.ups.com</t>
  </si>
  <si>
    <t>vbatty@ups.com</t>
  </si>
  <si>
    <t>batucanjane@ups.com</t>
  </si>
  <si>
    <t>bmarkedison@ups.com</t>
  </si>
  <si>
    <t>abatueva@ups.com</t>
  </si>
  <si>
    <t>rbatugo@ups.com</t>
  </si>
  <si>
    <t>batuhan.minerva@ups.com</t>
  </si>
  <si>
    <t>tbatur@ups.com</t>
  </si>
  <si>
    <t>kbatura@ups.com</t>
  </si>
  <si>
    <t>cbaty@ups.com</t>
  </si>
  <si>
    <t>nbatz@ups.com</t>
  </si>
  <si>
    <t>pbatzel@ups.com</t>
  </si>
  <si>
    <t>abatzing@ups.com</t>
  </si>
  <si>
    <t>cbau@ups.com</t>
  </si>
  <si>
    <t>abaublits@ups.com</t>
  </si>
  <si>
    <t>tbaucom@ups.com</t>
  </si>
  <si>
    <t>tbauders@ups.com</t>
  </si>
  <si>
    <t>bbaudier@ups.com</t>
  </si>
  <si>
    <t>mpbaudin@ups.com</t>
  </si>
  <si>
    <t>sbaudisch@ups.com</t>
  </si>
  <si>
    <t>mbaudo@ups.com</t>
  </si>
  <si>
    <t>cbaudoin@ups.com</t>
  </si>
  <si>
    <t>Dieter.Bauer@uni-data.de</t>
  </si>
  <si>
    <t>abauer@ups.com</t>
  </si>
  <si>
    <t>andreasbauer@ups.com</t>
  </si>
  <si>
    <t>barbarabauer@ups.com</t>
  </si>
  <si>
    <t>brandonbauer@ups.com</t>
  </si>
  <si>
    <t>brianbauer@ups.com</t>
  </si>
  <si>
    <t>bbauer@ups.com</t>
  </si>
  <si>
    <t>dcbauer@ups.com</t>
  </si>
  <si>
    <t>dbauer@ups.com</t>
  </si>
  <si>
    <t>dbauer@premiumwear.com</t>
  </si>
  <si>
    <t>ebauer@ups.com</t>
  </si>
  <si>
    <t>jvbauer@ups.com</t>
  </si>
  <si>
    <t>johann.bauer@europe.ups.com</t>
  </si>
  <si>
    <t>kbauer@ups.com</t>
  </si>
  <si>
    <t>lbauer@ups.com</t>
  </si>
  <si>
    <t>michaelbauer@ups.com</t>
  </si>
  <si>
    <t>robertbauer@ups.com</t>
  </si>
  <si>
    <t>rbauer@ups.com</t>
  </si>
  <si>
    <t>ronaldbauer@ups.com</t>
  </si>
  <si>
    <t>scottbauer@ups.com</t>
  </si>
  <si>
    <t>sbauer@ups.com</t>
  </si>
  <si>
    <t>silviabauer@ups.com</t>
  </si>
  <si>
    <t>theresabauer@ups.com</t>
  </si>
  <si>
    <t>tbauer@ups.com</t>
  </si>
  <si>
    <t>vbauer@ups.com</t>
  </si>
  <si>
    <t>vlbauer@ups.com</t>
  </si>
  <si>
    <t>fbauerla@ups.com</t>
  </si>
  <si>
    <t>johnbauerle@ups.com</t>
  </si>
  <si>
    <t>nbauerle@ups.com</t>
  </si>
  <si>
    <t>rbauernfeind@ups.com</t>
  </si>
  <si>
    <t>siegfried.bauer@europe.ups.com</t>
  </si>
  <si>
    <t>abaugh@ups.com</t>
  </si>
  <si>
    <t>bbaugh@ups.com</t>
  </si>
  <si>
    <t>jbaugh@ups.com</t>
  </si>
  <si>
    <t>joshuabaugh@ups.com</t>
  </si>
  <si>
    <t>margaretbaugh@ups.com</t>
  </si>
  <si>
    <t>ybaugh@ups.com</t>
  </si>
  <si>
    <t>blbaughman@ups.com</t>
  </si>
  <si>
    <t>bbaughman@ups.com</t>
  </si>
  <si>
    <t>ebaughman@ups.com</t>
  </si>
  <si>
    <t>gbaughman@ups.com</t>
  </si>
  <si>
    <t>tbaughman@ups.com</t>
  </si>
  <si>
    <t>tylerbaughman@ups.com</t>
  </si>
  <si>
    <t>wbaughn@ups.com</t>
  </si>
  <si>
    <t>sbauhan@ups.com</t>
  </si>
  <si>
    <t>rbaui@ups.com</t>
  </si>
  <si>
    <t>abauko@ups.com</t>
  </si>
  <si>
    <t>bapplejoice@ups.com</t>
  </si>
  <si>
    <t>cbaul@ups.com</t>
  </si>
  <si>
    <t>bernestjoseph@ups.com</t>
  </si>
  <si>
    <t>bsherwine@ups.com</t>
  </si>
  <si>
    <t>mbaulos@ups.com</t>
  </si>
  <si>
    <t>abaum@ups.com</t>
  </si>
  <si>
    <t>bbaum@ups.com</t>
  </si>
  <si>
    <t>cbaum@ups.com</t>
  </si>
  <si>
    <t>dbauman@ups.com</t>
  </si>
  <si>
    <t>kbauman@ups.com</t>
  </si>
  <si>
    <t>mbauman@ups.com</t>
  </si>
  <si>
    <t>robertbauman@ups.com</t>
  </si>
  <si>
    <t>rbauman@ups.com</t>
  </si>
  <si>
    <t>bbaumann@ups.com</t>
  </si>
  <si>
    <t>ebaumann@ups.com</t>
  </si>
  <si>
    <t>gbaumann@ups.com</t>
  </si>
  <si>
    <t>herbert.baumann@europe.ups.com</t>
  </si>
  <si>
    <t>kbaumann@ups.com</t>
  </si>
  <si>
    <t>nbaumann@ups.com</t>
  </si>
  <si>
    <t>jbaumblatt@ups.com</t>
  </si>
  <si>
    <t>sbaumer@ups.com</t>
  </si>
  <si>
    <t>angelabaumgardner@ups.com</t>
  </si>
  <si>
    <t>bbaumgardner@ups.com</t>
  </si>
  <si>
    <t>rbaumgardner@ups.com</t>
  </si>
  <si>
    <t>wbaumgardner@ups.com</t>
  </si>
  <si>
    <t>chris.baumgart@ups.com</t>
  </si>
  <si>
    <t>hbaumgart@ups.com</t>
  </si>
  <si>
    <t>mbaumgart@ups.com</t>
  </si>
  <si>
    <t>tbaumgart@ups.com</t>
  </si>
  <si>
    <t>dbaumgarten@ups.com</t>
  </si>
  <si>
    <t>rbaumgarten@ups.com</t>
  </si>
  <si>
    <t>Christiane.Baumgartner@uni-data.de</t>
  </si>
  <si>
    <t>wbaumgartneriii@ups.com</t>
  </si>
  <si>
    <t>rbaumgartner@ups.com</t>
  </si>
  <si>
    <t>baumgartner.ryan@ups.com</t>
  </si>
  <si>
    <t>vbaumila@ups.com</t>
  </si>
  <si>
    <t>nicolasbaumlin@ups.com</t>
  </si>
  <si>
    <t>sbaumrucker@ups.com</t>
  </si>
  <si>
    <t>mbaun@ups.com</t>
  </si>
  <si>
    <t>pbaunthiyal@ups.com</t>
  </si>
  <si>
    <t>rbaur@ups.com</t>
  </si>
  <si>
    <t>bbaure@ups.com</t>
  </si>
  <si>
    <t>cbausley@ups.com</t>
  </si>
  <si>
    <t>tbaustert@ups.com</t>
  </si>
  <si>
    <t>annette.bauta@europe.ups.com</t>
  </si>
  <si>
    <t>adrianbautista@ups.com</t>
  </si>
  <si>
    <t>almudena.bautista@ups.com</t>
  </si>
  <si>
    <t>abautista@ups.com</t>
  </si>
  <si>
    <t>bangeline@ups.com</t>
  </si>
  <si>
    <t>bannemarie@ups.com</t>
  </si>
  <si>
    <t>augustinebautista@ups.com</t>
  </si>
  <si>
    <t>bbautista@ups.com</t>
  </si>
  <si>
    <t>carlosbautista@ups.com</t>
  </si>
  <si>
    <t>cbautista@ups.com</t>
  </si>
  <si>
    <t>bcindy@ups.com</t>
  </si>
  <si>
    <t>bdaryel@ups.com</t>
  </si>
  <si>
    <t>dbautista@ups.com</t>
  </si>
  <si>
    <t>eduardobautista@ups.com</t>
  </si>
  <si>
    <t>elenabautista@ups.com</t>
  </si>
  <si>
    <t>ebautista@ups.com</t>
  </si>
  <si>
    <t>fxbautista@ups.com</t>
  </si>
  <si>
    <t>franklinbautista@ups.com</t>
  </si>
  <si>
    <t>gbautista@ups.com</t>
  </si>
  <si>
    <t>bgirlly@ups.com</t>
  </si>
  <si>
    <t>JBautista@upsstore.com</t>
  </si>
  <si>
    <t>jeffreybautista@ups.com</t>
  </si>
  <si>
    <t>juanbautista@upsstore.com</t>
  </si>
  <si>
    <t>judybautista@ups.com</t>
  </si>
  <si>
    <t>bjulio@ups.com</t>
  </si>
  <si>
    <t>lindsaybautista@ups.com</t>
  </si>
  <si>
    <t>bautistamartin@ups.com</t>
  </si>
  <si>
    <t>michaelbautista@ups.com</t>
  </si>
  <si>
    <t>nasserbautista@ups.com</t>
  </si>
  <si>
    <t>natebautista@ups.com</t>
  </si>
  <si>
    <t>nbautista@ups.com</t>
  </si>
  <si>
    <t>obautista@ups.com</t>
  </si>
  <si>
    <t>brenzkyjohn@ups.com</t>
  </si>
  <si>
    <t>robertobautista@ups.com</t>
  </si>
  <si>
    <t>rbautista@ups.com</t>
  </si>
  <si>
    <t>staceybautista@ups.com</t>
  </si>
  <si>
    <t>bautistastanley@ups.com</t>
  </si>
  <si>
    <t>sbautista@ups.com</t>
  </si>
  <si>
    <t>bvaleriejoyce@ups.com</t>
  </si>
  <si>
    <t>dbautistavieyra@ups.com</t>
  </si>
  <si>
    <t>cbavanasi@ups.com</t>
  </si>
  <si>
    <t>mbavcic@ups.com</t>
  </si>
  <si>
    <t>dbavdek@ups.com</t>
  </si>
  <si>
    <t>mbaver@ups.com</t>
  </si>
  <si>
    <t>cetinbavkir@ups.com</t>
  </si>
  <si>
    <t>bbavosa@ups.com</t>
  </si>
  <si>
    <t>rbawden@ups.com</t>
  </si>
  <si>
    <t>dbaweja@ups.com</t>
  </si>
  <si>
    <t>jbawel@ups.com</t>
  </si>
  <si>
    <t>bnitradee@ups.com</t>
  </si>
  <si>
    <t>bbaxter@ups.com</t>
  </si>
  <si>
    <t>calebbaxter@ups.com</t>
  </si>
  <si>
    <t>genbaxterclg@livingstoninc.com</t>
  </si>
  <si>
    <t>cbaxter@ups.com</t>
  </si>
  <si>
    <t>genbaxter777@livingstoninc.com</t>
  </si>
  <si>
    <t>ebaxter@ups.com</t>
  </si>
  <si>
    <t>hbaxter@ups.com</t>
  </si>
  <si>
    <t>jamibaxter@ups.com</t>
  </si>
  <si>
    <t>jeffreybaxter@ups.com</t>
  </si>
  <si>
    <t>jenniferbaxter@ups.com</t>
  </si>
  <si>
    <t>jbaxter@ups.com</t>
  </si>
  <si>
    <t>kbaxter@ups.com</t>
  </si>
  <si>
    <t>lbaxter@ups.com</t>
  </si>
  <si>
    <t>lindabaxter@ups.com</t>
  </si>
  <si>
    <t>baxterloadingteam@ups.com</t>
  </si>
  <si>
    <t>mjbaxter@ups.com</t>
  </si>
  <si>
    <t>natashabaxter@ups.com</t>
  </si>
  <si>
    <t>nbaxter@ups.com</t>
  </si>
  <si>
    <t>normabaxter@ups.com</t>
  </si>
  <si>
    <t>baxter777op@ups.com</t>
  </si>
  <si>
    <t>pbaxter@upsstore.com</t>
  </si>
  <si>
    <t>baxterpumpteam@ups.com</t>
  </si>
  <si>
    <t>baxter777rec@ups.com</t>
  </si>
  <si>
    <t>rbaxter@ups.com</t>
  </si>
  <si>
    <t>rickybaxter@ups.com</t>
  </si>
  <si>
    <t>baxterrouting@ups.com</t>
  </si>
  <si>
    <t>genbaxterstj@livingstoninc.com</t>
  </si>
  <si>
    <t>baxtersalesforce130and114@ups.com</t>
  </si>
  <si>
    <t>stephaniebaxter@ups.com</t>
  </si>
  <si>
    <t>tbaxter@ups.com</t>
  </si>
  <si>
    <t>baxterexpediteorder@ups.com</t>
  </si>
  <si>
    <t>baxterpatientmanagement@ups.com</t>
  </si>
  <si>
    <t>cbaxterroerk@ups.com</t>
  </si>
  <si>
    <t>baxtersalesforce@ups.com</t>
  </si>
  <si>
    <t>baxtersiteevals@ups.com</t>
  </si>
  <si>
    <t>jbay@ups.com</t>
  </si>
  <si>
    <t>rbay@ups.com</t>
  </si>
  <si>
    <t>yvan.bay@europe.ups.com</t>
  </si>
  <si>
    <t>brosamae@ups.com</t>
  </si>
  <si>
    <t>abayar@ups.com</t>
  </si>
  <si>
    <t>gbayar@ups.com</t>
  </si>
  <si>
    <t>bjhenlie@ups.com</t>
  </si>
  <si>
    <t>nmakou@livingstoninc.com</t>
  </si>
  <si>
    <t>bbayatli@ups.com</t>
  </si>
  <si>
    <t>bbaydar@ups.com</t>
  </si>
  <si>
    <t>hbaydar@ups.com</t>
  </si>
  <si>
    <t>hbayego@ups.com</t>
  </si>
  <si>
    <t>gbayer@ups.com</t>
  </si>
  <si>
    <t>abayerli@ups.com</t>
  </si>
  <si>
    <t>mbayers@ups.com</t>
  </si>
  <si>
    <t>jbayes@ups.com</t>
  </si>
  <si>
    <t>mbayes@ups.com</t>
  </si>
  <si>
    <t>richard.bayes@europe.ups.com</t>
  </si>
  <si>
    <t>dbayeta@ups.com</t>
  </si>
  <si>
    <t>abayetova@ups.com</t>
  </si>
  <si>
    <t>gazanferbayezit@ups.com</t>
  </si>
  <si>
    <t>dbayford@ups.com</t>
  </si>
  <si>
    <t>gbayik@ups.com</t>
  </si>
  <si>
    <t>fbayindir@ups.com</t>
  </si>
  <si>
    <t>mbayindir@ups.com</t>
  </si>
  <si>
    <t>vbayir@ups.com</t>
  </si>
  <si>
    <t>jbayless@ups.com</t>
  </si>
  <si>
    <t>rbaylon@ups.com</t>
  </si>
  <si>
    <t>jasminebaylor@ups.com</t>
  </si>
  <si>
    <t>jbaylor@ups.com</t>
  </si>
  <si>
    <t>rbaylosis@ups.com</t>
  </si>
  <si>
    <t>bbaymaz@ups.com</t>
  </si>
  <si>
    <t>abaynard@ups.com</t>
  </si>
  <si>
    <t>jbayne@ups.com</t>
  </si>
  <si>
    <t>tbayne@ups.com</t>
  </si>
  <si>
    <t>jbaynes@ups.com</t>
  </si>
  <si>
    <t>kay.baynham@ups.com</t>
  </si>
  <si>
    <t>marybaynham@ups.com</t>
  </si>
  <si>
    <t>jbaynum@ups.com</t>
  </si>
  <si>
    <t>brenmart@ups.com</t>
  </si>
  <si>
    <t>cristina.bayot@europe.ups.com</t>
  </si>
  <si>
    <t>browena@ups.com</t>
  </si>
  <si>
    <t>obayrak@ups.com</t>
  </si>
  <si>
    <t>tbayrakal@ups.com</t>
  </si>
  <si>
    <t>ibayram@ups.com</t>
  </si>
  <si>
    <t>mbayramin@ups.com</t>
  </si>
  <si>
    <t>bkarenroyce@ups.com</t>
  </si>
  <si>
    <t>cbayrik@ups.com</t>
  </si>
  <si>
    <t>cbays@ups.com</t>
  </si>
  <si>
    <t>kbays@ups.com</t>
  </si>
  <si>
    <t>nbays@ups.com</t>
  </si>
  <si>
    <t>rebeccabays@ups.com</t>
  </si>
  <si>
    <t>rbays@ups.com</t>
  </si>
  <si>
    <t>flbay3363@ups.com</t>
  </si>
  <si>
    <t>bbaysinger@ups.com</t>
  </si>
  <si>
    <t>ibrahim.baysoez@europe.ups.com</t>
  </si>
  <si>
    <t>bdiane@ups.com</t>
  </si>
  <si>
    <t>sbaytak@ups.com</t>
  </si>
  <si>
    <t>baytowndmp@ups.com</t>
  </si>
  <si>
    <t>zbayval@ups.com</t>
  </si>
  <si>
    <t>dbaza@ups.com</t>
  </si>
  <si>
    <t>ebaza@ups.com</t>
  </si>
  <si>
    <t>mbazaid@ups.com</t>
  </si>
  <si>
    <t>dbazan@ups.com</t>
  </si>
  <si>
    <t>holly.bazan@ups.com</t>
  </si>
  <si>
    <t>hbazan@ups.com</t>
  </si>
  <si>
    <t>mireyabazan@ups.com</t>
  </si>
  <si>
    <t>vbazan@ups.com</t>
  </si>
  <si>
    <t>gbazarsr@ups.com</t>
  </si>
  <si>
    <t>sbazart@ups.com</t>
  </si>
  <si>
    <t>cbazbeg@ups.com</t>
  </si>
  <si>
    <t>zbazbeg@ups.com</t>
  </si>
  <si>
    <t>cbaze@ups.com</t>
  </si>
  <si>
    <t>joshuabaze@ups.com</t>
  </si>
  <si>
    <t>abazemore@ups.com</t>
  </si>
  <si>
    <t>ashleybazemore@ups.com</t>
  </si>
  <si>
    <t>jbazemore@ups.com</t>
  </si>
  <si>
    <t>jbazin@ups.com</t>
  </si>
  <si>
    <t>rbazin@ups.com</t>
  </si>
  <si>
    <t>bbazin@upslogistics.fr</t>
  </si>
  <si>
    <t>cbazin@upslogistics.fr</t>
  </si>
  <si>
    <t>mbazis@ups.com</t>
  </si>
  <si>
    <t>dbaziuk@ups.com</t>
  </si>
  <si>
    <t>abazylchik@ups.com</t>
  </si>
  <si>
    <t>sbazzano@ups.com</t>
  </si>
  <si>
    <t>benedettabazzi@ups.com</t>
  </si>
  <si>
    <t>tizianobazzichetto@ups.com</t>
  </si>
  <si>
    <t>rbazzinett@ups.com</t>
  </si>
  <si>
    <t>lbazzle@ups.com</t>
  </si>
  <si>
    <t>jbazzy@ups.com</t>
  </si>
  <si>
    <t>bcexport@ups.com</t>
  </si>
  <si>
    <t>brokeragehan@ups.com</t>
  </si>
  <si>
    <t>bchcm@ups.com</t>
  </si>
  <si>
    <t>bcarpenter@veeco.com</t>
  </si>
  <si>
    <t>YQV4HSK@ups.com</t>
  </si>
  <si>
    <t>VYD6NHT@ups.com</t>
  </si>
  <si>
    <t>GBP4YYT@ups.com</t>
  </si>
  <si>
    <t>VJJ4HJJ@ups.com</t>
  </si>
  <si>
    <t>XPX4HMJ@ups.com</t>
  </si>
  <si>
    <t>bcnairops@ups.com</t>
  </si>
  <si>
    <t>NGT4XYL@ups.com</t>
  </si>
  <si>
    <t>HPZ4PRC@ups.com</t>
  </si>
  <si>
    <t>VKY6KTP@ups.com</t>
  </si>
  <si>
    <t>HWX4FHN@ups.com</t>
  </si>
  <si>
    <t>XDY4GXH@ups.com</t>
  </si>
  <si>
    <t>bdadminvn@ups.com</t>
  </si>
  <si>
    <t>bdadmincsr@ups.com</t>
  </si>
  <si>
    <t>bdbielefeld@ups.com</t>
  </si>
  <si>
    <t>dbevents@ups.com</t>
  </si>
  <si>
    <t>bdfsgern@ups.com</t>
  </si>
  <si>
    <t>bdfsgers@ups.com</t>
  </si>
  <si>
    <t>bdindonesia@ups.com</t>
  </si>
  <si>
    <t>bdluxembourg@ups.com</t>
  </si>
  <si>
    <t>bdmemo@ups.com</t>
  </si>
  <si>
    <t>businessdevelopmentmexico@ups.com</t>
  </si>
  <si>
    <t>itbdoffice@ups.com</t>
  </si>
  <si>
    <t>soaservice@ups.com</t>
  </si>
  <si>
    <t>bdavis@radiantsystems.com</t>
  </si>
  <si>
    <t>douanefr@ups.com</t>
  </si>
  <si>
    <t>bdicbs@ups.com</t>
  </si>
  <si>
    <t>bdnaorigin@ups.com</t>
  </si>
  <si>
    <t>offrevin@ups.com</t>
  </si>
  <si>
    <t>bdportugal@ups.com</t>
  </si>
  <si>
    <t>so0745@ups.com</t>
  </si>
  <si>
    <t>bdspain@ups.com</t>
  </si>
  <si>
    <t>bdsupport@ups.com</t>
  </si>
  <si>
    <t>beyoungprofessionals@ups.com</t>
  </si>
  <si>
    <t>beecom@ups.com</t>
  </si>
  <si>
    <t>beemployeecommunications@ups.com</t>
  </si>
  <si>
    <t>besalessupport@ups.com</t>
  </si>
  <si>
    <t>besocial@ups.com</t>
  </si>
  <si>
    <t>beexportresolution@ups.com</t>
  </si>
  <si>
    <t>vbeabout@ups.com</t>
  </si>
  <si>
    <t>cbeach@ups.com</t>
  </si>
  <si>
    <t>danielbeach@ups.com</t>
  </si>
  <si>
    <t>davidbeach@ups.com</t>
  </si>
  <si>
    <t>DBeach@upsstore.com</t>
  </si>
  <si>
    <t>douglasbeach@ups.com</t>
  </si>
  <si>
    <t>kbeach@ups.com</t>
  </si>
  <si>
    <t>tbeach@ups.com</t>
  </si>
  <si>
    <t>lbeacham@ups.com</t>
  </si>
  <si>
    <t>cbeachem@ups.com</t>
  </si>
  <si>
    <t>cbeachey@ups.com</t>
  </si>
  <si>
    <t>tbeacomjr@ups.com</t>
  </si>
  <si>
    <t>abeagle@ups.com</t>
  </si>
  <si>
    <t>jbeaird@ups.com</t>
  </si>
  <si>
    <t>jbeakes@ups.com</t>
  </si>
  <si>
    <t>bbeal@ups.com</t>
  </si>
  <si>
    <t>brandybeal@ups.com</t>
  </si>
  <si>
    <t>caitlinbeal@ups.com</t>
  </si>
  <si>
    <t>christopherbeal@ups.com</t>
  </si>
  <si>
    <t>davidbeal@ups.com</t>
  </si>
  <si>
    <t>dbeal@ups.com</t>
  </si>
  <si>
    <t>gbeal@ups.com</t>
  </si>
  <si>
    <t>kbeal@ups.com</t>
  </si>
  <si>
    <t>martinbeal@ups.com</t>
  </si>
  <si>
    <t>robertbeal@ups.com</t>
  </si>
  <si>
    <t>rbeal@ups.com</t>
  </si>
  <si>
    <t>sbeal@ups.com</t>
  </si>
  <si>
    <t>stevebeal@ups.com</t>
  </si>
  <si>
    <t>abeale@ups.com</t>
  </si>
  <si>
    <t>cbeale@ups.com</t>
  </si>
  <si>
    <t>mbeale@ups.com</t>
  </si>
  <si>
    <t>sbeale@ups.com</t>
  </si>
  <si>
    <t>cbealeck@ups.com</t>
  </si>
  <si>
    <t>mbealer@ups.com</t>
  </si>
  <si>
    <t>mbeales@ups.com</t>
  </si>
  <si>
    <t>bbeall@ups.com</t>
  </si>
  <si>
    <t>jbeall@ups.com</t>
  </si>
  <si>
    <t>sbeall@ups.com</t>
  </si>
  <si>
    <t>mbeals@ups.com</t>
  </si>
  <si>
    <t>meaganbeals@ups.com</t>
  </si>
  <si>
    <t>ebealum@ups.com</t>
  </si>
  <si>
    <t>bbeam@ups.com</t>
  </si>
  <si>
    <t>bebeam@ups.com</t>
  </si>
  <si>
    <t>breannbeam@ups.com</t>
  </si>
  <si>
    <t>bkbeam@ups.com</t>
  </si>
  <si>
    <t>cbeam@ups.com</t>
  </si>
  <si>
    <t>jamesbeam@ups.com</t>
  </si>
  <si>
    <t>jennybeam@ups.com</t>
  </si>
  <si>
    <t>kbeam@ups.com</t>
  </si>
  <si>
    <t>mbeam@ups.com</t>
  </si>
  <si>
    <t>meghanbeam@ups.com</t>
  </si>
  <si>
    <t>tbeam@ups.com</t>
  </si>
  <si>
    <t>travisbeam@ups.com</t>
  </si>
  <si>
    <t>dbeamer@ups.com</t>
  </si>
  <si>
    <t>pbeamer@ups.com</t>
  </si>
  <si>
    <t>lbeames@ups.com</t>
  </si>
  <si>
    <t>abeamon@ups.com</t>
  </si>
  <si>
    <t>dbeamon@ups.com</t>
  </si>
  <si>
    <t>larrybeamon@ups.com</t>
  </si>
  <si>
    <t>lbeamon@ups.com</t>
  </si>
  <si>
    <t>abean@ups.com</t>
  </si>
  <si>
    <t>bbean@ups.com</t>
  </si>
  <si>
    <t>cbean@ups.com</t>
  </si>
  <si>
    <t>jbean@ups.com</t>
  </si>
  <si>
    <t>karenbean@ups.com</t>
  </si>
  <si>
    <t>kbean@ups.com</t>
  </si>
  <si>
    <t>lbean@ups.com</t>
  </si>
  <si>
    <t>mbean@ups.com</t>
  </si>
  <si>
    <t>melissabean@ups.com</t>
  </si>
  <si>
    <t>pbean@ups.com</t>
  </si>
  <si>
    <t>rmbean@ups.com</t>
  </si>
  <si>
    <t>robbean@ups.com</t>
  </si>
  <si>
    <t>robertbean@ups.com</t>
  </si>
  <si>
    <t>sjbean@ups.com</t>
  </si>
  <si>
    <t>sbean@ups.com</t>
  </si>
  <si>
    <t>sabean@ups.com</t>
  </si>
  <si>
    <t>stevenbean@ups.com</t>
  </si>
  <si>
    <t>tbean@ups.com</t>
  </si>
  <si>
    <t>jbeane@ups.com</t>
  </si>
  <si>
    <t>tbeaner@ups.com</t>
  </si>
  <si>
    <t>abear@ups.com</t>
  </si>
  <si>
    <t>jbear@ups.com</t>
  </si>
  <si>
    <t>mbear@ups.com</t>
  </si>
  <si>
    <t>rabear@ups.com</t>
  </si>
  <si>
    <t>sbear@ups.com</t>
  </si>
  <si>
    <t>wbear@ups.com</t>
  </si>
  <si>
    <t>aabeard@ups.com</t>
  </si>
  <si>
    <t>anthonybeard@ups.com</t>
  </si>
  <si>
    <t>beatricebeard@ups.com</t>
  </si>
  <si>
    <t>bbeard@ups.com</t>
  </si>
  <si>
    <t>cbeard@ups.com</t>
  </si>
  <si>
    <t>daniellebeard@ups.com</t>
  </si>
  <si>
    <t>dbeard@ups.com</t>
  </si>
  <si>
    <t>deangelesbeard@ups.com</t>
  </si>
  <si>
    <t>ebeard@ups.com</t>
  </si>
  <si>
    <t>jadenbeard@ups.com</t>
  </si>
  <si>
    <t>jasonbeard@ups.com</t>
  </si>
  <si>
    <t>jbeard@ups.com</t>
  </si>
  <si>
    <t>kbeard@ups.com</t>
  </si>
  <si>
    <t>maritzabeard@ups.com</t>
  </si>
  <si>
    <t>mbeard@ups.com</t>
  </si>
  <si>
    <t>monycabeard@ups.com</t>
  </si>
  <si>
    <t>nmbeard@ups.com</t>
  </si>
  <si>
    <t>nbeard@ups.com</t>
  </si>
  <si>
    <t>jbeardall@ups.com</t>
  </si>
  <si>
    <t>abearden@ups.com</t>
  </si>
  <si>
    <t>bbearden@ups.com</t>
  </si>
  <si>
    <t>cherrybearden@ups.com</t>
  </si>
  <si>
    <t>cbearden@ups.com</t>
  </si>
  <si>
    <t>christinbearden@ups.com</t>
  </si>
  <si>
    <t>cabearden@ups.com</t>
  </si>
  <si>
    <t>dbearden@ups.com</t>
  </si>
  <si>
    <t>mebearden@ups.com</t>
  </si>
  <si>
    <t>fbeardmore@ups.com</t>
  </si>
  <si>
    <t>hrbeards@ups.com</t>
  </si>
  <si>
    <t>jbeards@ups.com</t>
  </si>
  <si>
    <t>bbeardsley@ups.com</t>
  </si>
  <si>
    <t>dbeardsley@ups.com</t>
  </si>
  <si>
    <t>tbearisto@ups.com</t>
  </si>
  <si>
    <t>sylviabeas@ups.com</t>
  </si>
  <si>
    <t>angelabeasley@ups.com</t>
  </si>
  <si>
    <t>ashleybeasley@ups.com</t>
  </si>
  <si>
    <t>ceabeasley@ups.com</t>
  </si>
  <si>
    <t>gbeasley@ups.com</t>
  </si>
  <si>
    <t>jasminebeasley@ups.com</t>
  </si>
  <si>
    <t>jbeasley@ups.com</t>
  </si>
  <si>
    <t>kbeasley@ups.com</t>
  </si>
  <si>
    <t>kenbeasley@ups.com</t>
  </si>
  <si>
    <t>lbeasley@ups.com</t>
  </si>
  <si>
    <t>melissabeasley@ups.com</t>
  </si>
  <si>
    <t>nbeasley@ups.com</t>
  </si>
  <si>
    <t>pbeasley@ups.com</t>
  </si>
  <si>
    <t>rekeemahbeasley@ups.com</t>
  </si>
  <si>
    <t>tamarabeasley@upsstore.com</t>
  </si>
  <si>
    <t>tbeasley@ups.com</t>
  </si>
  <si>
    <t>wbbeasley@ups.com</t>
  </si>
  <si>
    <t>abeasse@ups.com</t>
  </si>
  <si>
    <t>dbeaston@ups.com</t>
  </si>
  <si>
    <t>dustinbeaston@ups.com</t>
  </si>
  <si>
    <t>mbeaston@ups.com</t>
  </si>
  <si>
    <t>tbeatch@ups.com</t>
  </si>
  <si>
    <t>jbeatokehoe@ups.com</t>
  </si>
  <si>
    <t>abeaton@ups.com</t>
  </si>
  <si>
    <t>materials@enernoc.com</t>
  </si>
  <si>
    <t>hbeatriz@ups.com</t>
  </si>
  <si>
    <t>jbeats@ups.com</t>
  </si>
  <si>
    <t>dbeattie@ups.com</t>
  </si>
  <si>
    <t>gbeattie@ups.com</t>
  </si>
  <si>
    <t>hbeattie@ups.com</t>
  </si>
  <si>
    <t>dabeatty@ups.com</t>
  </si>
  <si>
    <t>jbeatty@ups.com</t>
  </si>
  <si>
    <t>kbeatty@ups.com</t>
  </si>
  <si>
    <t>mbeatty@ups.com</t>
  </si>
  <si>
    <t>michaelbeatty@ups.com</t>
  </si>
  <si>
    <t>samuelbeatty@ups.com</t>
  </si>
  <si>
    <t>dbeaty@ups.com</t>
  </si>
  <si>
    <t>lbeaty@ups.com</t>
  </si>
  <si>
    <t>tbeaty@ups.com</t>
  </si>
  <si>
    <t>badamson@zhats.com</t>
  </si>
  <si>
    <t>sbeaucamp@ups.com</t>
  </si>
  <si>
    <t>dbeauchamp@ups.com</t>
  </si>
  <si>
    <t>sbeauchamp@ups.com</t>
  </si>
  <si>
    <t>mbeauchanejr@ups.com</t>
  </si>
  <si>
    <t>kbeauchane@ups.com</t>
  </si>
  <si>
    <t>fbeauchemin@ups.com</t>
  </si>
  <si>
    <t>nbeauchene@ups.com</t>
  </si>
  <si>
    <t>nbeauchesne2@ups.com</t>
  </si>
  <si>
    <t>gbeauchet@ups.com</t>
  </si>
  <si>
    <t>FRA1CWB@europe.ups.com</t>
  </si>
  <si>
    <t>ebeaudet@ups.com</t>
  </si>
  <si>
    <t>sbeaudette@ups.com</t>
  </si>
  <si>
    <t>tbeaudoincatano@ups.com</t>
  </si>
  <si>
    <t>dbeaudry@ups.com</t>
  </si>
  <si>
    <t>jbeaudry@ups.com</t>
  </si>
  <si>
    <t>rbeaudryjr@ups.com</t>
  </si>
  <si>
    <t>kbeaudry@ups.com</t>
  </si>
  <si>
    <t>ebeaufrand@ups.com</t>
  </si>
  <si>
    <t>sbeaugard@ups.com</t>
  </si>
  <si>
    <t>tbeaugard@ups.com</t>
  </si>
  <si>
    <t>kervinbeaulieu@ups.com</t>
  </si>
  <si>
    <t>kbeaulieu@ups.com</t>
  </si>
  <si>
    <t>larrybeaulieu@ups.com</t>
  </si>
  <si>
    <t>mbeaulieu@ups.com</t>
  </si>
  <si>
    <t>rbeaulieu@ups.com</t>
  </si>
  <si>
    <t>wbeaumier@ups.com</t>
  </si>
  <si>
    <t>lbeaumont@ups.com</t>
  </si>
  <si>
    <t>jbeauregard@ups.com</t>
  </si>
  <si>
    <t>nbeauregard@ups.com</t>
  </si>
  <si>
    <t>sbeausejour@ups.com</t>
  </si>
  <si>
    <t>fbeauvisage@upslogistics.fr</t>
  </si>
  <si>
    <t>dbeauzile@ups.com</t>
  </si>
  <si>
    <t>dbeaver@ups.com</t>
  </si>
  <si>
    <t>jasonbeaver@ups.com</t>
  </si>
  <si>
    <t>jbeaver@ups.com</t>
  </si>
  <si>
    <t>jbeaver1@ups.com</t>
  </si>
  <si>
    <t>kbeaver@ups.com</t>
  </si>
  <si>
    <t>lbeaver@ups.com</t>
  </si>
  <si>
    <t>mbeaver@ups.com</t>
  </si>
  <si>
    <t>darneshiabeavers@ups.com</t>
  </si>
  <si>
    <t>dbeavers@ups.com</t>
  </si>
  <si>
    <t>rbeaversii@ups.com</t>
  </si>
  <si>
    <t>jbeavin@ups.com</t>
  </si>
  <si>
    <t>wbeazer@ups.com</t>
  </si>
  <si>
    <t>hbebber@ups.com</t>
  </si>
  <si>
    <t>kbebel@ups.com</t>
  </si>
  <si>
    <t>Lufthansa.Bebra@uni-data.de</t>
  </si>
  <si>
    <t>Tulip.Bebra@uni-data.de</t>
  </si>
  <si>
    <t>ZQW8VQS@ups.com</t>
  </si>
  <si>
    <t>YJC1GZM@ups.com</t>
  </si>
  <si>
    <t>ZBV6CLV@ups.com</t>
  </si>
  <si>
    <t>abecarevic@ups.com</t>
  </si>
  <si>
    <t>cbecarnen@ups.com</t>
  </si>
  <si>
    <t>abecat@ups.com</t>
  </si>
  <si>
    <t>nbeceren@ups.com</t>
  </si>
  <si>
    <t>alexisbecerra@ups.com</t>
  </si>
  <si>
    <t>anabecerra@ups.com</t>
  </si>
  <si>
    <t>abecerra@ups.com</t>
  </si>
  <si>
    <t>aubreybecerra@ups.com</t>
  </si>
  <si>
    <t>cbecerra@ups.com</t>
  </si>
  <si>
    <t>dbecerra@ups.com</t>
  </si>
  <si>
    <t>ebecerra@ups.com</t>
  </si>
  <si>
    <t>esbecerra@ups.com</t>
  </si>
  <si>
    <t>jcbecerra@upsstore.com</t>
  </si>
  <si>
    <t>kbecerra@ups.com</t>
  </si>
  <si>
    <t>maricela.becerra@ups.com</t>
  </si>
  <si>
    <t>mbecerra@ups.com</t>
  </si>
  <si>
    <t>marthabecerra@ups.com</t>
  </si>
  <si>
    <t>lbecerramontalvo@ups.com</t>
  </si>
  <si>
    <t>sabrinabecerra@ups.com</t>
  </si>
  <si>
    <t>jbecerragonzalez@ups.com</t>
  </si>
  <si>
    <t>jbecerril@ups.com</t>
  </si>
  <si>
    <t>mbecerril@ups.com</t>
  </si>
  <si>
    <t>sbechalaghem@ups.com</t>
  </si>
  <si>
    <t>fbecharelkhair@ups.com</t>
  </si>
  <si>
    <t>lynn.bechard@ups.com</t>
  </si>
  <si>
    <t>sbechard@ups.com</t>
  </si>
  <si>
    <t>hans-peter.becher@europe.ups.com</t>
  </si>
  <si>
    <t>obecher@ups.com</t>
  </si>
  <si>
    <t>becherem@squared.com</t>
  </si>
  <si>
    <t>jbechtol@ups.com</t>
  </si>
  <si>
    <t>lbecirovic@ups.com</t>
  </si>
  <si>
    <t>sbecirovic@ups.com</t>
  </si>
  <si>
    <t>abbeck@ups.com</t>
  </si>
  <si>
    <t>bxbeck@ups.com</t>
  </si>
  <si>
    <t>bcbeck@ups.com</t>
  </si>
  <si>
    <t>bryanbeck@ups.com</t>
  </si>
  <si>
    <t>catherinebeck@ups.com</t>
  </si>
  <si>
    <t>chrisbeck@ups.com</t>
  </si>
  <si>
    <t>cbeck@ups.com</t>
  </si>
  <si>
    <t>dbeck1@ups.com</t>
  </si>
  <si>
    <t>dbeck2@ups.com</t>
  </si>
  <si>
    <t>dsbeck@ups.com</t>
  </si>
  <si>
    <t>deborahbeck@ups.com</t>
  </si>
  <si>
    <t>dorotabeck@ups.com</t>
  </si>
  <si>
    <t>gbeck@ups.com</t>
  </si>
  <si>
    <t>ivo.beck@europe.ups.com</t>
  </si>
  <si>
    <t>jbeck@ups.com</t>
  </si>
  <si>
    <t>jmbeck@ups.com</t>
  </si>
  <si>
    <t>jenniferbeck@ups.com</t>
  </si>
  <si>
    <t>jessicabeck@ups.com</t>
  </si>
  <si>
    <t>jjbeck@ups.com</t>
  </si>
  <si>
    <t>jbeckjr@ups.com</t>
  </si>
  <si>
    <t>kathleenbeck@ups.com</t>
  </si>
  <si>
    <t>kelliebeck@ups.com</t>
  </si>
  <si>
    <t>ksbeck@ups.com</t>
  </si>
  <si>
    <t>kristybeck@ups.com</t>
  </si>
  <si>
    <t>llbeck@ups.com</t>
  </si>
  <si>
    <t>matthewbeck@ups.com</t>
  </si>
  <si>
    <t>mbeck1@ups.com</t>
  </si>
  <si>
    <t>mtbeck@ups.com</t>
  </si>
  <si>
    <t>mbeck@ups.com</t>
  </si>
  <si>
    <t>patriciabeck@ups.com</t>
  </si>
  <si>
    <t>pmbeck@ups.com</t>
  </si>
  <si>
    <t>rbeck@ups.com</t>
  </si>
  <si>
    <t>beck.readhimer@coyote.com</t>
  </si>
  <si>
    <t>trbeck@ups.com</t>
  </si>
  <si>
    <t>tbeck@ups.com</t>
  </si>
  <si>
    <t>twrniabeck@ups.com</t>
  </si>
  <si>
    <t>ulrich.beck@europe.ups.com</t>
  </si>
  <si>
    <t>fbecke@ups.com</t>
  </si>
  <si>
    <t>cbeckedorf@ups.com</t>
  </si>
  <si>
    <t>sbeckelheimer@ups.com</t>
  </si>
  <si>
    <t>lbeckemeyer@ups.com</t>
  </si>
  <si>
    <t>nbecken@ups.com</t>
  </si>
  <si>
    <t>abecker@ups.com</t>
  </si>
  <si>
    <t>benjaminbecker@ups.com</t>
  </si>
  <si>
    <t>berndbecker@ups.com</t>
  </si>
  <si>
    <t>bjoernbecker@ups.com</t>
  </si>
  <si>
    <t>bbecker@ups.com</t>
  </si>
  <si>
    <t>brooksbecker@ups.com</t>
  </si>
  <si>
    <t>cbecker2@ups.com</t>
  </si>
  <si>
    <t>colleenbecker@ups.com</t>
  </si>
  <si>
    <t>colleenabecker@ups.com</t>
  </si>
  <si>
    <t>danielbecker@ups.com</t>
  </si>
  <si>
    <t>dbbecker@ups.com</t>
  </si>
  <si>
    <t>davidbecker@ups.com</t>
  </si>
  <si>
    <t>dbecker@ups.com</t>
  </si>
  <si>
    <t>dcbecker@ups.com</t>
  </si>
  <si>
    <t>fbecker@ups.com</t>
  </si>
  <si>
    <t>gabecker@ups.com</t>
  </si>
  <si>
    <t>gbecker@ups.com</t>
  </si>
  <si>
    <t>haydenbecker@ups.com</t>
  </si>
  <si>
    <t>heicobecker@ups.com</t>
  </si>
  <si>
    <t>heiko.becker@europe.ups.com</t>
  </si>
  <si>
    <t>jbecker@ups.com</t>
  </si>
  <si>
    <t>jamiebecker@ups.com</t>
  </si>
  <si>
    <t>joachimbecker@ups.com</t>
  </si>
  <si>
    <t>joanbecker@ups.com</t>
  </si>
  <si>
    <t>jonathanbecker@ups.com</t>
  </si>
  <si>
    <t>becker.karin@ups.com</t>
  </si>
  <si>
    <t>kerrybecker@ups.com</t>
  </si>
  <si>
    <t>klaus-dieter.becker@europe.ups.com</t>
  </si>
  <si>
    <t>laurabecker@ups.com</t>
  </si>
  <si>
    <t>lbecker1@ups.com</t>
  </si>
  <si>
    <t>lbecker@ups.com</t>
  </si>
  <si>
    <t>markusbecker@ups.com</t>
  </si>
  <si>
    <t>mattbecker@ups.com</t>
  </si>
  <si>
    <t>mbecker@ups.com</t>
  </si>
  <si>
    <t>michael.becker@europe.ups.com</t>
  </si>
  <si>
    <t>mbecker2@ups.com</t>
  </si>
  <si>
    <t>mbecker1@ups.com</t>
  </si>
  <si>
    <t>pbecker@ups.com</t>
  </si>
  <si>
    <t>rbecker@ups.com</t>
  </si>
  <si>
    <t>rbecker1@ups.com</t>
  </si>
  <si>
    <t>robertbecker@ups.com</t>
  </si>
  <si>
    <t>robinbecker@ups.com</t>
  </si>
  <si>
    <t>sbecker@ups.com</t>
  </si>
  <si>
    <t>silvia.becker@europe.ups.com</t>
  </si>
  <si>
    <t>becker.steve@ups.com</t>
  </si>
  <si>
    <t>tbecker@ups.com</t>
  </si>
  <si>
    <t>vbecker@ups.com</t>
  </si>
  <si>
    <t>HBecker@livingstoninc.com</t>
  </si>
  <si>
    <t>sbeckerman@ups.com</t>
  </si>
  <si>
    <t>cbeckers@ups.com</t>
  </si>
  <si>
    <t>fbeckers@ups.com</t>
  </si>
  <si>
    <t>tbeckers@ups.com</t>
  </si>
  <si>
    <t>wbeckert@ups.com</t>
  </si>
  <si>
    <t>dbeckett@ups.com</t>
  </si>
  <si>
    <t>jbeckett@ups.com</t>
  </si>
  <si>
    <t>kbeckett@ups.com</t>
  </si>
  <si>
    <t>mbeckett@ups.com</t>
  </si>
  <si>
    <t>abeckford@ups.com</t>
  </si>
  <si>
    <t>nbeckford@ups.com</t>
  </si>
  <si>
    <t>rbeckford@ups.com</t>
  </si>
  <si>
    <t>jbeckham@ups.com</t>
  </si>
  <si>
    <t>sbeckham@ups.com</t>
  </si>
  <si>
    <t>dbeckhorn@ups.com</t>
  </si>
  <si>
    <t>mbeckim@ups.com</t>
  </si>
  <si>
    <t>wbeckler@ups.com</t>
  </si>
  <si>
    <t>jbeckley@ups.com</t>
  </si>
  <si>
    <t>sbeckley@ups.com</t>
  </si>
  <si>
    <t>kristinebeckman@ups.com</t>
  </si>
  <si>
    <t>masonbeckman@ups.com</t>
  </si>
  <si>
    <t>mbeckman@ups.com</t>
  </si>
  <si>
    <t>cbeckman-johnson@ups.com</t>
  </si>
  <si>
    <t>ebeckmann@ups.com</t>
  </si>
  <si>
    <t>lydia.beckmann@europe.ups.com</t>
  </si>
  <si>
    <t>mbeckmann@ups.com</t>
  </si>
  <si>
    <t>pbeckmann@ups.com</t>
  </si>
  <si>
    <t>rich.beckmann@ups.com</t>
  </si>
  <si>
    <t>jbecks@ups.com</t>
  </si>
  <si>
    <t>jbecksjr@ups.com</t>
  </si>
  <si>
    <t>jbeckstead@ups.com</t>
  </si>
  <si>
    <t>sbeckstead@ups.com</t>
  </si>
  <si>
    <t>cbeckstrom@ups.com</t>
  </si>
  <si>
    <t>jbeckstrom@ups.com</t>
  </si>
  <si>
    <t>gbeckum@ups.com</t>
  </si>
  <si>
    <t>bbeckwith@ups.com</t>
  </si>
  <si>
    <t>brandonbeckwith@ups.com</t>
  </si>
  <si>
    <t>cbeckwith@ups.com</t>
  </si>
  <si>
    <t>dbeckwith@ups.com</t>
  </si>
  <si>
    <t>beckwith.robert@ups.com</t>
  </si>
  <si>
    <t>robertbeckwith@ups.com</t>
  </si>
  <si>
    <t>sdbeckwith@ups.com</t>
  </si>
  <si>
    <t>sbeckwith@ups.com</t>
  </si>
  <si>
    <t>bbaty@fabri-quilt.com</t>
  </si>
  <si>
    <t>becky@jjexpress.com</t>
  </si>
  <si>
    <t>bchong@ups.com</t>
  </si>
  <si>
    <t>becky_glover@samsonite.com</t>
  </si>
  <si>
    <t>becky.sanders@milliken.com</t>
  </si>
  <si>
    <t>bdobratz@ctpower.com</t>
  </si>
  <si>
    <t>pbecotte@ups.com</t>
  </si>
  <si>
    <t>gbecsei@ups.com</t>
  </si>
  <si>
    <t>janicebecton@ups.com</t>
  </si>
  <si>
    <t>compaq.bed@uni-data.de</t>
  </si>
  <si>
    <t>bkrishnat@ups.com</t>
  </si>
  <si>
    <t>rbedard@ups.com</t>
  </si>
  <si>
    <t>sbeddia@upsstore.com</t>
  </si>
  <si>
    <t>mbeddows@ups.com</t>
  </si>
  <si>
    <t>deborabedell@ups.com</t>
  </si>
  <si>
    <t>obeder@ups.com</t>
  </si>
  <si>
    <t>jbedette@ups.com</t>
  </si>
  <si>
    <t>cbedford@ups.com</t>
  </si>
  <si>
    <t>sbedfordii@ups.com</t>
  </si>
  <si>
    <t>jbedford@ups.com</t>
  </si>
  <si>
    <t>jordanbedford@ups.com</t>
  </si>
  <si>
    <t>gbedi@ups.com</t>
  </si>
  <si>
    <t>bmonyean@ups.com</t>
  </si>
  <si>
    <t>mbedient@ups.com</t>
  </si>
  <si>
    <t>mbedingfield@ups.com</t>
  </si>
  <si>
    <t>fbedjeti@ups.com</t>
  </si>
  <si>
    <t>ibedkowska@ups.com</t>
  </si>
  <si>
    <t>dbednar@ups.com</t>
  </si>
  <si>
    <t>jbednar@ups.com</t>
  </si>
  <si>
    <t>mbednar@ups.com</t>
  </si>
  <si>
    <t>rbednar@ups.com</t>
  </si>
  <si>
    <t>sbednar@ups.com</t>
  </si>
  <si>
    <t>stephenbednar@ups.com</t>
  </si>
  <si>
    <t>tbednara@ups.com</t>
  </si>
  <si>
    <t>gbednarczyk@ups.com</t>
  </si>
  <si>
    <t>abednarek@ups.com</t>
  </si>
  <si>
    <t>cbednarek@ups.com</t>
  </si>
  <si>
    <t>jbednarek@ups.com</t>
  </si>
  <si>
    <t>kbednarski@ups.com</t>
  </si>
  <si>
    <t>pbednarski@ups.com</t>
  </si>
  <si>
    <t>jakubbednarz@ups.com</t>
  </si>
  <si>
    <t>tbednarz@ups.com</t>
  </si>
  <si>
    <t>tgbednarz@ups.com</t>
  </si>
  <si>
    <t>bedolla.fernando@ups.com</t>
  </si>
  <si>
    <t>bbedora@ups.com</t>
  </si>
  <si>
    <t>sbedoy@ups.com</t>
  </si>
  <si>
    <t>abedoya@ups.com</t>
  </si>
  <si>
    <t>jbedoyacortez@ups.com</t>
  </si>
  <si>
    <t>lbedoya@ups.com</t>
  </si>
  <si>
    <t>mbedoyapatino@ups.com</t>
  </si>
  <si>
    <t>mbedoyarivera@ups.com</t>
  </si>
  <si>
    <t>sbedoyataborda@ups.com</t>
  </si>
  <si>
    <t>cbedoya@upslogisticsla.com</t>
  </si>
  <si>
    <t>sbedoyakayser@ups.com</t>
  </si>
  <si>
    <t>cbedro@ups.com</t>
  </si>
  <si>
    <t>cbedrosian@ups.com</t>
  </si>
  <si>
    <t>jbedrosian@ups.com</t>
  </si>
  <si>
    <t>sbedrosian@ups.com</t>
  </si>
  <si>
    <t>mbedwell@ups.com</t>
  </si>
  <si>
    <t>emiliabedynek@ups.com</t>
  </si>
  <si>
    <t>jbee@ups.com</t>
  </si>
  <si>
    <t>bk.lee@ups.com</t>
  </si>
  <si>
    <t>rbee@ups.com</t>
  </si>
  <si>
    <t>sbee@livingstoninc.com</t>
  </si>
  <si>
    <t>abeebe@ups.com</t>
  </si>
  <si>
    <t>cbeebe@ups.com</t>
  </si>
  <si>
    <t>dbeebe@ups.com</t>
  </si>
  <si>
    <t>jsbeebe@ups.com</t>
  </si>
  <si>
    <t>jbeebe@ups.com</t>
  </si>
  <si>
    <t>timothybeebe@ups.com</t>
  </si>
  <si>
    <t>sbeebee@ups.com</t>
  </si>
  <si>
    <t>tbeeber@ups.com</t>
  </si>
  <si>
    <t>abeech@ups.com</t>
  </si>
  <si>
    <t>dbeecham@ups.com</t>
  </si>
  <si>
    <t>jabeecham@ups.com</t>
  </si>
  <si>
    <t>jbeedie@ups.com</t>
  </si>
  <si>
    <t>abeedige@ups.com</t>
  </si>
  <si>
    <t>mbeedle@ups.com</t>
  </si>
  <si>
    <t>dave.beek@ups-scs.com</t>
  </si>
  <si>
    <t>ron.beekenkamp@europe.ups.com</t>
  </si>
  <si>
    <t>stefan.beeker@europe.ups.com</t>
  </si>
  <si>
    <t>nbeekha@ups.com</t>
  </si>
  <si>
    <t>nbeekhuysen@ups.com</t>
  </si>
  <si>
    <t>pbeekman@ups.com</t>
  </si>
  <si>
    <t>abeeler@ups.com</t>
  </si>
  <si>
    <t>cbeeler@ups.com</t>
  </si>
  <si>
    <t>dabeeler@ups.com</t>
  </si>
  <si>
    <t>fbeeler@ups.com</t>
  </si>
  <si>
    <t>gbeeler@ups.com</t>
  </si>
  <si>
    <t>jonathanbeeler@ups.com</t>
  </si>
  <si>
    <t>jbeeler@ups.com</t>
  </si>
  <si>
    <t>mbeem@ups.com</t>
  </si>
  <si>
    <t>kbeen@ups.com</t>
  </si>
  <si>
    <t>tbeeney@ups.com</t>
  </si>
  <si>
    <t>wbeeney@ups.com</t>
  </si>
  <si>
    <t>sbeens@ups.com</t>
  </si>
  <si>
    <t>abeer@ups.com</t>
  </si>
  <si>
    <t>ebeer@ups.com</t>
  </si>
  <si>
    <t>guido.beer@europe.ups.com</t>
  </si>
  <si>
    <t>Thomas.Beer@uni-data.de</t>
  </si>
  <si>
    <t>martin.beerbaum@europe.ups.com</t>
  </si>
  <si>
    <t>lars.beeris@europe.ups.com</t>
  </si>
  <si>
    <t>abeers@ups.com</t>
  </si>
  <si>
    <t>johnbeers@ups.com</t>
  </si>
  <si>
    <t>mbeers@ups.com</t>
  </si>
  <si>
    <t>marybeers@ups.com</t>
  </si>
  <si>
    <t>jbeery@ups.com</t>
  </si>
  <si>
    <t>abeesley@ups.com</t>
  </si>
  <si>
    <t>jbeesley@ups.com</t>
  </si>
  <si>
    <t>jacobbeeson@ups.com</t>
  </si>
  <si>
    <t>jennicabeeson@ups.com</t>
  </si>
  <si>
    <t>jbeeson@ups.com</t>
  </si>
  <si>
    <t>mbeeson@ups.com</t>
  </si>
  <si>
    <t>pbeeson@ups.com</t>
  </si>
  <si>
    <t>rbeeson@ups.com</t>
  </si>
  <si>
    <t>mbeeves@ups.com</t>
  </si>
  <si>
    <t>YNP0CCQ@ups.com</t>
  </si>
  <si>
    <t>bbefus@ups.com</t>
  </si>
  <si>
    <t>mbeg@ups.com</t>
  </si>
  <si>
    <t>arcadia.bega@europe.ups.com</t>
  </si>
  <si>
    <t>dbeganovic@ups.com</t>
  </si>
  <si>
    <t>fbegard@upslogistics.fr</t>
  </si>
  <si>
    <t>bbegay@ups.com</t>
  </si>
  <si>
    <t>cbegay@ups.com</t>
  </si>
  <si>
    <t>jbegel@ups.com</t>
  </si>
  <si>
    <t>mbeggiato@ups.com</t>
  </si>
  <si>
    <t>bbeggs@ups.com</t>
  </si>
  <si>
    <t>sbeggs@ups.com</t>
  </si>
  <si>
    <t>abeghi@ups.com</t>
  </si>
  <si>
    <t>ebegines@ups.com</t>
  </si>
  <si>
    <t>bbegley@ups.com</t>
  </si>
  <si>
    <t>dbegley@ups.com</t>
  </si>
  <si>
    <t>joshuabegley@ups.com</t>
  </si>
  <si>
    <t>sbegovic@ups.com</t>
  </si>
  <si>
    <t>hbegovski@ups.com</t>
  </si>
  <si>
    <t>abegum@ups.com</t>
  </si>
  <si>
    <t>bfarhana@ups.com</t>
  </si>
  <si>
    <t>kbegum@ups.com</t>
  </si>
  <si>
    <t>shahanabegum@ups.com</t>
  </si>
  <si>
    <t>btina@ups.com</t>
  </si>
  <si>
    <t>kiranbehal@ups.com</t>
  </si>
  <si>
    <t>dbehan@ups.com</t>
  </si>
  <si>
    <t>jbehan@ups.com</t>
  </si>
  <si>
    <t>kbehannuckley@ups.com</t>
  </si>
  <si>
    <t>bgowriganesh@ups.com</t>
  </si>
  <si>
    <t>cbehari@ups.com</t>
  </si>
  <si>
    <t>wbeheler@ups.com</t>
  </si>
  <si>
    <t>bbikash@ups.com</t>
  </si>
  <si>
    <t>bbiswajit@ups.com</t>
  </si>
  <si>
    <t>mbehera@ups.com</t>
  </si>
  <si>
    <t>rbehera@ups.com</t>
  </si>
  <si>
    <t>sbehera@ups.com</t>
  </si>
  <si>
    <t>shuvrakantabehera@ups.com</t>
  </si>
  <si>
    <t>jbehgooy@ups.com</t>
  </si>
  <si>
    <t>mbehland@ups.com</t>
  </si>
  <si>
    <t>martin.behle@europe.ups.com</t>
  </si>
  <si>
    <t>lbehling@ups.com</t>
  </si>
  <si>
    <t>mbehme@ups.com</t>
  </si>
  <si>
    <t>lbehmer@ups.com</t>
  </si>
  <si>
    <t>ebehn@ups.com</t>
  </si>
  <si>
    <t>jbehnkejr@ups.com</t>
  </si>
  <si>
    <t>lisabehnke@ups.com</t>
  </si>
  <si>
    <t>nbehnke@ups.com</t>
  </si>
  <si>
    <t>pbehnke@ups.com</t>
  </si>
  <si>
    <t>phillipbehnke@ups.com</t>
  </si>
  <si>
    <t>rbehnke@ups.com</t>
  </si>
  <si>
    <t>kbehr@ups.com</t>
  </si>
  <si>
    <t>nbehrends@ups.com</t>
  </si>
  <si>
    <t>dbehrendt@ups.com</t>
  </si>
  <si>
    <t>kbehrendt@ups.com</t>
  </si>
  <si>
    <t>rbehrendt@ups.com</t>
  </si>
  <si>
    <t>abehrens@ups.com</t>
  </si>
  <si>
    <t>dbehrens@ups.com</t>
  </si>
  <si>
    <t>jens.behrens@europe.ups.com</t>
  </si>
  <si>
    <t>mbehrens@ups.com</t>
  </si>
  <si>
    <t>pbehrens@ups.com</t>
  </si>
  <si>
    <t>rbehrens@ups.com</t>
  </si>
  <si>
    <t>jbehrndt@ups.com</t>
  </si>
  <si>
    <t>matthewbehunek@ups.com</t>
  </si>
  <si>
    <t>dbei@ups.com</t>
  </si>
  <si>
    <t>btao@ups.com</t>
  </si>
  <si>
    <t>bbeier@ups.com</t>
  </si>
  <si>
    <t>kirstinbeigh@ups.com</t>
  </si>
  <si>
    <t>sbeigh@ups.com</t>
  </si>
  <si>
    <t>tbeighey@ups.com</t>
  </si>
  <si>
    <t>wbeil@ups.com</t>
  </si>
  <si>
    <t>holger.beilfuss@europe.ups.com</t>
  </si>
  <si>
    <t>kbeinhacker@ups.com</t>
  </si>
  <si>
    <t>tbeining@ups.com</t>
  </si>
  <si>
    <t>jbeinleiniii@ups.com</t>
  </si>
  <si>
    <t>sbeinlein@ups.com</t>
  </si>
  <si>
    <t>beinroth.mathias@ups.com</t>
  </si>
  <si>
    <t>paul.beirne@europe.ups.com</t>
  </si>
  <si>
    <t>abeisekenova@ups.com</t>
  </si>
  <si>
    <t>tbeisel@ups.com</t>
  </si>
  <si>
    <t>cbeiser@ups.com</t>
  </si>
  <si>
    <t>bbeisheim@ups.com</t>
  </si>
  <si>
    <t>jbeishuizen@ups.com</t>
  </si>
  <si>
    <t>bbeisler@ups.com</t>
  </si>
  <si>
    <t>cbeisler@ups.com</t>
  </si>
  <si>
    <t>rbeiter@ups.com</t>
  </si>
  <si>
    <t>bbeivers@ups.com</t>
  </si>
  <si>
    <t>bbeja@ups.com</t>
  </si>
  <si>
    <t>mbejaoui@ups.com</t>
  </si>
  <si>
    <t>salouabejaoui@ups.com</t>
  </si>
  <si>
    <t>dbejarano@ups.com</t>
  </si>
  <si>
    <t>gbejarano@ups.com</t>
  </si>
  <si>
    <t>jbejarano@ups.com</t>
  </si>
  <si>
    <t>mbejarano@ups.com</t>
  </si>
  <si>
    <t>abejaranoleon@ups.com</t>
  </si>
  <si>
    <t>mbejsovec@ups.com</t>
  </si>
  <si>
    <t>dbekaert@ups.com</t>
  </si>
  <si>
    <t>nbekele@ups.com</t>
  </si>
  <si>
    <t>gbekiroglu@ups.com</t>
  </si>
  <si>
    <t>nbekiroska@ups.com</t>
  </si>
  <si>
    <t>sbekkaoui@ups.com</t>
  </si>
  <si>
    <t>cbekker@ups.com</t>
  </si>
  <si>
    <t>ebekkers@ups.com</t>
  </si>
  <si>
    <t>lbekolay@ups.com</t>
  </si>
  <si>
    <t>cbektas@ups.com</t>
  </si>
  <si>
    <t>elenabektas@ups.com</t>
  </si>
  <si>
    <t>ebektas@ups.com</t>
  </si>
  <si>
    <t>erenbektas@ups.com</t>
  </si>
  <si>
    <t>mbektes@ups.com</t>
  </si>
  <si>
    <t>mbektic@ups.com</t>
  </si>
  <si>
    <t>rbelhaj@ups.com</t>
  </si>
  <si>
    <t>Bel.Orner@courierexpress.net</t>
  </si>
  <si>
    <t>abela@ups.com</t>
  </si>
  <si>
    <t>maria.beladi@europe.ups.com</t>
  </si>
  <si>
    <t>cbelair@ups.com</t>
  </si>
  <si>
    <t>cbeland@ups.com</t>
  </si>
  <si>
    <t>cbelanger@ups.com</t>
  </si>
  <si>
    <t>cathybelanger@ups.com</t>
  </si>
  <si>
    <t>cjbelanger@ups.com</t>
  </si>
  <si>
    <t>lbelanger@ups.com</t>
  </si>
  <si>
    <t>nbelanger@ups.com</t>
  </si>
  <si>
    <t>rbelanger@ups.com</t>
  </si>
  <si>
    <t>sbelanger@ups.com</t>
  </si>
  <si>
    <t>tammy.belanger@ups.com</t>
  </si>
  <si>
    <t>zbelanger@ups.com</t>
  </si>
  <si>
    <t>btriciaann@ups.com</t>
  </si>
  <si>
    <t>abelay@ups.com</t>
  </si>
  <si>
    <t>nbelayachi@ups.com</t>
  </si>
  <si>
    <t>lbelayneh@ups.com</t>
  </si>
  <si>
    <t>jbelbachir@ups.com</t>
  </si>
  <si>
    <t>tbelber@ups.com</t>
  </si>
  <si>
    <t>carlo.belcastro@europe.ups.com</t>
  </si>
  <si>
    <t>abelcher@ups.com</t>
  </si>
  <si>
    <t>dbelcher@ups.com</t>
  </si>
  <si>
    <t>jbelcher@ups.com</t>
  </si>
  <si>
    <t>lonisebelcher@ups.com</t>
  </si>
  <si>
    <t>mbelcher@ups.com</t>
  </si>
  <si>
    <t>sbelcher@ups.com</t>
  </si>
  <si>
    <t>tbelcher@ups.com</t>
  </si>
  <si>
    <t>vbelcher@ups.com</t>
  </si>
  <si>
    <t>julie.belchevski@ups.com</t>
  </si>
  <si>
    <t>mbelcram@ups.com</t>
  </si>
  <si>
    <t>nbeldi@ups.com</t>
  </si>
  <si>
    <t>mbelding@ups.com</t>
  </si>
  <si>
    <t>saf_belem@upslogistics.fr</t>
  </si>
  <si>
    <t>lbelen@ups.com</t>
  </si>
  <si>
    <t>bshermainedivina@ups.com</t>
  </si>
  <si>
    <t>bbelenguer@ups.com</t>
  </si>
  <si>
    <t>bbelenky@ups.com</t>
  </si>
  <si>
    <t>pbelfiore@ups.com</t>
  </si>
  <si>
    <t>rbelfor@ups.com</t>
  </si>
  <si>
    <t>lbelford@ups.com</t>
  </si>
  <si>
    <t>bravindran@ups.com</t>
  </si>
  <si>
    <t>belgiumlpfcontrol@ups.com</t>
  </si>
  <si>
    <t>belgiumsocial@ups.com</t>
  </si>
  <si>
    <t>jbelgrave@ups.com</t>
  </si>
  <si>
    <t>hajarbelhacel@ups.com</t>
  </si>
  <si>
    <t>kbelhadi@ups.com</t>
  </si>
  <si>
    <t>zbelhaj@ups.com</t>
  </si>
  <si>
    <t>mohamed.belhassan@europe.ups.com</t>
  </si>
  <si>
    <t>ebeliaeva@ups.com</t>
  </si>
  <si>
    <t>pbeliczynski@ups.com</t>
  </si>
  <si>
    <t>tbeliesiles@ups.com</t>
  </si>
  <si>
    <t>bbeliew@ups.com</t>
  </si>
  <si>
    <t>cristinabelimpasakis@ups.com</t>
  </si>
  <si>
    <t>belindazeng@ups.com</t>
  </si>
  <si>
    <t>ibelingheri@ups.com</t>
  </si>
  <si>
    <t>bcarlojude@ups.com</t>
  </si>
  <si>
    <t>gbelise@ups.com</t>
  </si>
  <si>
    <t>sebastien.belisle@ups.com</t>
  </si>
  <si>
    <t>dbeliveau@ups.com</t>
  </si>
  <si>
    <t>jbeliveau@ups.com</t>
  </si>
  <si>
    <t>rbelizaire@ups.com</t>
  </si>
  <si>
    <t>diane.beljan@ups.com</t>
  </si>
  <si>
    <t>pbeljan@ups.com</t>
  </si>
  <si>
    <t>jbeljic@ups.com</t>
  </si>
  <si>
    <t>rbelkacimi@ups.com</t>
  </si>
  <si>
    <t>ybelkadi@ups.com</t>
  </si>
  <si>
    <t>yasminebelkhirat@ups.com</t>
  </si>
  <si>
    <t>alastairbell@ups.com</t>
  </si>
  <si>
    <t>alexbell@ups.com</t>
  </si>
  <si>
    <t>abell1@ups.com</t>
  </si>
  <si>
    <t>amandabell@ups.com</t>
  </si>
  <si>
    <t>amaniibell@ups.com</t>
  </si>
  <si>
    <t>angiebell@ups.com</t>
  </si>
  <si>
    <t>abell@ups.com</t>
  </si>
  <si>
    <t>ashleybell@ups.com</t>
  </si>
  <si>
    <t>baileybell@ups.com</t>
  </si>
  <si>
    <t>bbell@ups.com</t>
  </si>
  <si>
    <t>brandenbell@ups.com</t>
  </si>
  <si>
    <t>bbell1@ups.com</t>
  </si>
  <si>
    <t>brandonbell@ups.com</t>
  </si>
  <si>
    <t>brianbell@ups.com</t>
  </si>
  <si>
    <t>brodeebell@ups.com</t>
  </si>
  <si>
    <t>caitlinbell@ups.com</t>
  </si>
  <si>
    <t>calliebell@ups.com</t>
  </si>
  <si>
    <t>cebell@ups.com</t>
  </si>
  <si>
    <t>carolinebell@ups.com</t>
  </si>
  <si>
    <t>cabell@ups.com</t>
  </si>
  <si>
    <t>cbell@ups.com</t>
  </si>
  <si>
    <t>chiquitabell@ups.com</t>
  </si>
  <si>
    <t>christopherbell@ups.com</t>
  </si>
  <si>
    <t>christybell@ups.com</t>
  </si>
  <si>
    <t>connorbell@ups.com</t>
  </si>
  <si>
    <t>craigbell@ups.com</t>
  </si>
  <si>
    <t>dakotabell@ups.com</t>
  </si>
  <si>
    <t>daneshabell@ups.com</t>
  </si>
  <si>
    <t>daniellebell@ups.com</t>
  </si>
  <si>
    <t>darrenbell@ups.com</t>
  </si>
  <si>
    <t>dbell@ups.com</t>
  </si>
  <si>
    <t>deedeebell@ups.com</t>
  </si>
  <si>
    <t>dbell2@ups.com</t>
  </si>
  <si>
    <t>derekbell@ups.com</t>
  </si>
  <si>
    <t>derrickbell@ups.com</t>
  </si>
  <si>
    <t>djbell@ups.com</t>
  </si>
  <si>
    <t>dbbell@ups.com</t>
  </si>
  <si>
    <t>dshonbell@ups.com</t>
  </si>
  <si>
    <t>ebell@ups.com</t>
  </si>
  <si>
    <t>emilybell@ups.com</t>
  </si>
  <si>
    <t>erikabell@ups.com</t>
  </si>
  <si>
    <t>gbell@ups.com</t>
  </si>
  <si>
    <t>grahambell@ups.com</t>
  </si>
  <si>
    <t>grbell@ups.com</t>
  </si>
  <si>
    <t>gregbell@ups.com</t>
  </si>
  <si>
    <t>hollybell@ups.com</t>
  </si>
  <si>
    <t>jackiebell@ups.com</t>
  </si>
  <si>
    <t>jamesbell@ups.com</t>
  </si>
  <si>
    <t>jbell@ups.com</t>
  </si>
  <si>
    <t>jlbell@ups.com</t>
  </si>
  <si>
    <t>jaynabell@ups.com</t>
  </si>
  <si>
    <t>jeffreybell@ups.com</t>
  </si>
  <si>
    <t>jeremybell@ups.com</t>
  </si>
  <si>
    <t>jbell1@ups.com</t>
  </si>
  <si>
    <t>jestinbell@ups.com</t>
  </si>
  <si>
    <t>jjbell@ups.com</t>
  </si>
  <si>
    <t>jimbell@ups.com</t>
  </si>
  <si>
    <t>jebell@ups.com</t>
  </si>
  <si>
    <t>jbell3@ups.com</t>
  </si>
  <si>
    <t>jbell5@ups.com</t>
  </si>
  <si>
    <t>jgbell@ups.com</t>
  </si>
  <si>
    <t>jordanbell@ups.com</t>
  </si>
  <si>
    <t>jbell8@ups.com</t>
  </si>
  <si>
    <t>kbell@ups.com</t>
  </si>
  <si>
    <t>kevinbell@ups.com</t>
  </si>
  <si>
    <t>kbell1@ups.com</t>
  </si>
  <si>
    <t>kimberlybell@ups.com</t>
  </si>
  <si>
    <t>kiwanabell@ups.com</t>
  </si>
  <si>
    <t>lrbell@ups.com</t>
  </si>
  <si>
    <t>lbell@ups.com</t>
  </si>
  <si>
    <t>lenabell@ups.com</t>
  </si>
  <si>
    <t>lornebell@ups.com</t>
  </si>
  <si>
    <t>lynnbell@ups.com</t>
  </si>
  <si>
    <t>marciabell@ups.com</t>
  </si>
  <si>
    <t>marcusbell@ups.com</t>
  </si>
  <si>
    <t>mbell@ups.com</t>
  </si>
  <si>
    <t>mtbell@ups.com</t>
  </si>
  <si>
    <t>mbell3@ups.com</t>
  </si>
  <si>
    <t>michaelbell@ups.com</t>
  </si>
  <si>
    <t>nathanielbell@ups.com</t>
  </si>
  <si>
    <t>nigelbell@ups.com</t>
  </si>
  <si>
    <t>octaviabell@ups.com</t>
  </si>
  <si>
    <t>obell@ups.com</t>
  </si>
  <si>
    <t>oliviabell@ups.com</t>
  </si>
  <si>
    <t>pbell@ups.com</t>
  </si>
  <si>
    <t>peterbell@ups.com</t>
  </si>
  <si>
    <t>pcbell@ups.com</t>
  </si>
  <si>
    <t>rendibell@ups.com</t>
  </si>
  <si>
    <t>rezinabell@ups.com</t>
  </si>
  <si>
    <t>richardbell@ups.com</t>
  </si>
  <si>
    <t>rbell@ups.com</t>
  </si>
  <si>
    <t>robertbell@ups.com</t>
  </si>
  <si>
    <t>sabrinabell@ups.com</t>
  </si>
  <si>
    <t>samanthabell@ups.com</t>
  </si>
  <si>
    <t>sandrabell@ups.com</t>
  </si>
  <si>
    <t>sarahbell@ups.com</t>
  </si>
  <si>
    <t>sbell@ups.com</t>
  </si>
  <si>
    <t>sbell1@ups.com</t>
  </si>
  <si>
    <t>sharheabell@ups.com</t>
  </si>
  <si>
    <t>shawnbell@ups.com</t>
  </si>
  <si>
    <t>shmakhanbell@ups.com</t>
  </si>
  <si>
    <t>stephenbell@ups.com</t>
  </si>
  <si>
    <t>sbell2@ups.com</t>
  </si>
  <si>
    <t>stevenbell@ups.com</t>
  </si>
  <si>
    <t>sydneybell@ups.com</t>
  </si>
  <si>
    <t>sylviabell@ups.com</t>
  </si>
  <si>
    <t>tammiebell@ups.com</t>
  </si>
  <si>
    <t>terrancebell@ups.com</t>
  </si>
  <si>
    <t>terrybell@ups.com</t>
  </si>
  <si>
    <t>thomasbell@ups.com</t>
  </si>
  <si>
    <t>tbell@ups.com</t>
  </si>
  <si>
    <t>tmbell@ups.com</t>
  </si>
  <si>
    <t>tylerbell@ups.com</t>
  </si>
  <si>
    <t>vdbell@ups.com</t>
  </si>
  <si>
    <t>warrenbell@ups.com</t>
  </si>
  <si>
    <t>wlbell@ups.com</t>
  </si>
  <si>
    <t>wbell@ups.com</t>
  </si>
  <si>
    <t>abella@ups.com</t>
  </si>
  <si>
    <t>dbella@ups.com</t>
  </si>
  <si>
    <t>mbella@ups.com</t>
  </si>
  <si>
    <t>bomar@ups.com</t>
  </si>
  <si>
    <t>bbellack@ups.com</t>
  </si>
  <si>
    <t>angiebellafiore@ups.com</t>
  </si>
  <si>
    <t>donatella.bellagente@europe.ups.com</t>
  </si>
  <si>
    <t>abellahnid@ups.com</t>
  </si>
  <si>
    <t>rbellamkonda@ups.com</t>
  </si>
  <si>
    <t>bbellamy@ups.com</t>
  </si>
  <si>
    <t>christopherbellamy@ups.com</t>
  </si>
  <si>
    <t>dbellamy@ups.com</t>
  </si>
  <si>
    <t>darronbellamy@ups.com</t>
  </si>
  <si>
    <t>jbellamy@ups.com</t>
  </si>
  <si>
    <t>lorenzobellamy@ups.com</t>
  </si>
  <si>
    <t>lbellamy@ups.com</t>
  </si>
  <si>
    <t>makenabellamy@ups.com</t>
  </si>
  <si>
    <t>mbellamy@ups.com</t>
  </si>
  <si>
    <t>tbellamy@ups.com</t>
  </si>
  <si>
    <t>wbellamy@ups.com</t>
  </si>
  <si>
    <t>sbellan@ups.com</t>
  </si>
  <si>
    <t>bellante.agnes@ups.com</t>
  </si>
  <si>
    <t>abellard@ups.com</t>
  </si>
  <si>
    <t>tbellard@ups.com</t>
  </si>
  <si>
    <t>wbellario@ups.com</t>
  </si>
  <si>
    <t>nbellas@ups.com</t>
  </si>
  <si>
    <t>cbelldina@ups.com</t>
  </si>
  <si>
    <t>cbelle@ups.com</t>
  </si>
  <si>
    <t>clarencebelle@ups.com</t>
  </si>
  <si>
    <t>jaimmebelle@ups.com</t>
  </si>
  <si>
    <t>mbelle@ups.com</t>
  </si>
  <si>
    <t>sbellefeuille@ups.com</t>
  </si>
  <si>
    <t>nbelleisle@ups.com</t>
  </si>
  <si>
    <t>stephane.belemin@europe.ups.com</t>
  </si>
  <si>
    <t>brege@ups.com</t>
  </si>
  <si>
    <t>abellenger@ups.com</t>
  </si>
  <si>
    <t>danielbeller@ups.com</t>
  </si>
  <si>
    <t>kbeller@ups.com</t>
  </si>
  <si>
    <t>sbeller@ups.com</t>
  </si>
  <si>
    <t>bbellerose@ups.com</t>
  </si>
  <si>
    <t>dbellerose@ups.com</t>
  </si>
  <si>
    <t>kbellet@ups.com</t>
  </si>
  <si>
    <t>FRA5MXB@europe.ups.com</t>
  </si>
  <si>
    <t>ybellevue@ups.com</t>
  </si>
  <si>
    <t>rbellew@ups.com</t>
  </si>
  <si>
    <t>bjoanrose@ups.com</t>
  </si>
  <si>
    <t>mbelliard@ups.com</t>
  </si>
  <si>
    <t>dbellido@ups.com</t>
  </si>
  <si>
    <t>mbellikaya@ups.com</t>
  </si>
  <si>
    <t>sbellin@ups.com</t>
  </si>
  <si>
    <t>cbelling@ups.com</t>
  </si>
  <si>
    <t>bbellinger@ups.com</t>
  </si>
  <si>
    <t>mbellinger@ups.com</t>
  </si>
  <si>
    <t>jbellingham@ups.com</t>
  </si>
  <si>
    <t>ebellinghausen@ups.com</t>
  </si>
  <si>
    <t>sbellis@ups.com</t>
  </si>
  <si>
    <t>tammybellis@ups.com</t>
  </si>
  <si>
    <t>alicesonbelliston@ups.com</t>
  </si>
  <si>
    <t>ebelliu@ups.com</t>
  </si>
  <si>
    <t>jbelliveau@ups.com</t>
  </si>
  <si>
    <t>lbelliveau@ups.com</t>
  </si>
  <si>
    <t>pbelliveau@ups.com</t>
  </si>
  <si>
    <t>sbelliveau@ups.com</t>
  </si>
  <si>
    <t>nbelljames@ups.com</t>
  </si>
  <si>
    <t>tbellman@ups.com</t>
  </si>
  <si>
    <t>anthonybello@ups.com</t>
  </si>
  <si>
    <t>antonio.bello@europe.ups.com</t>
  </si>
  <si>
    <t>cbello@ups.com</t>
  </si>
  <si>
    <t>davidbello@ups.com</t>
  </si>
  <si>
    <t>dbello@ups.com</t>
  </si>
  <si>
    <t>gbello@ups.com</t>
  </si>
  <si>
    <t>jbello@ups.com</t>
  </si>
  <si>
    <t>lbello@ups.com</t>
  </si>
  <si>
    <t>stephane.bello@europe.ups.com</t>
  </si>
  <si>
    <t>ibellocchio@ups.com</t>
  </si>
  <si>
    <t>jbellone@ups.com</t>
  </si>
  <si>
    <t>hbellousjr@ups.com</t>
  </si>
  <si>
    <t>abellouti@ups.com</t>
  </si>
  <si>
    <t>lbellow@ups.com</t>
  </si>
  <si>
    <t>nbellow@ups.com</t>
  </si>
  <si>
    <t>ubellow@ups.com</t>
  </si>
  <si>
    <t>lbellows@ups.com</t>
  </si>
  <si>
    <t>abellrobinson@ups.com</t>
  </si>
  <si>
    <t>bbellrose@ups.com</t>
  </si>
  <si>
    <t>mbellucci@ups.com</t>
  </si>
  <si>
    <t>vbellucci@ups.com</t>
  </si>
  <si>
    <t>rbelluomini@ups.com</t>
  </si>
  <si>
    <t>abellvaughn@ups.com</t>
  </si>
  <si>
    <t>abelmaz@ups.com</t>
  </si>
  <si>
    <t>belmer.mattie@ups.com</t>
  </si>
  <si>
    <t>lbelmont@ups.com</t>
  </si>
  <si>
    <t>fbelmonte@ups.com</t>
  </si>
  <si>
    <t>gbelmonte@ups.com</t>
  </si>
  <si>
    <t>jenny.belopitova@europe.ups.com</t>
  </si>
  <si>
    <t>rossella.belotti@europe.ups.com</t>
  </si>
  <si>
    <t>abelouka@ups.com</t>
  </si>
  <si>
    <t>kbelova@ups.com</t>
  </si>
  <si>
    <t>frank.below@europe.ups.com</t>
  </si>
  <si>
    <t>ibelsito@ups.com</t>
  </si>
  <si>
    <t>cbelsky@ups.com</t>
  </si>
  <si>
    <t>jbelsky@ups.com</t>
  </si>
  <si>
    <t>jbelt@ups.com</t>
  </si>
  <si>
    <t>belt@ups.com</t>
  </si>
  <si>
    <t>alishabelton@ups.com</t>
  </si>
  <si>
    <t>txbeldmp@ups.com</t>
  </si>
  <si>
    <t>hbelton@ups.com</t>
  </si>
  <si>
    <t>jbelton@ups.com</t>
  </si>
  <si>
    <t>kbelton@ups.com</t>
  </si>
  <si>
    <t>lbelton@ups.com</t>
  </si>
  <si>
    <t>pwbelton@ups.com</t>
  </si>
  <si>
    <t>qbelton@ups.com</t>
  </si>
  <si>
    <t>jbeltowski@ups.com</t>
  </si>
  <si>
    <t>jbeltram@ups.com</t>
  </si>
  <si>
    <t>abeltran@ups.com</t>
  </si>
  <si>
    <t>alexisbeltran@ups.com</t>
  </si>
  <si>
    <t>ebeltran@ups.com</t>
  </si>
  <si>
    <t>gbeltran@ups.com</t>
  </si>
  <si>
    <t>gabrielbeltran@ups.com</t>
  </si>
  <si>
    <t>geraldobeltran@ups.com</t>
  </si>
  <si>
    <t>jbeltran@ups.com</t>
  </si>
  <si>
    <t>lbeltran@ups.com</t>
  </si>
  <si>
    <t>mariannabeltran@ups.com</t>
  </si>
  <si>
    <t>marioalbertobeltran@ups.com</t>
  </si>
  <si>
    <t>mbeltran@ups.com</t>
  </si>
  <si>
    <t>hbeltrannavarro@ups.com</t>
  </si>
  <si>
    <t>nicholebeltran@ups.com</t>
  </si>
  <si>
    <t>omarbeltran@ups.com</t>
  </si>
  <si>
    <t>pbeltran@ups.com</t>
  </si>
  <si>
    <t>rbeltran@ups.com</t>
  </si>
  <si>
    <t>rochellebeltran@ups.com</t>
  </si>
  <si>
    <t>sbeltran@ups.com</t>
  </si>
  <si>
    <t>vbeltran@ups.com</t>
  </si>
  <si>
    <t>obeltrano@ups.com</t>
  </si>
  <si>
    <t>cbeltrano@upslogistics.fr</t>
  </si>
  <si>
    <t>cbeltz@ups.com</t>
  </si>
  <si>
    <t>rbeluli@ups.com</t>
  </si>
  <si>
    <t>sbeluri@ups.com</t>
  </si>
  <si>
    <t>mbeluscak@ups.com</t>
  </si>
  <si>
    <t>dbeluzzi@ups.com</t>
  </si>
  <si>
    <t>ebelveal@ups.com</t>
  </si>
  <si>
    <t>sbelville@ups.com</t>
  </si>
  <si>
    <t>ibelyaeva@ups.com</t>
  </si>
  <si>
    <t>dbelyntsev@ups.com</t>
  </si>
  <si>
    <t>abelz@ups.com</t>
  </si>
  <si>
    <t>zbembrick@ups.com</t>
  </si>
  <si>
    <t>cbembry@ups.com</t>
  </si>
  <si>
    <t>tbement@ups.com</t>
  </si>
  <si>
    <t>jbemer@ups.com</t>
  </si>
  <si>
    <t>mnbemdmp@ups.com</t>
  </si>
  <si>
    <t>nbemis@ups.com</t>
  </si>
  <si>
    <t>rbemis@ups.com</t>
  </si>
  <si>
    <t>tbemis@ups.com</t>
  </si>
  <si>
    <t>klaus.bemmerl@europe.ups.com</t>
  </si>
  <si>
    <t>bemstms@ups.com</t>
  </si>
  <si>
    <t>bbenabdelhadi@ups.com</t>
  </si>
  <si>
    <t>jbenali@ups.com</t>
  </si>
  <si>
    <t>mbenali@ups.com</t>
  </si>
  <si>
    <t>nourbenammar@ups.com</t>
  </si>
  <si>
    <t>abenarby@ups.com</t>
  </si>
  <si>
    <t>mbenbrahim@ups.com</t>
  </si>
  <si>
    <t>benchan@ups.com</t>
  </si>
  <si>
    <t>hc.cheah@ups.com</t>
  </si>
  <si>
    <t>mbencheikh@ups.com</t>
  </si>
  <si>
    <t>BenDeBoer@di-corp.com</t>
  </si>
  <si>
    <t>nbenessalmi@ups.com</t>
  </si>
  <si>
    <t>tbenflah@ups.com</t>
  </si>
  <si>
    <t>FRA1BGR@europe.ups.com</t>
  </si>
  <si>
    <t>abenhadine@ups.com</t>
  </si>
  <si>
    <t>kbenhajjou@ups.com</t>
  </si>
  <si>
    <t>zbenhajjou@ups.com</t>
  </si>
  <si>
    <t>sbenhamouda@ups.com</t>
  </si>
  <si>
    <t>Ben.Ireland@marken.com</t>
  </si>
  <si>
    <t>obenkriche@ups.com</t>
  </si>
  <si>
    <t>blazaro@hamamatsu.com</t>
  </si>
  <si>
    <t>kbenmohamed@ups.com</t>
  </si>
  <si>
    <t>bpartridge@traegergrills.com</t>
  </si>
  <si>
    <t>zbensaad@ups.com</t>
  </si>
  <si>
    <t>BSingleton@roostergroup.com</t>
  </si>
  <si>
    <t>abenslimane@ups.com</t>
  </si>
  <si>
    <t>mbenyounes@ups.com</t>
  </si>
  <si>
    <t>sbenzaied@ups.com</t>
  </si>
  <si>
    <t>gbena@ups.com</t>
  </si>
  <si>
    <t>jbena@ups.com</t>
  </si>
  <si>
    <t>kbenabdelhadi@ups.com</t>
  </si>
  <si>
    <t>nbenabdemeziem@ups.com</t>
  </si>
  <si>
    <t>sbenabed@ups.com</t>
  </si>
  <si>
    <t>wbenaissa@ups.com</t>
  </si>
  <si>
    <t>kbenaissi@ups.com</t>
  </si>
  <si>
    <t>jbenales@ups.com</t>
  </si>
  <si>
    <t>lahcen.ben-ali@europe.ups.com</t>
  </si>
  <si>
    <t>mbenallyson@ups.com</t>
  </si>
  <si>
    <t>mohamedbenamara@ups.com</t>
  </si>
  <si>
    <t>abenamati@ups.com</t>
  </si>
  <si>
    <t>lbenamer@ups.com</t>
  </si>
  <si>
    <t>pbenardii@ups.com</t>
  </si>
  <si>
    <t>jbenard@ups.com</t>
  </si>
  <si>
    <t>jodybenash@ups.com</t>
  </si>
  <si>
    <t>jbenassy@ups.com</t>
  </si>
  <si>
    <t>rbenatta@ups.com</t>
  </si>
  <si>
    <t>rbenavent@ups.com</t>
  </si>
  <si>
    <t>abenavides@ups.com</t>
  </si>
  <si>
    <t>gbenavides@ups.com</t>
  </si>
  <si>
    <t>abenavidesgomez@ups.com</t>
  </si>
  <si>
    <t>jbenavides@ups.com</t>
  </si>
  <si>
    <t>karenbenavides@ups.com</t>
  </si>
  <si>
    <t>kbenavides@ups.com</t>
  </si>
  <si>
    <t>lbenavides@ups.com</t>
  </si>
  <si>
    <t>nbenavides@ups.com</t>
  </si>
  <si>
    <t>rbenavides@ups.com</t>
  </si>
  <si>
    <t>sbenavides@ups.com</t>
  </si>
  <si>
    <t>alvinbenavidez@ups.com</t>
  </si>
  <si>
    <t>jaidenbenavidez@ups.com</t>
  </si>
  <si>
    <t>jbenavidez@ups.com</t>
  </si>
  <si>
    <t>johnmichaelbenavidez@ups.com</t>
  </si>
  <si>
    <t>tbenberry@ups.com</t>
  </si>
  <si>
    <t>tbenbow@ups.com</t>
  </si>
  <si>
    <t>bburland@vikingcorp.com</t>
  </si>
  <si>
    <t>abencherifa@ups.com</t>
  </si>
  <si>
    <t>ebenchiba@ups.com</t>
  </si>
  <si>
    <t>cbencivenga@ups.com</t>
  </si>
  <si>
    <t>jbencivengo@ups.com</t>
  </si>
  <si>
    <t>mbencomo@ups.com</t>
  </si>
  <si>
    <t>ebencze@ups.com</t>
  </si>
  <si>
    <t>odc9770@ups.com</t>
  </si>
  <si>
    <t>bendups@hdcourier.com</t>
  </si>
  <si>
    <t>tbenda@ups.com</t>
  </si>
  <si>
    <t>bbenden@ups.com</t>
  </si>
  <si>
    <t>aeribender@ups.com</t>
  </si>
  <si>
    <t>abender@ups.com</t>
  </si>
  <si>
    <t>ericbender@ups.com</t>
  </si>
  <si>
    <t>ebender@ups.com</t>
  </si>
  <si>
    <t>gbender@ups.com</t>
  </si>
  <si>
    <t>jbender@ups.com</t>
  </si>
  <si>
    <t>sbenderjr@ups.com</t>
  </si>
  <si>
    <t>juergenbender@ups.com</t>
  </si>
  <si>
    <t>marybender@ups.com</t>
  </si>
  <si>
    <t>bender.paul@ups.com</t>
  </si>
  <si>
    <t>rbender@ups.com</t>
  </si>
  <si>
    <t>sbender@ups.com</t>
  </si>
  <si>
    <t>shawndabender@ups.com</t>
  </si>
  <si>
    <t>tbender@ups.com</t>
  </si>
  <si>
    <t>mbenderradji@ups.com</t>
  </si>
  <si>
    <t>mbendetowies@ups.com</t>
  </si>
  <si>
    <t>gbenditte@ups.com</t>
  </si>
  <si>
    <t>pbendixen@ups.com</t>
  </si>
  <si>
    <t>bvivek@ups.com</t>
  </si>
  <si>
    <t>jaroslav.bendl@europe.ups.com</t>
  </si>
  <si>
    <t>jbendl@ups.com</t>
  </si>
  <si>
    <t>ebendlpaszkowska@ups.com</t>
  </si>
  <si>
    <t>rbendorf@ups.com</t>
  </si>
  <si>
    <t>bdattaprasad@ups.com</t>
  </si>
  <si>
    <t>mbendt@ups.com</t>
  </si>
  <si>
    <t>pbendt@ups.com</t>
  </si>
  <si>
    <t>kbendzula@ups.com</t>
  </si>
  <si>
    <t>cbenecke@ups.com</t>
  </si>
  <si>
    <t>cbenedetto@ups.com</t>
  </si>
  <si>
    <t>nbenedetto@ups.com</t>
  </si>
  <si>
    <t>abenedict@ups.com</t>
  </si>
  <si>
    <t>cbenedict@ups.com</t>
  </si>
  <si>
    <t>williambenedict@ups.com</t>
  </si>
  <si>
    <t>dbenedicto@ups.com</t>
  </si>
  <si>
    <t>mbenedicto@ups.com</t>
  </si>
  <si>
    <t>tbenedicto@ups.com</t>
  </si>
  <si>
    <t>lbenefiel@ups.com</t>
  </si>
  <si>
    <t>lbenefield@ups.com</t>
  </si>
  <si>
    <t>tbenefield@ups.com</t>
  </si>
  <si>
    <t>juliannbenejanramos@ups.com</t>
  </si>
  <si>
    <t>cbeneke@ups.com</t>
  </si>
  <si>
    <t>beneluxcustomermarketing@ups.com</t>
  </si>
  <si>
    <t>jbenenati@ups.com</t>
  </si>
  <si>
    <t>fbenes@ups.com</t>
  </si>
  <si>
    <t>petr.benes@europe.ups.com</t>
  </si>
  <si>
    <t>ednalva.benetti@ups.com</t>
  </si>
  <si>
    <t>lbeneventi@ups.com</t>
  </si>
  <si>
    <t>courtneybenford@ups.com</t>
  </si>
  <si>
    <t>being.huat.chua@pw.utc.com</t>
  </si>
  <si>
    <t>abenhadad@upslogistics.fr</t>
  </si>
  <si>
    <t>bbenham@ups.com</t>
  </si>
  <si>
    <t>ebenham@ups.com</t>
  </si>
  <si>
    <t>sbenham@ups.com</t>
  </si>
  <si>
    <t>mbenhammadi@ups.com</t>
  </si>
  <si>
    <t>ebenhamou@ups.com</t>
  </si>
  <si>
    <t>mohamedbenhari@ups.com</t>
  </si>
  <si>
    <t>kbenhumea@ups.com</t>
  </si>
  <si>
    <t>rbenhumea@ups.com</t>
  </si>
  <si>
    <t>rbeniciodossantos@ups.com</t>
  </si>
  <si>
    <t>gbenigne@ups.com</t>
  </si>
  <si>
    <t>lbenigno@ups.com</t>
  </si>
  <si>
    <t>gbeninati@ups.com</t>
  </si>
  <si>
    <t>nbeninati@ups.com</t>
  </si>
  <si>
    <t>abeninsig@ups.com</t>
  </si>
  <si>
    <t>stephaniebeniquez@ups.com</t>
  </si>
  <si>
    <t>wbeniquez@ups.com</t>
  </si>
  <si>
    <t>wilframbeniquez@ups.com</t>
  </si>
  <si>
    <t>detlef.benisch@europe.ups.com</t>
  </si>
  <si>
    <t>dbenisek@ups.com</t>
  </si>
  <si>
    <t>dbenismail@ups.com</t>
  </si>
  <si>
    <t>abenitez@ups.com</t>
  </si>
  <si>
    <t>aabenitez@ups.com</t>
  </si>
  <si>
    <t>dbenitez@ups.com</t>
  </si>
  <si>
    <t>ybenitezfranco@ups.com</t>
  </si>
  <si>
    <t>gbenitez@ups.com</t>
  </si>
  <si>
    <t>jbenitez@ups.com</t>
  </si>
  <si>
    <t>kbenitez@ups.com</t>
  </si>
  <si>
    <t>lbenitez@ups.com</t>
  </si>
  <si>
    <t>luisbenitez@ups.com</t>
  </si>
  <si>
    <t>michaelbenitez@ups.com</t>
  </si>
  <si>
    <t>mbenitez@ups.com</t>
  </si>
  <si>
    <t>bbenitezonofre@ups.com</t>
  </si>
  <si>
    <t>Pbenitez@ups.com</t>
  </si>
  <si>
    <t>rommelbenitez@ups.com</t>
  </si>
  <si>
    <t>rbenitez@ups.com</t>
  </si>
  <si>
    <t>rosiebenitez@ups.com</t>
  </si>
  <si>
    <t>silviabenitez@ups.com</t>
  </si>
  <si>
    <t>benito_lara@jabil.com</t>
  </si>
  <si>
    <t>adrianbenjamin@ups.com</t>
  </si>
  <si>
    <t>abenjamin@ups.com</t>
  </si>
  <si>
    <t>anishbenjamin@ups.com</t>
  </si>
  <si>
    <t>bbenjamin@ups.com</t>
  </si>
  <si>
    <t>benjamin_cotres@jabil.com</t>
  </si>
  <si>
    <t>dijlahbenjamin@ups.com</t>
  </si>
  <si>
    <t>exbenjamin@ups.com</t>
  </si>
  <si>
    <t>GRP2YHS@ups.com</t>
  </si>
  <si>
    <t>fbenjamin@ups.com</t>
  </si>
  <si>
    <t>jbenjamin@ups.com</t>
  </si>
  <si>
    <t>cbenjaminjr@ups.com</t>
  </si>
  <si>
    <t>justinbenjamin@ups.com</t>
  </si>
  <si>
    <t>lbenjamin@ups.com</t>
  </si>
  <si>
    <t>mbenjamin@ups.com</t>
  </si>
  <si>
    <t>mbenjamin1@ups.com</t>
  </si>
  <si>
    <t>benjamin.ohrt@pgn.com</t>
  </si>
  <si>
    <t>pbenjamin@ups.com</t>
  </si>
  <si>
    <t>rbenjamin@ups.com</t>
  </si>
  <si>
    <t>sbenjamin@ups.com</t>
  </si>
  <si>
    <t>vbenjamin@ups.com</t>
  </si>
  <si>
    <t>wagnerbenjamin@ups.com</t>
  </si>
  <si>
    <t>zbenjamin@ups.com</t>
  </si>
  <si>
    <t>mbenkirane@ups.com</t>
  </si>
  <si>
    <t>stacybenko@ups.com</t>
  </si>
  <si>
    <t>rbenkoske@ups.com</t>
  </si>
  <si>
    <t>benlclaims@ups.com</t>
  </si>
  <si>
    <t>obenlalah@ups.com</t>
  </si>
  <si>
    <t>sbenlamhidi@ups.com</t>
  </si>
  <si>
    <t>soumiabenlhassan@ups.com</t>
  </si>
  <si>
    <t>mbenmaamar@ups.com</t>
  </si>
  <si>
    <t>sbenmakhlouf@ups.com</t>
  </si>
  <si>
    <t>nbenmeddah@ups.com</t>
  </si>
  <si>
    <t>mohamedbenmekden@ups.com</t>
  </si>
  <si>
    <t>bbenn@ups.com</t>
  </si>
  <si>
    <t>cbenn@ups.com</t>
  </si>
  <si>
    <t>mbenn@ups.com</t>
  </si>
  <si>
    <t>abennai@ups.com</t>
  </si>
  <si>
    <t>tbenndorf@ups.com</t>
  </si>
  <si>
    <t>cbenner@ups.com</t>
  </si>
  <si>
    <t>jbenner@ups.com</t>
  </si>
  <si>
    <t>tawnyabenner@ups.com</t>
  </si>
  <si>
    <t>thomasbenner@ups.com</t>
  </si>
  <si>
    <t>rbenners@ups.com</t>
  </si>
  <si>
    <t>valentinabennerscheid@ups.com</t>
  </si>
  <si>
    <t>alexanderbennett@ups.com</t>
  </si>
  <si>
    <t>abennett1@ups.com</t>
  </si>
  <si>
    <t>amybennett@ups.com</t>
  </si>
  <si>
    <t>abennett@ups.com</t>
  </si>
  <si>
    <t>ambennett@ups.com</t>
  </si>
  <si>
    <t>anthonybennett@ups.com</t>
  </si>
  <si>
    <t>benjaminbennett@ups.com</t>
  </si>
  <si>
    <t>brandonbennett@ups.com</t>
  </si>
  <si>
    <t>brianbennett@ups.com</t>
  </si>
  <si>
    <t>bbennett@ups.com</t>
  </si>
  <si>
    <t>bkbennett@ups.com</t>
  </si>
  <si>
    <t>cameronbennett@ups.com</t>
  </si>
  <si>
    <t>carlbennett@ups.com</t>
  </si>
  <si>
    <t>chadbennett@ups.com</t>
  </si>
  <si>
    <t>cbennett2@ups.com</t>
  </si>
  <si>
    <t>charmainebennett@ups.com</t>
  </si>
  <si>
    <t>chelseabennett@ups.com</t>
  </si>
  <si>
    <t>cmbennett@ups.com</t>
  </si>
  <si>
    <t>cbennett@ups.com</t>
  </si>
  <si>
    <t>cbennett3@ups.com</t>
  </si>
  <si>
    <t>corbynbennett@ups.com</t>
  </si>
  <si>
    <t>cbennett1@ups.com</t>
  </si>
  <si>
    <t>dbennett1@ups.com</t>
  </si>
  <si>
    <t>davidb@iship.com</t>
  </si>
  <si>
    <t>demoyebennett@ups.com</t>
  </si>
  <si>
    <t>derrickbennett@ups.com</t>
  </si>
  <si>
    <t>dbennett@ups.com</t>
  </si>
  <si>
    <t>dominiquebennett@ups.com</t>
  </si>
  <si>
    <t>donnybennett@ups.com</t>
  </si>
  <si>
    <t>donovanbennett@ups.com</t>
  </si>
  <si>
    <t>elizabethbennett@ups.com</t>
  </si>
  <si>
    <t>fbennett@ups.com</t>
  </si>
  <si>
    <t>gpbennett@ups.com</t>
  </si>
  <si>
    <t>gbennett@ups.com</t>
  </si>
  <si>
    <t>ginabennett@ups.com</t>
  </si>
  <si>
    <t>wbennettiii@ups.com</t>
  </si>
  <si>
    <t>jbennett1@ups.com</t>
  </si>
  <si>
    <t>jamesbennett@ups.com</t>
  </si>
  <si>
    <t>jamiebennett@ups.com</t>
  </si>
  <si>
    <t>jarrettbennett@ups.com</t>
  </si>
  <si>
    <t>jebennett@ups.com</t>
  </si>
  <si>
    <t>jasonbennett@ups.com</t>
  </si>
  <si>
    <t>jeffreybennett@ups.com</t>
  </si>
  <si>
    <t>jabennett@ups.com</t>
  </si>
  <si>
    <t>jbennett@ups.com</t>
  </si>
  <si>
    <t>jdbennett@ups.com</t>
  </si>
  <si>
    <t>johnathonbennett@ups.com</t>
  </si>
  <si>
    <t>pbennettjr@ups.com</t>
  </si>
  <si>
    <t>juliebennett@ups.com</t>
  </si>
  <si>
    <t>kelliebennett@ups.com</t>
  </si>
  <si>
    <t>kabennett@ups.com</t>
  </si>
  <si>
    <t>kbennett@ups.com</t>
  </si>
  <si>
    <t>kodybennett@ups.com</t>
  </si>
  <si>
    <t>kristianbennett@ups.com</t>
  </si>
  <si>
    <t>kylebennett@ups.com</t>
  </si>
  <si>
    <t>kymyattabennett@ups.com</t>
  </si>
  <si>
    <t>lbennett@ups.com</t>
  </si>
  <si>
    <t>loganbennett@ups.com</t>
  </si>
  <si>
    <t>markbennett@ups.com</t>
  </si>
  <si>
    <t>marybennett@ups.com</t>
  </si>
  <si>
    <t>matthewbennett@ups.com</t>
  </si>
  <si>
    <t>mbennett2@ups.com</t>
  </si>
  <si>
    <t>mbennett1@ups.com</t>
  </si>
  <si>
    <t>meganbennett@ups.com</t>
  </si>
  <si>
    <t>mbennett3@ups.com</t>
  </si>
  <si>
    <t>mbennett@ups.com</t>
  </si>
  <si>
    <t>msbennett@ups.com</t>
  </si>
  <si>
    <t>milagrabennett@ups.com</t>
  </si>
  <si>
    <t>mdbennett@ups.com</t>
  </si>
  <si>
    <t>mollybennett@ups.com</t>
  </si>
  <si>
    <t>nhbennett@ups.com</t>
  </si>
  <si>
    <t>nyraebennett@ups.com</t>
  </si>
  <si>
    <t>obennett@ups.com</t>
  </si>
  <si>
    <t>randybennett@upsstore.com</t>
  </si>
  <si>
    <t>rashedahbennett@ups.com</t>
  </si>
  <si>
    <t>rbennett@ups.com</t>
  </si>
  <si>
    <t>ronaldbennett@ups.com</t>
  </si>
  <si>
    <t>rbennett1@ups.com</t>
  </si>
  <si>
    <t>rossbennett@ups.com</t>
  </si>
  <si>
    <t>ryanbennett@ups.com</t>
  </si>
  <si>
    <t>sarahbennett@ups.com</t>
  </si>
  <si>
    <t>scottbennett@ups.com</t>
  </si>
  <si>
    <t>seanbennett@ups.com</t>
  </si>
  <si>
    <t>shaunbennett@ups.com</t>
  </si>
  <si>
    <t>solomonbennett@ups.com</t>
  </si>
  <si>
    <t>sbennett@ups.com</t>
  </si>
  <si>
    <t>stevenbennett@ups.com</t>
  </si>
  <si>
    <t>susanbennett@ups.com</t>
  </si>
  <si>
    <t>talarishabennett@ups.com</t>
  </si>
  <si>
    <t>terribennett@ups.com</t>
  </si>
  <si>
    <t>thomasbennett@ups.com</t>
  </si>
  <si>
    <t>tbennett2@ups.com</t>
  </si>
  <si>
    <t>tiabennett@ups.com</t>
  </si>
  <si>
    <t>timbennett@ups.com</t>
  </si>
  <si>
    <t>tbennett@ups.com</t>
  </si>
  <si>
    <t>timmiebennett@ups.com</t>
  </si>
  <si>
    <t>timothybennett@ups.com</t>
  </si>
  <si>
    <t>tbennett1@ups.com</t>
  </si>
  <si>
    <t>tonyabennett@ups.com</t>
  </si>
  <si>
    <t>tyronebennett@ups.com</t>
  </si>
  <si>
    <t>valareebennett@ups.com</t>
  </si>
  <si>
    <t>zbennett@ups.com</t>
  </si>
  <si>
    <t>benneyrussell@ups.com</t>
  </si>
  <si>
    <t>kbennie@ups.com</t>
  </si>
  <si>
    <t>bennieh@mtm.com</t>
  </si>
  <si>
    <t>abennies@ups.com</t>
  </si>
  <si>
    <t>abennifield@ups.com</t>
  </si>
  <si>
    <t>rbenning@ups.com</t>
  </si>
  <si>
    <t>dbenningfield@ups.com</t>
  </si>
  <si>
    <t>darrellbenningfield@ups.com</t>
  </si>
  <si>
    <t>keribenningfield@ups.com</t>
  </si>
  <si>
    <t>ebennington@ups.com</t>
  </si>
  <si>
    <t>jbennington@ups.com</t>
  </si>
  <si>
    <t>sbennington@ups.com</t>
  </si>
  <si>
    <t>lbennink@ups.com</t>
  </si>
  <si>
    <t>sbennion@ups.com</t>
  </si>
  <si>
    <t>rbennis@ups.com</t>
  </si>
  <si>
    <t>zbennouna@ups.com</t>
  </si>
  <si>
    <t>lbenns@ups.com</t>
  </si>
  <si>
    <t>bgiannotti@wfsltd.com</t>
  </si>
  <si>
    <t>solomon.b@ups.com</t>
  </si>
  <si>
    <t>rbenny@ups.com</t>
  </si>
  <si>
    <t>rbeno@ups.com</t>
  </si>
  <si>
    <t>roy.benoist@ups.com</t>
  </si>
  <si>
    <t>andrebenoit@ups.com</t>
  </si>
  <si>
    <t>cbenoit@ups.com</t>
  </si>
  <si>
    <t>dbenoit@ups.com</t>
  </si>
  <si>
    <t>jbenoit@ups.com</t>
  </si>
  <si>
    <t>thomasbenoit@ups.com</t>
  </si>
  <si>
    <t>cbenoits@ups.com</t>
  </si>
  <si>
    <t>emilio.benozzi@europe.ups.com</t>
  </si>
  <si>
    <t>tbenrud@ups.com</t>
  </si>
  <si>
    <t>bensalem1900@ups.com</t>
  </si>
  <si>
    <t>abensallam@ups.com</t>
  </si>
  <si>
    <t>anke.benseler@europe.ups.com</t>
  </si>
  <si>
    <t>bjunelpanares@ups.com</t>
  </si>
  <si>
    <t>jbensimon@ups.com</t>
  </si>
  <si>
    <t>jbensing@ups.com</t>
  </si>
  <si>
    <t>rbensing@ups.com</t>
  </si>
  <si>
    <t>bbenson@ups.com</t>
  </si>
  <si>
    <t>brianbenson@ups.com</t>
  </si>
  <si>
    <t>cameronbenson@ups.com</t>
  </si>
  <si>
    <t>cxbenson@ups.com</t>
  </si>
  <si>
    <t>daniellebenson@ups.com</t>
  </si>
  <si>
    <t>UKG2DAB@europe.ups.com</t>
  </si>
  <si>
    <t>dejerrickabenson@ups.com</t>
  </si>
  <si>
    <t>ebenson@ups.com</t>
  </si>
  <si>
    <t>ericbenson@ups.com</t>
  </si>
  <si>
    <t>ejbenson@ups.com</t>
  </si>
  <si>
    <t>johnbenson@ups.com</t>
  </si>
  <si>
    <t>kalebbenson@ups.com</t>
  </si>
  <si>
    <t>kbenson@ups.com</t>
  </si>
  <si>
    <t>lbenson@ups.com</t>
  </si>
  <si>
    <t>mbenson@ups.com</t>
  </si>
  <si>
    <t>michaelbenson@ups.com</t>
  </si>
  <si>
    <t>morrisbenson@ups.com</t>
  </si>
  <si>
    <t>nbenson@ups.com</t>
  </si>
  <si>
    <t>rickybenson@ups.com</t>
  </si>
  <si>
    <t>rbenson@ups.com</t>
  </si>
  <si>
    <t>sbenson@ups.com</t>
  </si>
  <si>
    <t>scottbenson@ups.com</t>
  </si>
  <si>
    <t>seanbenson@ups.com</t>
  </si>
  <si>
    <t>stevenbenson@ups.com</t>
  </si>
  <si>
    <t>tamarabenson@ups.com</t>
  </si>
  <si>
    <t>toddbenson@ups.com</t>
  </si>
  <si>
    <t>tbenson@ups.com</t>
  </si>
  <si>
    <t>tbenson1@ups.com</t>
  </si>
  <si>
    <t>vbenson@ups.com</t>
  </si>
  <si>
    <t>azizbensouda@ups.com</t>
  </si>
  <si>
    <t>abenszlesik@ups.com</t>
  </si>
  <si>
    <t>ebent@ups.com</t>
  </si>
  <si>
    <t>tbent@ups.com</t>
  </si>
  <si>
    <t>cbentancourt@ups.com</t>
  </si>
  <si>
    <t>rbentancourtjr@ups.com</t>
  </si>
  <si>
    <t>rbentivenga@ups.com</t>
  </si>
  <si>
    <t>mbentler@ups.com</t>
  </si>
  <si>
    <t>tbentler@ups.com</t>
  </si>
  <si>
    <t>alexandrabentley@ups.com</t>
  </si>
  <si>
    <t>abentley@ups.com</t>
  </si>
  <si>
    <t>ambentley@ups.com</t>
  </si>
  <si>
    <t>abentley1@ups.com</t>
  </si>
  <si>
    <t>colbybentley@ups.com</t>
  </si>
  <si>
    <t>colin.bentley@europe.ups.com</t>
  </si>
  <si>
    <t>cbentley@ups.com</t>
  </si>
  <si>
    <t>deborahbentley@ups.com</t>
  </si>
  <si>
    <t>demonebentley@ups.com</t>
  </si>
  <si>
    <t>dbentley@ups.com</t>
  </si>
  <si>
    <t>ebentley@ups.com</t>
  </si>
  <si>
    <t>lbentley@ups.com</t>
  </si>
  <si>
    <t>lisabentley@ups.com</t>
  </si>
  <si>
    <t>ryanbentley@ups.com</t>
  </si>
  <si>
    <t>rbentley@ups.com</t>
  </si>
  <si>
    <t>stevenbentley@ups.com</t>
  </si>
  <si>
    <t>tbentley@ups.com</t>
  </si>
  <si>
    <t>sbento@ups.com</t>
  </si>
  <si>
    <t>abenton@ups.com</t>
  </si>
  <si>
    <t>benjaminbenton@ups.com</t>
  </si>
  <si>
    <t>bbenton@ups.com</t>
  </si>
  <si>
    <t>christopherbenton@ups.com</t>
  </si>
  <si>
    <t>cbenton@ups.com</t>
  </si>
  <si>
    <t>ebenton@ups.com</t>
  </si>
  <si>
    <t>ibenton@ups.com</t>
  </si>
  <si>
    <t>jamesbenton@ups.com</t>
  </si>
  <si>
    <t>kevinbenton@ups.com</t>
  </si>
  <si>
    <t>kbenton@ups.com</t>
  </si>
  <si>
    <t>sabenton@ups.com</t>
  </si>
  <si>
    <t>tbenton@ups.com</t>
  </si>
  <si>
    <t>rbents@ups.com</t>
  </si>
  <si>
    <t>vbentuerk@ups.com</t>
  </si>
  <si>
    <t>abentz@ups.com</t>
  </si>
  <si>
    <t>kevinbentz@ups.com</t>
  </si>
  <si>
    <t>kbentz@ups.com</t>
  </si>
  <si>
    <t>michael.bentz@europe.ups.com</t>
  </si>
  <si>
    <t>tbentz@ups.com</t>
  </si>
  <si>
    <t>rbentzel@ups.com</t>
  </si>
  <si>
    <t>nbenutto@ups.com</t>
  </si>
  <si>
    <t>gbenwarejr@ups.com</t>
  </si>
  <si>
    <t>anna.benway@ups.com</t>
  </si>
  <si>
    <t>abeny@ups.com</t>
  </si>
  <si>
    <t>pbeny@ups.com</t>
  </si>
  <si>
    <t>bbenyard@ups.com</t>
  </si>
  <si>
    <t>benyock.michelle@ups.com</t>
  </si>
  <si>
    <t>cbenz@ups.com</t>
  </si>
  <si>
    <t>dbenz@ups.com</t>
  </si>
  <si>
    <t>jbenz@ups.com</t>
  </si>
  <si>
    <t>johnbenz@ups.com</t>
  </si>
  <si>
    <t>lbenz@ups.com</t>
  </si>
  <si>
    <t>thomas.benz@europe.ups.com</t>
  </si>
  <si>
    <t>tbenza@ups.com</t>
  </si>
  <si>
    <t>abenzaquen@ups.com</t>
  </si>
  <si>
    <t>vbenzoni@ups.com</t>
  </si>
  <si>
    <t>mbeplab@ups.com</t>
  </si>
  <si>
    <t>beportfolio@ups.com</t>
  </si>
  <si>
    <t>dbeqja@ups.com</t>
  </si>
  <si>
    <t>cbequette@ups.com</t>
  </si>
  <si>
    <t>abequillo@ups.com</t>
  </si>
  <si>
    <t>bgerly@ups.com</t>
  </si>
  <si>
    <t>broldan@ups.com</t>
  </si>
  <si>
    <t>tberardi@ups.com</t>
  </si>
  <si>
    <t>dberardinelli@ups.com</t>
  </si>
  <si>
    <t>mberarov@ups.com</t>
  </si>
  <si>
    <t>gberaud@ups.com</t>
  </si>
  <si>
    <t>aberbecenicolau@ups.com</t>
  </si>
  <si>
    <t>rberberichjr@ups.com</t>
  </si>
  <si>
    <t>mberberswestheim@ups.com</t>
  </si>
  <si>
    <t>lbercaw@ups.com</t>
  </si>
  <si>
    <t>aberchman@ups.com</t>
  </si>
  <si>
    <t>mbercian@ups.com</t>
  </si>
  <si>
    <t>ibercier@ups.com</t>
  </si>
  <si>
    <t>hbberdar@ups.com</t>
  </si>
  <si>
    <t>bharshad@ups.com</t>
  </si>
  <si>
    <t>mberdecia@ups.com</t>
  </si>
  <si>
    <t>kberdeguez@ups.com</t>
  </si>
  <si>
    <t>devinberden@ups.com</t>
  </si>
  <si>
    <t>dberden@ups.com</t>
  </si>
  <si>
    <t>rberdos@ups.com</t>
  </si>
  <si>
    <t>sberdote@ups.com</t>
  </si>
  <si>
    <t>jberec@ups.com</t>
  </si>
  <si>
    <t>cberedimas@ups.com</t>
  </si>
  <si>
    <t>jberends@ups.com</t>
  </si>
  <si>
    <t>gberens@ups.com</t>
  </si>
  <si>
    <t>mberentzen@ups.com</t>
  </si>
  <si>
    <t>christeleberera@ups.com</t>
  </si>
  <si>
    <t>lberes@ups.com</t>
  </si>
  <si>
    <t>mberesford@ups.com</t>
  </si>
  <si>
    <t>sueberesford@ups.com</t>
  </si>
  <si>
    <t>jberets@ups.com</t>
  </si>
  <si>
    <t>aberetta@ups.com</t>
  </si>
  <si>
    <t>sbereza@ups.com</t>
  </si>
  <si>
    <t>mberezanich@ups.com</t>
  </si>
  <si>
    <t>mberezny@ups.com</t>
  </si>
  <si>
    <t>nberezovskiy@ups.com</t>
  </si>
  <si>
    <t>sberezovskiy@ups.com</t>
  </si>
  <si>
    <t>aberg@ups.com</t>
  </si>
  <si>
    <t>christopherberg@ups.com</t>
  </si>
  <si>
    <t>dpberg@ups.com</t>
  </si>
  <si>
    <t>deberg@ups.com</t>
  </si>
  <si>
    <t>sbergi@ups.com</t>
  </si>
  <si>
    <t>iberg@ups.com</t>
  </si>
  <si>
    <t>lberg@ups.com</t>
  </si>
  <si>
    <t>mberg@ups.com</t>
  </si>
  <si>
    <t>olgaberg@ups.com</t>
  </si>
  <si>
    <t>kbergonstad@ups.com</t>
  </si>
  <si>
    <t>peter.berg@europe.ups.com</t>
  </si>
  <si>
    <t>yberg@ups.com</t>
  </si>
  <si>
    <t>gbergan@ups.com</t>
  </si>
  <si>
    <t>jberganza@ups.com</t>
  </si>
  <si>
    <t>fberganzacampos@ups.com</t>
  </si>
  <si>
    <t>nberge@ups.com</t>
  </si>
  <si>
    <t>mbergelin@ups.com</t>
  </si>
  <si>
    <t>abergen@ups.com</t>
  </si>
  <si>
    <t>bbergen@ups.com</t>
  </si>
  <si>
    <t>claudiabergen@ups.com</t>
  </si>
  <si>
    <t>gerhard.bergen@europe.ups.com</t>
  </si>
  <si>
    <t>mbergen@ups.com</t>
  </si>
  <si>
    <t>bberger@ups.com</t>
  </si>
  <si>
    <t>christian-alexander.berger@europe.ups.com</t>
  </si>
  <si>
    <t>cberger@ups.com</t>
  </si>
  <si>
    <t>davidberger@ups.com</t>
  </si>
  <si>
    <t>dberger@ups.com</t>
  </si>
  <si>
    <t>eberger@ups.com</t>
  </si>
  <si>
    <t>gberger@ups.com</t>
  </si>
  <si>
    <t>hberger@ups.com</t>
  </si>
  <si>
    <t>jberger1@ups.com</t>
  </si>
  <si>
    <t>jberger@ups.com</t>
  </si>
  <si>
    <t>jeffreyberger@ups.com</t>
  </si>
  <si>
    <t>lberger@ups.com</t>
  </si>
  <si>
    <t>margaretberger@ups.com</t>
  </si>
  <si>
    <t>mberger@ups.com</t>
  </si>
  <si>
    <t>murielberger@ups.com</t>
  </si>
  <si>
    <t>niels.berger@europe.ups.com</t>
  </si>
  <si>
    <t>norbert.berger@ups.com</t>
  </si>
  <si>
    <t>pberger@ups.com</t>
  </si>
  <si>
    <t>rberger@ups.com</t>
  </si>
  <si>
    <t>thierry.berger@europe.ups.com</t>
  </si>
  <si>
    <t>tberger@ups.com</t>
  </si>
  <si>
    <t>whitneyberger@ups.com</t>
  </si>
  <si>
    <t>abergeron@ups.com</t>
  </si>
  <si>
    <t>bbergeron@ups.com</t>
  </si>
  <si>
    <t>cbergeron@ups.com</t>
  </si>
  <si>
    <t>jbergeron@ups.com</t>
  </si>
  <si>
    <t>rlbergeron@ups.com</t>
  </si>
  <si>
    <t>wbergeron@ups.com</t>
  </si>
  <si>
    <t>cberges@ups.com</t>
  </si>
  <si>
    <t>ebergesen@ups.com</t>
  </si>
  <si>
    <t>rbergfeld@ups.com</t>
  </si>
  <si>
    <t>kbergford@ups.com</t>
  </si>
  <si>
    <t>corneliaberggold@ups.com</t>
  </si>
  <si>
    <t>dberggren@ups.com</t>
  </si>
  <si>
    <t>jberggren@ups.com</t>
  </si>
  <si>
    <t>sberggren@ups.com</t>
  </si>
  <si>
    <t>mbergh@ups.com</t>
  </si>
  <si>
    <t>nbergheim@ups.com</t>
  </si>
  <si>
    <t>dberghmans@ups.com</t>
  </si>
  <si>
    <t>erikberghoi@ups.com</t>
  </si>
  <si>
    <t>abergin@ups.com</t>
  </si>
  <si>
    <t>jbergin@ups.com</t>
  </si>
  <si>
    <t>bbergjans@ups.com</t>
  </si>
  <si>
    <t>aberglund@ups.com</t>
  </si>
  <si>
    <t>cberglund@ups.com</t>
  </si>
  <si>
    <t>karljohan.berglund@europe.ups.com</t>
  </si>
  <si>
    <t>abergmajer@ups.com</t>
  </si>
  <si>
    <t>dbergman@ups.com</t>
  </si>
  <si>
    <t>jbergman@ups.com</t>
  </si>
  <si>
    <t>mbergman@ups.com</t>
  </si>
  <si>
    <t>nbergman@ups.com</t>
  </si>
  <si>
    <t>cbergmann@ups.com</t>
  </si>
  <si>
    <t>jbergmann@ups.com</t>
  </si>
  <si>
    <t>rbergmann@ups.com</t>
  </si>
  <si>
    <t>nbergmans@ups.com</t>
  </si>
  <si>
    <t>sbergmark@ups.com</t>
  </si>
  <si>
    <t>jbergquist@ups.com</t>
  </si>
  <si>
    <t>kbergquist@ups.com</t>
  </si>
  <si>
    <t>helmut.bergs@europe.ups.com</t>
  </si>
  <si>
    <t>cbergsonne@ups.com</t>
  </si>
  <si>
    <t>jbergstrom@ups.com</t>
  </si>
  <si>
    <t>rbergstrom@ups.com</t>
  </si>
  <si>
    <t>sbergstrom@ups.com</t>
  </si>
  <si>
    <t>aberhe@ups.com</t>
  </si>
  <si>
    <t>aberhow@ups.com</t>
  </si>
  <si>
    <t>aberiguete@ups.com</t>
  </si>
  <si>
    <t>jberina@ups.com</t>
  </si>
  <si>
    <t>sberish@ups.com</t>
  </si>
  <si>
    <t>brichtsmeier@thegemgroup.com</t>
  </si>
  <si>
    <t>bberk@ups.com</t>
  </si>
  <si>
    <t>mariaberk@ups.com</t>
  </si>
  <si>
    <t>yberk@ups.com</t>
  </si>
  <si>
    <t>aberkebile@ups.com</t>
  </si>
  <si>
    <t>tberkebile@ups.com</t>
  </si>
  <si>
    <t>sberkebilestoiser@ups.com</t>
  </si>
  <si>
    <t>aberkeley@ups.com</t>
  </si>
  <si>
    <t>gberkeleygibb@ups.com</t>
  </si>
  <si>
    <t>sberkenbush@ups.com</t>
  </si>
  <si>
    <t>dberkett@ups.com</t>
  </si>
  <si>
    <t>tberkey@ups.com</t>
  </si>
  <si>
    <t>mberkheimer@ups.com</t>
  </si>
  <si>
    <t>lilianberkleef@ups.com</t>
  </si>
  <si>
    <t>keiranberkley@ups.com</t>
  </si>
  <si>
    <t>mberkley@ups.com</t>
  </si>
  <si>
    <t>johnb@ethicalpet.com</t>
  </si>
  <si>
    <t>daniel.berks@europe.ups.com</t>
  </si>
  <si>
    <t>dberland@upslogistics.fr</t>
  </si>
  <si>
    <t>jberlau@ups.com</t>
  </si>
  <si>
    <t>mberlew@ups.com</t>
  </si>
  <si>
    <t>sberlin@ups.com</t>
  </si>
  <si>
    <t>jberling@ups.com</t>
  </si>
  <si>
    <t>eberlinguette@ups.com</t>
  </si>
  <si>
    <t>sberlinski@ups.com</t>
  </si>
  <si>
    <t>mberlly@ups.com</t>
  </si>
  <si>
    <t>cberlongieri@ups.com</t>
  </si>
  <si>
    <t>cberlovan@ups.com</t>
  </si>
  <si>
    <t>bjeremyabraham@ups.com</t>
  </si>
  <si>
    <t>steveberman@ups.com</t>
  </si>
  <si>
    <t>VBerman@ups.com</t>
  </si>
  <si>
    <t>mbermejoquezada@ups.com</t>
  </si>
  <si>
    <t>tbermel@ups.com</t>
  </si>
  <si>
    <t>mbermes@ups.com</t>
  </si>
  <si>
    <t>aabermudez@ups.com</t>
  </si>
  <si>
    <t>abermudez@ups.com</t>
  </si>
  <si>
    <t>annabermudez@ups.com</t>
  </si>
  <si>
    <t>cbermudez@ups.com</t>
  </si>
  <si>
    <t>bermudez.diego@ups.com</t>
  </si>
  <si>
    <t>dbermudez@ups.com</t>
  </si>
  <si>
    <t>ebermudez@ups.com</t>
  </si>
  <si>
    <t>hbermudez@ups.com</t>
  </si>
  <si>
    <t>hbermudez2@ups.com</t>
  </si>
  <si>
    <t>josebermudez@ups.com</t>
  </si>
  <si>
    <t>wbermudezjr@ups.com</t>
  </si>
  <si>
    <t>jbermudez@ups.com</t>
  </si>
  <si>
    <t>mbermudez@ups.com</t>
  </si>
  <si>
    <t>markfilaugustusbermudez@ups.com</t>
  </si>
  <si>
    <t>ybermudezparra@ups.com</t>
  </si>
  <si>
    <t>rachelbermudez@ups.com</t>
  </si>
  <si>
    <t>rbermudez@ups.com</t>
  </si>
  <si>
    <t>SUSANA.BERMUDEZ@UPS.COM</t>
  </si>
  <si>
    <t>tbermudez@ups.com</t>
  </si>
  <si>
    <t>vbermudez@ups.com</t>
  </si>
  <si>
    <t>wolfgangbermudez@ups.com</t>
  </si>
  <si>
    <t>abernache@ups.com</t>
  </si>
  <si>
    <t>lbernacki@ups.com</t>
  </si>
  <si>
    <t>bernadette_molina@gap.com</t>
  </si>
  <si>
    <t>paule.bernaerts@europe.ups.com</t>
  </si>
  <si>
    <t>addisonbernal@ups.com</t>
  </si>
  <si>
    <t>danielabernal@ups.com</t>
  </si>
  <si>
    <t>daniellebernal@ups.com</t>
  </si>
  <si>
    <t>dxbernal@ups.com</t>
  </si>
  <si>
    <t>ebernal@ups.com</t>
  </si>
  <si>
    <t>eribernal@ups.com</t>
  </si>
  <si>
    <t>fernandobernal@ups.com</t>
  </si>
  <si>
    <t>fbernal@ups.com</t>
  </si>
  <si>
    <t>bfrencessann@ups.com</t>
  </si>
  <si>
    <t>geenabernal@ups.com</t>
  </si>
  <si>
    <t>dbernalherrera@ups.com</t>
  </si>
  <si>
    <t>bisrael@ups.com</t>
  </si>
  <si>
    <t>jbernal@ups.com</t>
  </si>
  <si>
    <t>matthewbernal@ups.com</t>
  </si>
  <si>
    <t>michealbernal@ups.com</t>
  </si>
  <si>
    <t>sbernal@ups.com</t>
  </si>
  <si>
    <t>tbernal@ups.com</t>
  </si>
  <si>
    <t>vbernal@europe.ups.com</t>
  </si>
  <si>
    <t>victorbernal@ups.com</t>
  </si>
  <si>
    <t>jbernaldez@ups.com</t>
  </si>
  <si>
    <t>bjoemarie@ups.com</t>
  </si>
  <si>
    <t>ebernans@ups.com</t>
  </si>
  <si>
    <t>abernard@ups.com</t>
  </si>
  <si>
    <t>darlenebernard@ups.com</t>
  </si>
  <si>
    <t>djbernard@ups.com</t>
  </si>
  <si>
    <t>dmitrybernard@ups.com</t>
  </si>
  <si>
    <t>dbernard@ups.com</t>
  </si>
  <si>
    <t>fbernard@ups.com</t>
  </si>
  <si>
    <t>jbernard2@ups.com</t>
  </si>
  <si>
    <t>jbernard@ups.com</t>
  </si>
  <si>
    <t>juliennebernard@ups.com</t>
  </si>
  <si>
    <t>rbernard@ups.com</t>
  </si>
  <si>
    <t>rosannabernard@ups.com</t>
  </si>
  <si>
    <t>sandrinebernard@ups.com</t>
  </si>
  <si>
    <t>sbernard@ups.com</t>
  </si>
  <si>
    <t>williambernard@ups.com</t>
  </si>
  <si>
    <t>sarahbernardi@ups.com</t>
  </si>
  <si>
    <t>jbernardini@ups.com</t>
  </si>
  <si>
    <t>bdankevin@ups.com</t>
  </si>
  <si>
    <t>bherbert@ups.com</t>
  </si>
  <si>
    <t>bsarah@ups.com</t>
  </si>
  <si>
    <t>bjoenessaann@ups.com</t>
  </si>
  <si>
    <t>jbernardo@ups.com</t>
  </si>
  <si>
    <t>bnoel@ups.com</t>
  </si>
  <si>
    <t>louisabernardon@ups.com</t>
  </si>
  <si>
    <t>dbernareggi@ups.com</t>
  </si>
  <si>
    <t>abernas@ups.com</t>
  </si>
  <si>
    <t>jeffreybernat@ups.com</t>
  </si>
  <si>
    <t>jbernat@ups.com</t>
  </si>
  <si>
    <t>pbernat@ups.com</t>
  </si>
  <si>
    <t>dbernath@ups.com</t>
  </si>
  <si>
    <t>dbernaudo@ups.com</t>
  </si>
  <si>
    <t>britta.berndt@europe.ups.com</t>
  </si>
  <si>
    <t>jberndt@ups.com</t>
  </si>
  <si>
    <t>sberndt@ups.com</t>
  </si>
  <si>
    <t>dbernecky@ups.com</t>
  </si>
  <si>
    <t>mberner@ups.com</t>
  </si>
  <si>
    <t>jbernero@ups.com</t>
  </si>
  <si>
    <t>kbernhagen@ups.com</t>
  </si>
  <si>
    <t>alexbernhard@ups.com</t>
  </si>
  <si>
    <t>abernhard@ups.com</t>
  </si>
  <si>
    <t>ebernhardt@ups.com</t>
  </si>
  <si>
    <t>pbernhardt@ups.com</t>
  </si>
  <si>
    <t>pbernhardt1@ups.com</t>
  </si>
  <si>
    <t>robertbernhardt@ups.com</t>
  </si>
  <si>
    <t>vbernhardt@ups.com</t>
  </si>
  <si>
    <t>vbernhart@ups.com</t>
  </si>
  <si>
    <t>Bernice@smartlivingcompany.com</t>
  </si>
  <si>
    <t>braidt@exlar.com</t>
  </si>
  <si>
    <t>Bernie.DeVelis@creo.com</t>
  </si>
  <si>
    <t>dbernier1@ups.com</t>
  </si>
  <si>
    <t>dbernier@ups.com</t>
  </si>
  <si>
    <t>gbernier@ups.com</t>
  </si>
  <si>
    <t>jbernier@ups.com</t>
  </si>
  <si>
    <t>kbernier@ups.com</t>
  </si>
  <si>
    <t>kylebernier@ups.com</t>
  </si>
  <si>
    <t>jonasbernotas@ups.com</t>
  </si>
  <si>
    <t>jbernotas@ups.com</t>
  </si>
  <si>
    <t>wbernouw@ups.com</t>
  </si>
  <si>
    <t>dberns@ups.com</t>
  </si>
  <si>
    <t>dennisberns@ups.com</t>
  </si>
  <si>
    <t>douasongberns@ups.com</t>
  </si>
  <si>
    <t>slbernstein@ups.com</t>
  </si>
  <si>
    <t>jbernthold@ups.com</t>
  </si>
  <si>
    <t>rberntsen@ups.com</t>
  </si>
  <si>
    <t>aberold@ups.com</t>
  </si>
  <si>
    <t>vberon@ups.com</t>
  </si>
  <si>
    <t>mberoth@ups.com</t>
  </si>
  <si>
    <t>gberra@ups.com</t>
  </si>
  <si>
    <t>gberreth@ups.com</t>
  </si>
  <si>
    <t>berrianc@us.ibm.com</t>
  </si>
  <si>
    <t>eberrielcamacho@ups.com</t>
  </si>
  <si>
    <t>lberrien@ups.com</t>
  </si>
  <si>
    <t>aberrier@ups.com</t>
  </si>
  <si>
    <t>gberrier@ups.com</t>
  </si>
  <si>
    <t>eberrill@ups.com</t>
  </si>
  <si>
    <t>jberrioyepes@ups.com</t>
  </si>
  <si>
    <t>cberrios@ups.com</t>
  </si>
  <si>
    <t>claudioberrios@ups.com</t>
  </si>
  <si>
    <t>eberrios@ups.com</t>
  </si>
  <si>
    <t>jberrios@ups.com</t>
  </si>
  <si>
    <t>justinberrios@ups.com</t>
  </si>
  <si>
    <t>rberrios@ups.com</t>
  </si>
  <si>
    <t>jberroa@ups.com</t>
  </si>
  <si>
    <t>lberrocalabensur@ups.com</t>
  </si>
  <si>
    <t>cberrocal@ups.com</t>
  </si>
  <si>
    <t>gberruecos@ups.com</t>
  </si>
  <si>
    <t>iberruecos@ups.com</t>
  </si>
  <si>
    <t>mberruecos@ups.com</t>
  </si>
  <si>
    <t>cberrum@ups.com</t>
  </si>
  <si>
    <t>abbyberry@ups.com</t>
  </si>
  <si>
    <t>alandraberry@ups.com</t>
  </si>
  <si>
    <t>alexberry@ups.com</t>
  </si>
  <si>
    <t>alexanderberry@ups.com</t>
  </si>
  <si>
    <t>alexisberry@ups.com</t>
  </si>
  <si>
    <t>aberry@ups.com</t>
  </si>
  <si>
    <t>arsenioberry@ups.com</t>
  </si>
  <si>
    <t>bryanberry@ups.com</t>
  </si>
  <si>
    <t>charlesberry@ups.com</t>
  </si>
  <si>
    <t>cberry@ups.com</t>
  </si>
  <si>
    <t>christineberry@ups.com</t>
  </si>
  <si>
    <t>danielberry@ups.com</t>
  </si>
  <si>
    <t>dariusberry@ups.com</t>
  </si>
  <si>
    <t>davidberry@ups.com</t>
  </si>
  <si>
    <t>doranberry@ups.com</t>
  </si>
  <si>
    <t>dberry@ups.com</t>
  </si>
  <si>
    <t>duaneberry@ups.com</t>
  </si>
  <si>
    <t>dwayneberry@ups.com</t>
  </si>
  <si>
    <t>gberry@ups.com</t>
  </si>
  <si>
    <t>heatherberry@ups.com</t>
  </si>
  <si>
    <t>jaclynberry@ups.com</t>
  </si>
  <si>
    <t>jasonberry@ups.com</t>
  </si>
  <si>
    <t>jmberry@ups.com</t>
  </si>
  <si>
    <t>jenniferberry@ups.com</t>
  </si>
  <si>
    <t>juanberry@ups.com</t>
  </si>
  <si>
    <t>jberry@ups.com</t>
  </si>
  <si>
    <t>kdberry@ups.com</t>
  </si>
  <si>
    <t>katherineberry@ups.com</t>
  </si>
  <si>
    <t>kberry@ups.com</t>
  </si>
  <si>
    <t>kristalberry@ups.com</t>
  </si>
  <si>
    <t>kristyberry@ups.com</t>
  </si>
  <si>
    <t>lakitaberry@ups.com</t>
  </si>
  <si>
    <t>lberry@ups.com</t>
  </si>
  <si>
    <t>maryberry@ups.com</t>
  </si>
  <si>
    <t>mberry1@ups.com</t>
  </si>
  <si>
    <t>michaelberry@ups.com</t>
  </si>
  <si>
    <t>nberry@ups.com</t>
  </si>
  <si>
    <t>pgberry@ups.com</t>
  </si>
  <si>
    <t>rberry@ups.com</t>
  </si>
  <si>
    <t>rlberry@ups.com</t>
  </si>
  <si>
    <t>robertberry@ups.com</t>
  </si>
  <si>
    <t>raberry@ups.com</t>
  </si>
  <si>
    <t>royberry@ups.com</t>
  </si>
  <si>
    <t>samiaberry@ups.com</t>
  </si>
  <si>
    <t>sheilaberry@ups.com</t>
  </si>
  <si>
    <t>sherrieberry@ups.com</t>
  </si>
  <si>
    <t>sberry@ups.com</t>
  </si>
  <si>
    <t>sue.berry@europe.ups.com</t>
  </si>
  <si>
    <t>tberry@ups.com</t>
  </si>
  <si>
    <t>tsberry@ups.com</t>
  </si>
  <si>
    <t>txberry@ups.com</t>
  </si>
  <si>
    <t>vaughnberry@ups.com</t>
  </si>
  <si>
    <t>vberry@ups.com</t>
  </si>
  <si>
    <t>wberry@ups.com</t>
  </si>
  <si>
    <t>dberryman@ups.com</t>
  </si>
  <si>
    <t>deborahberryman@ups.com</t>
  </si>
  <si>
    <t>oberryman@ups.com</t>
  </si>
  <si>
    <t>cbersani@ups.com</t>
  </si>
  <si>
    <t>bershers.coy@ups.com</t>
  </si>
  <si>
    <t>bbersinger@ups.com</t>
  </si>
  <si>
    <t>ebersini@ups.com</t>
  </si>
  <si>
    <t>markbertagna@ups.com</t>
  </si>
  <si>
    <t>antonbertagnoli@ups.com</t>
  </si>
  <si>
    <t>bertani.alessandro@ups.com</t>
  </si>
  <si>
    <t>nicolobertapelle@ups.com</t>
  </si>
  <si>
    <t>mbertash@ups.com</t>
  </si>
  <si>
    <t>bertejohn@ups.com</t>
  </si>
  <si>
    <t>fbertell@ups.com</t>
  </si>
  <si>
    <t>tbertell@ups.com</t>
  </si>
  <si>
    <t>bertels.marc@ups.com</t>
  </si>
  <si>
    <t>jbertelsen@ups.com</t>
  </si>
  <si>
    <t>jbertelson@ups.com</t>
  </si>
  <si>
    <t>gbertenshaw@ups.com</t>
  </si>
  <si>
    <t>rbertges@ups.com</t>
  </si>
  <si>
    <t>bberth@ups.com</t>
  </si>
  <si>
    <t>dberthaux@ups.com</t>
  </si>
  <si>
    <t>FRA1BYB@europe.ups.com</t>
  </si>
  <si>
    <t>fberthold@ups.com</t>
  </si>
  <si>
    <t>nberthold@ups.com</t>
  </si>
  <si>
    <t>sbertholf@ups.com</t>
  </si>
  <si>
    <t>lbertholomey@ups.com</t>
  </si>
  <si>
    <t>andrea.berti@europe.ups.com</t>
  </si>
  <si>
    <t>hbertin@ups.com</t>
  </si>
  <si>
    <t>ebertinelli@ups.com</t>
  </si>
  <si>
    <t>loredana.bertini@europe.ups.com</t>
  </si>
  <si>
    <t>nbertles@ups.com</t>
  </si>
  <si>
    <t>dbertling@ups.com</t>
  </si>
  <si>
    <t>dberto@ups.com</t>
  </si>
  <si>
    <t>gberto@ups.com</t>
  </si>
  <si>
    <t>jberto@ups.com</t>
  </si>
  <si>
    <t>cbertois@ups.com</t>
  </si>
  <si>
    <t>mbertoldo@ups.com</t>
  </si>
  <si>
    <t>crislenebertolini@ups.com</t>
  </si>
  <si>
    <t>mbertolotti@ups.com</t>
  </si>
  <si>
    <t>dberton@ups.com</t>
  </si>
  <si>
    <t>mbertoncelj@ups.com</t>
  </si>
  <si>
    <t>jbertot@ups.com</t>
  </si>
  <si>
    <t>fabrizia.bertozzi@europe.ups.com</t>
  </si>
  <si>
    <t>bxbertram@ups.com</t>
  </si>
  <si>
    <t>cbertram@ups.com</t>
  </si>
  <si>
    <t>codybertram@ups.com</t>
  </si>
  <si>
    <t>guido.bertram@europe.ups.com</t>
  </si>
  <si>
    <t>ibertram@ups.com</t>
  </si>
  <si>
    <t>jbertram@ups.com</t>
  </si>
  <si>
    <t>joelbertram@ups.com</t>
  </si>
  <si>
    <t>ebertrams@ups.com</t>
  </si>
  <si>
    <t>tbertrand@ups.com</t>
  </si>
  <si>
    <t>tbertsch@ups.com</t>
  </si>
  <si>
    <t>abertumen@ups.com</t>
  </si>
  <si>
    <t>sbertz@ups.com</t>
  </si>
  <si>
    <t>joergbertzdoerwald@ups.com</t>
  </si>
  <si>
    <t>charleneberube@ups.com</t>
  </si>
  <si>
    <t>cberube@ups.com</t>
  </si>
  <si>
    <t>eberube@ups.com</t>
  </si>
  <si>
    <t>kristiberube@ups.com</t>
  </si>
  <si>
    <t>aberumen@ups.com</t>
  </si>
  <si>
    <t>dbervine@ups.com</t>
  </si>
  <si>
    <t>cberviz@ups.com</t>
  </si>
  <si>
    <t>roland.berzen@europe.ups.com</t>
  </si>
  <si>
    <t>pbes@ups.com</t>
  </si>
  <si>
    <t>BesAdmin2@ups.com</t>
  </si>
  <si>
    <t>BesAdmin@europe.ups.com</t>
  </si>
  <si>
    <t>BESadmin@ups.com</t>
  </si>
  <si>
    <t>nbesant@ups.com</t>
  </si>
  <si>
    <t>mbesas@ups.com</t>
  </si>
  <si>
    <t>kbesase@ups.com</t>
  </si>
  <si>
    <t>rbeschel@ups.com</t>
  </si>
  <si>
    <t>dbesinan@ups.com</t>
  </si>
  <si>
    <t>ebesirevic@ups.com</t>
  </si>
  <si>
    <t>jbeslanovits@ups.com</t>
  </si>
  <si>
    <t>rbesley@ups.com</t>
  </si>
  <si>
    <t>miriambesman@ups.com</t>
  </si>
  <si>
    <t>dbesmer@ups.com</t>
  </si>
  <si>
    <t>jbesmer@ups.com</t>
  </si>
  <si>
    <t>FRA1DDB@europe.ups.com</t>
  </si>
  <si>
    <t>sbesnard@ups.com</t>
  </si>
  <si>
    <t>mbesosa@ups.com</t>
  </si>
  <si>
    <t>cbesozzi@ups.com</t>
  </si>
  <si>
    <t>abess@ups.com</t>
  </si>
  <si>
    <t>mbess@ups.com</t>
  </si>
  <si>
    <t>sbess@ups.com</t>
  </si>
  <si>
    <t>kbesse@ups.com</t>
  </si>
  <si>
    <t>wbessel@ups.com</t>
  </si>
  <si>
    <t>bbesserer@ups.com</t>
  </si>
  <si>
    <t>cbesserer@ups.com</t>
  </si>
  <si>
    <t>cbessesen@ups.com</t>
  </si>
  <si>
    <t>dbessette@ups.com</t>
  </si>
  <si>
    <t>cbessey@ups.com</t>
  </si>
  <si>
    <t>dbessey@ups.com</t>
  </si>
  <si>
    <t>bkontos@aldogroup.com</t>
  </si>
  <si>
    <t>jbessing@ups.com</t>
  </si>
  <si>
    <t>cbessner@ups.com</t>
  </si>
  <si>
    <t>jpbesson@ups.com</t>
  </si>
  <si>
    <t>cbest@ups.com</t>
  </si>
  <si>
    <t>dbest@ups.com</t>
  </si>
  <si>
    <t>gbest@ups.com</t>
  </si>
  <si>
    <t>jbest@ups.com</t>
  </si>
  <si>
    <t>jeremybest@ups.com</t>
  </si>
  <si>
    <t>jordanbest@ups.com</t>
  </si>
  <si>
    <t>keyanisbest@ups.com</t>
  </si>
  <si>
    <t>kbest@ups.com</t>
  </si>
  <si>
    <t>lilabest@ups.com</t>
  </si>
  <si>
    <t>lbest@ups.com</t>
  </si>
  <si>
    <t>mbest@ups.com</t>
  </si>
  <si>
    <t>michaelbest@ups.com</t>
  </si>
  <si>
    <t>pbest@ups.com</t>
  </si>
  <si>
    <t>best.randall@ups.com</t>
  </si>
  <si>
    <t>soniabest@ups.com</t>
  </si>
  <si>
    <t>tiffanybest@ups.com</t>
  </si>
  <si>
    <t>jbesteman@ups.com</t>
  </si>
  <si>
    <t>cbester@ups.com</t>
  </si>
  <si>
    <t>johannabestgen@ups.com</t>
  </si>
  <si>
    <t>jbesu@ups.com</t>
  </si>
  <si>
    <t>cbeswick@ups.com</t>
  </si>
  <si>
    <t>kbeswick@ups.com</t>
  </si>
  <si>
    <t>lbetancor@ups.com</t>
  </si>
  <si>
    <t>jbetancourt@ups.com</t>
  </si>
  <si>
    <t>marisolbetancourt@ups.com</t>
  </si>
  <si>
    <t>mikebetancourt@ups.com</t>
  </si>
  <si>
    <t>sbetancourt@ups.com</t>
  </si>
  <si>
    <t>ybetancourt@ups.com</t>
  </si>
  <si>
    <t>abetancourth@ups.com</t>
  </si>
  <si>
    <t>bbetancourth@ups.com</t>
  </si>
  <si>
    <t>bbetancur@ups.com</t>
  </si>
  <si>
    <t>paulabetancur@ups.com</t>
  </si>
  <si>
    <t>lbetesta@ups.com</t>
  </si>
  <si>
    <t>ebeteta@ups.com</t>
  </si>
  <si>
    <t>jbeteta@ups.com</t>
  </si>
  <si>
    <t>bethbailey@speedypaklogistics.com</t>
  </si>
  <si>
    <t>bbrown@scoldinglocks.com</t>
  </si>
  <si>
    <t>beth.chadwell@milliken.com</t>
  </si>
  <si>
    <t>beth@city-parcel.com</t>
  </si>
  <si>
    <t>bhead@tanner-cos.com</t>
  </si>
  <si>
    <t>BETH@ANDREABASKETS.COM</t>
  </si>
  <si>
    <t>Beth.roche@vanderlande.com</t>
  </si>
  <si>
    <t>mbethancourt@ups.com</t>
  </si>
  <si>
    <t>tbethas@ups.com</t>
  </si>
  <si>
    <t>abethea@ups.com</t>
  </si>
  <si>
    <t>bbethea@ups.com</t>
  </si>
  <si>
    <t>cbethea@ups.com</t>
  </si>
  <si>
    <t>dbethea@ups.com</t>
  </si>
  <si>
    <t>dawnbethea@ups.com</t>
  </si>
  <si>
    <t>jbetheaii@ups.com</t>
  </si>
  <si>
    <t>kbethea@ups.com</t>
  </si>
  <si>
    <t>lbethea@ups.com</t>
  </si>
  <si>
    <t>shonettabethea@ups.com</t>
  </si>
  <si>
    <t>tbethea@ups.com</t>
  </si>
  <si>
    <t>abethel@ups.com</t>
  </si>
  <si>
    <t>cbethel@ups.com</t>
  </si>
  <si>
    <t>jacobbethel@ups.com</t>
  </si>
  <si>
    <t>jbethel@ups.com</t>
  </si>
  <si>
    <t>mbethel@ups.com</t>
  </si>
  <si>
    <t>obethel@ups.com</t>
  </si>
  <si>
    <t>sbethel@ups.com</t>
  </si>
  <si>
    <t>cbethge@ups.com</t>
  </si>
  <si>
    <t>mbethke@ups.com</t>
  </si>
  <si>
    <t>maybritt.bethke@europe.ups.com</t>
  </si>
  <si>
    <t>kbethune@ups.com</t>
  </si>
  <si>
    <t>abetke@ups.com</t>
  </si>
  <si>
    <t>pbetlejewski@ups.com</t>
  </si>
  <si>
    <t>bbetler@ups.com</t>
  </si>
  <si>
    <t>bfrancis@ups.com</t>
  </si>
  <si>
    <t>dbetoko@ups.com</t>
  </si>
  <si>
    <t>sbetoncu@ups.com</t>
  </si>
  <si>
    <t>mbetourney@ups.com</t>
  </si>
  <si>
    <t>brupsdebut@ups.com</t>
  </si>
  <si>
    <t>betriebsrat@ups.com</t>
  </si>
  <si>
    <t>betriebsratdekre@ups.com</t>
  </si>
  <si>
    <t>brmonheim@ups.com</t>
  </si>
  <si>
    <t>brschwaig@ups.com</t>
  </si>
  <si>
    <t>brupsscsham@ups.com</t>
  </si>
  <si>
    <t>dbetsinger@ups.com</t>
  </si>
  <si>
    <t>mbetson@ups.com</t>
  </si>
  <si>
    <t>BETSYA@DOWNEASTCONCEPTS.COM</t>
  </si>
  <si>
    <t>betsy.findley@timken.com</t>
  </si>
  <si>
    <t>abettega@ups.com</t>
  </si>
  <si>
    <t>hbettencourt@ups.com</t>
  </si>
  <si>
    <t>jbettencourt@ups.com</t>
  </si>
  <si>
    <t>tbettencourt@ups.com</t>
  </si>
  <si>
    <t>bwbsupport@ups.com</t>
  </si>
  <si>
    <t>claire.betteridge@ups.com</t>
  </si>
  <si>
    <t>rbetteridge@ups.com</t>
  </si>
  <si>
    <t>tbetteridge@ups.com</t>
  </si>
  <si>
    <t>lbetterman@ups.com</t>
  </si>
  <si>
    <t>abetters@ups.com</t>
  </si>
  <si>
    <t>sbetterson@ups.com</t>
  </si>
  <si>
    <t>ebetterton@ups.com</t>
  </si>
  <si>
    <t>betti.gianpiero@ups.com</t>
  </si>
  <si>
    <t>vincenzo.bettilomo@europe.ups.com</t>
  </si>
  <si>
    <t>sylvia.bettin@europe.ups.com</t>
  </si>
  <si>
    <t>abettinazzi@ups.com</t>
  </si>
  <si>
    <t>mbetting@ups.com</t>
  </si>
  <si>
    <t>abettinger@ups.com</t>
  </si>
  <si>
    <t>dbettinger@ups.com</t>
  </si>
  <si>
    <t>dbettiol@ups.com</t>
  </si>
  <si>
    <t>obettiol@ups.com</t>
  </si>
  <si>
    <t>jbetts@ups.com</t>
  </si>
  <si>
    <t>rbetts@ups.com</t>
  </si>
  <si>
    <t>tbetts@ups.com</t>
  </si>
  <si>
    <t>ibettsteller@ups.com</t>
  </si>
  <si>
    <t>bhanson@zgallerie.com</t>
  </si>
  <si>
    <t>kbetty@ups.com</t>
  </si>
  <si>
    <t>bettylee@ups.com</t>
  </si>
  <si>
    <t>bphung@casio.com</t>
  </si>
  <si>
    <t>betty.wesson@gmail.com</t>
  </si>
  <si>
    <t>markus.betz@europe.ups.com</t>
  </si>
  <si>
    <t>tizianabetz@ups.com</t>
  </si>
  <si>
    <t>zbetzen@ups.com</t>
  </si>
  <si>
    <t>tbetzer@ups.com</t>
  </si>
  <si>
    <t>natashabetzing@ups.com</t>
  </si>
  <si>
    <t>mbetzler@ups.com</t>
  </si>
  <si>
    <t>nicole.beudeker@europe.ups.com</t>
  </si>
  <si>
    <t>hbeugretche@ups.com</t>
  </si>
  <si>
    <t>rbeuken@ups.com</t>
  </si>
  <si>
    <t>wbeulah@ups.com</t>
  </si>
  <si>
    <t>abeulker@ups.com</t>
  </si>
  <si>
    <t>chris.beumer@europe.ups.com</t>
  </si>
  <si>
    <t>nbeumken@ups.com</t>
  </si>
  <si>
    <t>sbeuoy@ups.com</t>
  </si>
  <si>
    <t>dbeurman@ups.com</t>
  </si>
  <si>
    <t>sbeursgens@ups.com</t>
  </si>
  <si>
    <t>mbeurskens@ups.com</t>
  </si>
  <si>
    <t>dbeus@ups.com</t>
  </si>
  <si>
    <t>justinbeus@ups.com</t>
  </si>
  <si>
    <t>cbeuse@ups.com</t>
  </si>
  <si>
    <t>reinhold.beutel@europe.ups.com</t>
  </si>
  <si>
    <t>abeuting@ups.com</t>
  </si>
  <si>
    <t>ebeuzel@ups.com</t>
  </si>
  <si>
    <t>bev.cowles@ups.com</t>
  </si>
  <si>
    <t>bev.nelson@hp.com</t>
  </si>
  <si>
    <t>lbevan@ups.com</t>
  </si>
  <si>
    <t>mbevan@ups.com</t>
  </si>
  <si>
    <t>sbevan@ups.com</t>
  </si>
  <si>
    <t>jbevel@ups.com</t>
  </si>
  <si>
    <t>bbevens@ups.com</t>
  </si>
  <si>
    <t>jbever@ups.com</t>
  </si>
  <si>
    <t>sbeverari@ups.com</t>
  </si>
  <si>
    <t>beverly@specceramics.com</t>
  </si>
  <si>
    <t>brianabeverly@ups.com</t>
  </si>
  <si>
    <t>beverlyd@superpet.net</t>
  </si>
  <si>
    <t>dbeverly@ups.com</t>
  </si>
  <si>
    <t>gbeverly@ups.com</t>
  </si>
  <si>
    <t>jbeverly@ups.com</t>
  </si>
  <si>
    <t>lbeverly@ups.com</t>
  </si>
  <si>
    <t>beverly.oliver@us.bosch.com</t>
  </si>
  <si>
    <t>mbevier@ups.com</t>
  </si>
  <si>
    <t>gbevilacqua@ups.com</t>
  </si>
  <si>
    <t>jbevilaqua@ups.com</t>
  </si>
  <si>
    <t>soniabevilhymer@ups.com</t>
  </si>
  <si>
    <t>brandonbevins@ups.com</t>
  </si>
  <si>
    <t>jbevins@ups.com</t>
  </si>
  <si>
    <t>tbevins@ups.com</t>
  </si>
  <si>
    <t>bevvinc@ups.com</t>
  </si>
  <si>
    <t>bewerbungencgn@ups.com</t>
  </si>
  <si>
    <t>bewerbungenlangenhagen@ups.com</t>
  </si>
  <si>
    <t>dbewley@ups.com</t>
  </si>
  <si>
    <t>jbewley@ups.com</t>
  </si>
  <si>
    <t>jeremybewley@ups.com</t>
  </si>
  <si>
    <t>cbey@ups.com</t>
  </si>
  <si>
    <t>tbey@ups.com</t>
  </si>
  <si>
    <t>colleenbeyer@ups.com</t>
  </si>
  <si>
    <t>dbeyer@ups.com</t>
  </si>
  <si>
    <t>irinabeyer@ups.com</t>
  </si>
  <si>
    <t>kbeyer@ups.com</t>
  </si>
  <si>
    <t>sabinebeyer@ups.com</t>
  </si>
  <si>
    <t>rbeyers@ups.com</t>
  </si>
  <si>
    <t>alainbeyiha@ups.com</t>
  </si>
  <si>
    <t>dbeyrouty@ups.com</t>
  </si>
  <si>
    <t>jbeyschau@ups.com</t>
  </si>
  <si>
    <t>cbez@ups.com</t>
  </si>
  <si>
    <t>ebezalel@ups.com</t>
  </si>
  <si>
    <t>cbezanson@ups.com</t>
  </si>
  <si>
    <t>tbezas@upsstore.com</t>
  </si>
  <si>
    <t>dbezdrob@ups.com</t>
  </si>
  <si>
    <t>mbezeg@ups.com</t>
  </si>
  <si>
    <t>mbezerra@ups.com</t>
  </si>
  <si>
    <t>nbezjak@ups.com</t>
  </si>
  <si>
    <t>abezrukov@ups.com</t>
  </si>
  <si>
    <t>kbezwada@ups.com</t>
  </si>
  <si>
    <t>rbezy@ups.com</t>
  </si>
  <si>
    <t>bgcustoms@ups.com</t>
  </si>
  <si>
    <t>bgyramp@ups.com</t>
  </si>
  <si>
    <t>bgybrokerage@ups.com</t>
  </si>
  <si>
    <t>upsorio@ups.com</t>
  </si>
  <si>
    <t>bgycustoms@ups.com</t>
  </si>
  <si>
    <t>edibergamo@ups.com</t>
  </si>
  <si>
    <t>sanitaribgy@ups.com</t>
  </si>
  <si>
    <t>bgyraters@ups.com</t>
  </si>
  <si>
    <t>bgyexport@ups.com</t>
  </si>
  <si>
    <t>bgyhub@ups.com</t>
  </si>
  <si>
    <t>bhb3@ups.com</t>
  </si>
  <si>
    <t>dbh@ups.com</t>
  </si>
  <si>
    <t>nbhacka@ups.com</t>
  </si>
  <si>
    <t>bkailash@ups.com</t>
  </si>
  <si>
    <t>pbhadoriya@ups.com</t>
  </si>
  <si>
    <t>sbhadra@ups.com</t>
  </si>
  <si>
    <t>zubin.bhagalia@ups.com</t>
  </si>
  <si>
    <t>bhagatjayesh@ups.com</t>
  </si>
  <si>
    <t>rbhagat@ups.com</t>
  </si>
  <si>
    <t>bsonaliashok@ups.com</t>
  </si>
  <si>
    <t>sbhagat@ups.com</t>
  </si>
  <si>
    <t>ubhagat@ups.com</t>
  </si>
  <si>
    <t>vbhagat@ups.com</t>
  </si>
  <si>
    <t>rbhageria@ups.com</t>
  </si>
  <si>
    <t>abhagirath@ups.com</t>
  </si>
  <si>
    <t>aarti.bhagwandien@europe.ups.com</t>
  </si>
  <si>
    <t>abhagwat@ups.com</t>
  </si>
  <si>
    <t>bsudhir@ups.com</t>
  </si>
  <si>
    <t>tbhagwati@ups.com</t>
  </si>
  <si>
    <t>hbhaigora@ups.com</t>
  </si>
  <si>
    <t>abhakta@ups.com</t>
  </si>
  <si>
    <t>mbhakta@ups.com</t>
  </si>
  <si>
    <t>dbhalani@ups.com</t>
  </si>
  <si>
    <t>kbhale@ups.com</t>
  </si>
  <si>
    <t>bhaleraoatul@ups.com</t>
  </si>
  <si>
    <t>bsumeetlaxman@ups.com</t>
  </si>
  <si>
    <t>abhalgaonkar@ups.com</t>
  </si>
  <si>
    <t>abhalla@ups.com</t>
  </si>
  <si>
    <t>sbhalodi@ups.com</t>
  </si>
  <si>
    <t>nbhamani@ups.com</t>
  </si>
  <si>
    <t>bjayashree@ups.com</t>
  </si>
  <si>
    <t>hbhambra@ups.com</t>
  </si>
  <si>
    <t>banujaabhijit@ups.com</t>
  </si>
  <si>
    <t>bhamparts@lsofinalmile.com</t>
  </si>
  <si>
    <t>bpravin@ups.com</t>
  </si>
  <si>
    <t>pbhanavavat@ups.com</t>
  </si>
  <si>
    <t>bhandarmayur@ups.com</t>
  </si>
  <si>
    <t>abhandari@ups.com</t>
  </si>
  <si>
    <t>bbhagat@ups.com</t>
  </si>
  <si>
    <t>jbhandari@ups.com</t>
  </si>
  <si>
    <t>pbhandari@ups.com</t>
  </si>
  <si>
    <t>bpranavkumar@ups.com</t>
  </si>
  <si>
    <t>rbhandari@ups.com</t>
  </si>
  <si>
    <t>bshiv@ups.com</t>
  </si>
  <si>
    <t>bushakiran@ups.com</t>
  </si>
  <si>
    <t>bhanegaonkarbhushan@ups.com</t>
  </si>
  <si>
    <t>bmangesh@ups.com</t>
  </si>
  <si>
    <t>vijay.bhangu@ups.com</t>
  </si>
  <si>
    <t>abhanji@ups.com</t>
  </si>
  <si>
    <t>bhemant@ups.com</t>
  </si>
  <si>
    <t>vbhanthumachinda@ups.com</t>
  </si>
  <si>
    <t>mbharadwa@ups.com</t>
  </si>
  <si>
    <t>vbharadwaj@ups.com</t>
  </si>
  <si>
    <t>bsumit@ups.com</t>
  </si>
  <si>
    <t>kbharathan@ups.com</t>
  </si>
  <si>
    <t>rbharathan@ups.com</t>
  </si>
  <si>
    <t>pbharathi@ups.com</t>
  </si>
  <si>
    <t>rbharati@ups.com</t>
  </si>
  <si>
    <t>sbharati@ups.com</t>
  </si>
  <si>
    <t>bankit@ups.com</t>
  </si>
  <si>
    <t>bmonika@ups.com</t>
  </si>
  <si>
    <t>bsameer@ups.com</t>
  </si>
  <si>
    <t>banurag@ups.com</t>
  </si>
  <si>
    <t>mbhargava@ups.com</t>
  </si>
  <si>
    <t>dbharrat@ups.com</t>
  </si>
  <si>
    <t>mandeep.bharrich@europe.ups.com</t>
  </si>
  <si>
    <t>bgunjan@ups.com</t>
  </si>
  <si>
    <t>hbharucha@ups.com</t>
  </si>
  <si>
    <t>bsony@ups.com</t>
  </si>
  <si>
    <t>abhaskar@ups.com</t>
  </si>
  <si>
    <t>nbhaskar@ups.com</t>
  </si>
  <si>
    <t>bpradip@ups.com</t>
  </si>
  <si>
    <t>baniket@ups.com</t>
  </si>
  <si>
    <t>batul@ups.com</t>
  </si>
  <si>
    <t>deepabhat@ups.com</t>
  </si>
  <si>
    <t>dbhat@ups.com</t>
  </si>
  <si>
    <t>jbhat@ups.com</t>
  </si>
  <si>
    <t>maheshbhat@ups.com</t>
  </si>
  <si>
    <t>mbhat@ups.com</t>
  </si>
  <si>
    <t>bmuneer@ups.com</t>
  </si>
  <si>
    <t>rbhat@ups.com</t>
  </si>
  <si>
    <t>brhea@ups.com</t>
  </si>
  <si>
    <t>sbhat@ups.com</t>
  </si>
  <si>
    <t>achimbhatia@ups.com</t>
  </si>
  <si>
    <t>akshatbhatia@ups.com</t>
  </si>
  <si>
    <t>bbhatia@ups.com</t>
  </si>
  <si>
    <t>hbhatia@ups.com</t>
  </si>
  <si>
    <t>kbhatia@ups.com</t>
  </si>
  <si>
    <t>pbhatia@ups.com</t>
  </si>
  <si>
    <t>bshalini@ups.com</t>
  </si>
  <si>
    <t>abhatiani@ups.com</t>
  </si>
  <si>
    <t>bsurajr@ups.com</t>
  </si>
  <si>
    <t>bnitin@ups.com</t>
  </si>
  <si>
    <t>banmol@ups.com</t>
  </si>
  <si>
    <t>bdeepak1@ups.com</t>
  </si>
  <si>
    <t>bdivyesh@ups.com</t>
  </si>
  <si>
    <t>jbhatt@ups.com</t>
  </si>
  <si>
    <t>jyotibhatt@ups.com</t>
  </si>
  <si>
    <t>pbhatt@ups.com</t>
  </si>
  <si>
    <t>pathikbhatt@ups.com</t>
  </si>
  <si>
    <t>pranavkumarbhatt@ups.com</t>
  </si>
  <si>
    <t>ybhatt@ups.com</t>
  </si>
  <si>
    <t>abhattacharjee@ups.com</t>
  </si>
  <si>
    <t>dbhattacharya@ups.com</t>
  </si>
  <si>
    <t>kbhattacharya@ups.com</t>
  </si>
  <si>
    <t>bneelabh@ups.com</t>
  </si>
  <si>
    <t>santanubhattacharya@ups.com</t>
  </si>
  <si>
    <t>shankhabhattacharya@ups.com</t>
  </si>
  <si>
    <t>sbhattacharya@ups.com</t>
  </si>
  <si>
    <t>hbhattacharyya@ups.com</t>
  </si>
  <si>
    <t>kbhattacharyya@ups.com</t>
  </si>
  <si>
    <t>dbhattarai@ups.com</t>
  </si>
  <si>
    <t>nbhattarai@ups.com</t>
  </si>
  <si>
    <t>bsmruti@ups.com</t>
  </si>
  <si>
    <t>hbhatti@ups.com</t>
  </si>
  <si>
    <t>bbhatty@ups.com</t>
  </si>
  <si>
    <t>dbhaumik@ups.com</t>
  </si>
  <si>
    <t>bamit@ups.com</t>
  </si>
  <si>
    <t>hbhavsar@ups.com</t>
  </si>
  <si>
    <t>bhavsarjitendra@ups.com</t>
  </si>
  <si>
    <t>bnehabharat2@ups.com</t>
  </si>
  <si>
    <t>sbhavsar@ups.com</t>
  </si>
  <si>
    <t>bnikita@ups.com</t>
  </si>
  <si>
    <t>dbheemathati@ups.com</t>
  </si>
  <si>
    <t>jahnavibhemaraju@ups.com</t>
  </si>
  <si>
    <t>mbhide@ups.com</t>
  </si>
  <si>
    <t>pbhide@ups.com</t>
  </si>
  <si>
    <t>kbhimani@ups.com</t>
  </si>
  <si>
    <t>bsunil1@ups.com</t>
  </si>
  <si>
    <t>hbhinder@ups.com</t>
  </si>
  <si>
    <t>bhingaremartin@ups.com</t>
  </si>
  <si>
    <t>bhoffman@purina.com</t>
  </si>
  <si>
    <t>UKG8JZB@europe.ups.com</t>
  </si>
  <si>
    <t>bveena@ups.com</t>
  </si>
  <si>
    <t>nbhogi@ups.com</t>
  </si>
  <si>
    <t>bamar@ups.com</t>
  </si>
  <si>
    <t>bnilam@ups.com</t>
  </si>
  <si>
    <t>bratnakar@ups.com</t>
  </si>
  <si>
    <t>tbhoir@ups.com</t>
  </si>
  <si>
    <t>sbhoite@ups.com</t>
  </si>
  <si>
    <t>sbhojani@ups.com</t>
  </si>
  <si>
    <t>rbhole@ups.com</t>
  </si>
  <si>
    <t>rahulbhonde@ups.com</t>
  </si>
  <si>
    <t>byogesh@ups.com</t>
  </si>
  <si>
    <t>bbhonsle@ups.com</t>
  </si>
  <si>
    <t>bmayur@ups.com</t>
  </si>
  <si>
    <t>bshekhar@ups.com</t>
  </si>
  <si>
    <t>bshrikant@ups.com</t>
  </si>
  <si>
    <t>abhosale@ups.com</t>
  </si>
  <si>
    <t>brakesh@ups.com</t>
  </si>
  <si>
    <t>bhosalesanket@ups.com</t>
  </si>
  <si>
    <t>bshubham@ups.com</t>
  </si>
  <si>
    <t>sbhosale@ups.com</t>
  </si>
  <si>
    <t>bhosalesuraj@ups.com</t>
  </si>
  <si>
    <t>sbhosikar@ups.com</t>
  </si>
  <si>
    <t>abhosle@ups.com</t>
  </si>
  <si>
    <t>bbhushan@ups.com</t>
  </si>
  <si>
    <t>bharshadsambhaji@ups.com</t>
  </si>
  <si>
    <t>bprachi@ups.com</t>
  </si>
  <si>
    <t>sbhot@ups.com</t>
  </si>
  <si>
    <t>abhowmik@ups.com</t>
  </si>
  <si>
    <t>bhowmikkishore@ups.com</t>
  </si>
  <si>
    <t>sbhowmik@ups.com</t>
  </si>
  <si>
    <t>balauddin@ups.com</t>
  </si>
  <si>
    <t>tbhuiyan@ups.com</t>
  </si>
  <si>
    <t>barati@ups.com</t>
  </si>
  <si>
    <t>bjanhavi@ups.com</t>
  </si>
  <si>
    <t>bhujbalprasad@ups.com</t>
  </si>
  <si>
    <t>bbhullar@ups.com</t>
  </si>
  <si>
    <t>bgagandeepkaur@ups.com</t>
  </si>
  <si>
    <t>HBhullar@livingstoninc.com</t>
  </si>
  <si>
    <t>bpoonam@ups.com</t>
  </si>
  <si>
    <t>nbhurbhure@ups.com</t>
  </si>
  <si>
    <t>bhuseroopa@ups.com</t>
  </si>
  <si>
    <t>sbhushankumar@ups.com</t>
  </si>
  <si>
    <t>sbhushanam@ups.com</t>
  </si>
  <si>
    <t>bnikhilesh@ups.com</t>
  </si>
  <si>
    <t>bchetan@ups.com</t>
  </si>
  <si>
    <t>bajit@ups.com</t>
  </si>
  <si>
    <t>applebhximpor@ups.com</t>
  </si>
  <si>
    <t>customwestbhx@ups.com</t>
  </si>
  <si>
    <t>customswestbhx@ups.com</t>
  </si>
  <si>
    <t>bhxdell@ups.com</t>
  </si>
  <si>
    <t>euroroadquotes@ups.com</t>
  </si>
  <si>
    <t>oceanquotesbhx@ups.com</t>
  </si>
  <si>
    <t>rsups@ups.com</t>
  </si>
  <si>
    <t>bhxtransport@ups.com</t>
  </si>
  <si>
    <t>bianimalhealthcs@ups.com</t>
  </si>
  <si>
    <t>ebi@ups.com</t>
  </si>
  <si>
    <t>b1invzircon@ups.com</t>
  </si>
  <si>
    <t>bliehua@ups.com</t>
  </si>
  <si>
    <t>blisi@ups.com</t>
  </si>
  <si>
    <t>bxinyang@ups.com</t>
  </si>
  <si>
    <t>biaqa@ups.com</t>
  </si>
  <si>
    <t>biainfolib@ups.com</t>
  </si>
  <si>
    <t>biainfra@ups.com</t>
  </si>
  <si>
    <t>biasba@ups.com</t>
  </si>
  <si>
    <t>biavetsupporteurope@ups.com</t>
  </si>
  <si>
    <t>biadatastewardshipteam@ups.com</t>
  </si>
  <si>
    <t>dwhnotifications@ups.com</t>
  </si>
  <si>
    <t>mbiagi@ups.com</t>
  </si>
  <si>
    <t>biagini.alessandro@ups.com</t>
  </si>
  <si>
    <t>markbiala@ups.com</t>
  </si>
  <si>
    <t>aleksandrabialas@ups.com</t>
  </si>
  <si>
    <t>mbialas@ups.com</t>
  </si>
  <si>
    <t>abialasik@ups.com</t>
  </si>
  <si>
    <t>bbialek@ups.com</t>
  </si>
  <si>
    <t>lbialek@ups.com</t>
  </si>
  <si>
    <t>gbialobrzeski@ups.com</t>
  </si>
  <si>
    <t>jbialoglowicz@ups.com</t>
  </si>
  <si>
    <t>mbialy@ups.com</t>
  </si>
  <si>
    <t>bcongmin@ups.com</t>
  </si>
  <si>
    <t>alessandra.bianchi@europe.ups.com</t>
  </si>
  <si>
    <t>ibianchi@ups.com</t>
  </si>
  <si>
    <t>jbianchi@ups.com</t>
  </si>
  <si>
    <t>lbianchi@ups.com</t>
  </si>
  <si>
    <t>mbianchi@ups.com</t>
  </si>
  <si>
    <t>ryanbianchi@ups.com</t>
  </si>
  <si>
    <t>bbianchini@ups.com</t>
  </si>
  <si>
    <t>cbianco@ups.com</t>
  </si>
  <si>
    <t>jbianco@ups.com</t>
  </si>
  <si>
    <t>mbianco@ups.com</t>
  </si>
  <si>
    <t>rbianco@ups.com</t>
  </si>
  <si>
    <t>sbianco@ups.com</t>
  </si>
  <si>
    <t>rbianconi@ups.com</t>
  </si>
  <si>
    <t>mbianculli@ups.com</t>
  </si>
  <si>
    <t>sbianculli@ups.com</t>
  </si>
  <si>
    <t>jbiancur@ups.com</t>
  </si>
  <si>
    <t>bbiard@ups.com</t>
  </si>
  <si>
    <t>kbiars@ups.com</t>
  </si>
  <si>
    <t>alex.bias@ups.com</t>
  </si>
  <si>
    <t>dbias@ups.com</t>
  </si>
  <si>
    <t>mbias@ups.com</t>
  </si>
  <si>
    <t>nbias@ups.com</t>
  </si>
  <si>
    <t>pbias@ups.com</t>
  </si>
  <si>
    <t>charlesbiasin@ups.com</t>
  </si>
  <si>
    <t>andrea.biasioli@europe.ups.com</t>
  </si>
  <si>
    <t>jbiason@ups.com</t>
  </si>
  <si>
    <t>bbiasonama@ups.com</t>
  </si>
  <si>
    <t>ebiassoni@ups.com</t>
  </si>
  <si>
    <t>vbibar@ups.com</t>
  </si>
  <si>
    <t>kbibb@ups.com</t>
  </si>
  <si>
    <t>mbibb@ups.com</t>
  </si>
  <si>
    <t>rbibb@ups.com</t>
  </si>
  <si>
    <t>tawanabibb@ups.com</t>
  </si>
  <si>
    <t>tbibb@ups.com</t>
  </si>
  <si>
    <t>ltbibbs@ups.com</t>
  </si>
  <si>
    <t>kbibeau@ups.com</t>
  </si>
  <si>
    <t>bibekd@gohimalaya.travel</t>
  </si>
  <si>
    <t>awbibelhauser@ups.com</t>
  </si>
  <si>
    <t>hbiber@ups.com</t>
  </si>
  <si>
    <t>julia.bibik@europe.ups.com</t>
  </si>
  <si>
    <t>jbible@ups.com</t>
  </si>
  <si>
    <t>nbibler@ups.com</t>
  </si>
  <si>
    <t>ebica@ups.com</t>
  </si>
  <si>
    <t>zbice@ups.com</t>
  </si>
  <si>
    <t>bganeshdattaram@ups.com</t>
  </si>
  <si>
    <t>KFF0ZFL@ups.com</t>
  </si>
  <si>
    <t>kerstin.bichler@ups.com</t>
  </si>
  <si>
    <t>sbichler@ups.com</t>
  </si>
  <si>
    <t>ybichouna@ups.com</t>
  </si>
  <si>
    <t>bbiciolis@ups.com</t>
  </si>
  <si>
    <t>cbickart@ups.com</t>
  </si>
  <si>
    <t>dbickel@ups.com</t>
  </si>
  <si>
    <t>gwbickel@ups.com</t>
  </si>
  <si>
    <t>jbickel@ups.com</t>
  </si>
  <si>
    <t>melissabickel@ups.com</t>
  </si>
  <si>
    <t>mbickel@ups.com</t>
  </si>
  <si>
    <t>stacybickel@ups.com</t>
  </si>
  <si>
    <t>Bickel.Stephen@ups.com</t>
  </si>
  <si>
    <t>annettebicker@ups.com</t>
  </si>
  <si>
    <t>dbickerdykejr@ups.com</t>
  </si>
  <si>
    <t>bbickers@ups.com</t>
  </si>
  <si>
    <t>mbickerstaff@ups.com</t>
  </si>
  <si>
    <t>susanb@ups.com</t>
  </si>
  <si>
    <t>abickett@ups.com</t>
  </si>
  <si>
    <t>cbickett@ups.com</t>
  </si>
  <si>
    <t>kbickett@ups.com</t>
  </si>
  <si>
    <t>mbickett@ups.com</t>
  </si>
  <si>
    <t>cbickford@ups.com</t>
  </si>
  <si>
    <t>gbickley@ups.com</t>
  </si>
  <si>
    <t>lbickley@ups.com</t>
  </si>
  <si>
    <t>mattbickley@ups.com</t>
  </si>
  <si>
    <t>ebickmore@ups.com</t>
  </si>
  <si>
    <t>jbicknell@ups.com</t>
  </si>
  <si>
    <t>UKG1RXB@europe.ups.com</t>
  </si>
  <si>
    <t>bidadmin@ups.com</t>
  </si>
  <si>
    <t>TPD6FNK@ups.com</t>
  </si>
  <si>
    <t>rbidad@ups.com</t>
  </si>
  <si>
    <t>rbiddau@ups.com</t>
  </si>
  <si>
    <t>jbiddelman@ups.com</t>
  </si>
  <si>
    <t>wbiddenstadt@ups.com</t>
  </si>
  <si>
    <t>dbiddle@ups.com</t>
  </si>
  <si>
    <t>jbiddle@ups.com</t>
  </si>
  <si>
    <t>lbiddle@ups.com</t>
  </si>
  <si>
    <t>lynnbiddle@ups.com</t>
  </si>
  <si>
    <t>mbiddle@ups.com</t>
  </si>
  <si>
    <t>katiebiddlecome@ups.com</t>
  </si>
  <si>
    <t>bbiddy@ups.com</t>
  </si>
  <si>
    <t>bvedant@ups.com</t>
  </si>
  <si>
    <t>tbidila@ups.com</t>
  </si>
  <si>
    <t>nbidleman@ups.com</t>
  </si>
  <si>
    <t>sbidmead@ups.com</t>
  </si>
  <si>
    <t>vbidot@ups.com</t>
  </si>
  <si>
    <t>FRA3CWB@europe.ups.com</t>
  </si>
  <si>
    <t>bidsatsi@ups.com</t>
  </si>
  <si>
    <t>bidsch@ups.com</t>
  </si>
  <si>
    <t>abidwaik@ups.com</t>
  </si>
  <si>
    <t>hbidwell@ups.com</t>
  </si>
  <si>
    <t>lbidwell@ups.com</t>
  </si>
  <si>
    <t>piotrbidzinski@ups.com</t>
  </si>
  <si>
    <t>blilibeth@ups.com</t>
  </si>
  <si>
    <t>rbie@ups.com</t>
  </si>
  <si>
    <t>christianbieber@ups.com</t>
  </si>
  <si>
    <t>lbieber@ups.com</t>
  </si>
  <si>
    <t>tbieber@ups.com</t>
  </si>
  <si>
    <t>kbieberle@ups.com</t>
  </si>
  <si>
    <t>jbieckert@ups.com</t>
  </si>
  <si>
    <t>pbiedenbach@ups.com</t>
  </si>
  <si>
    <t>dbiederman@ups.com</t>
  </si>
  <si>
    <t>dbiedermann@ups.com</t>
  </si>
  <si>
    <t>mariuszbiedrzycki@ups.com</t>
  </si>
  <si>
    <t>mbieganowska@ups.com</t>
  </si>
  <si>
    <t>abiegel@ups.com</t>
  </si>
  <si>
    <t>jbiegel@ups.com</t>
  </si>
  <si>
    <t>jens.biegon@europe.ups.com</t>
  </si>
  <si>
    <t>abiehl@ups.com</t>
  </si>
  <si>
    <t>sbiehl@ups.com</t>
  </si>
  <si>
    <t>ebiekarrafaeli@ups.com</t>
  </si>
  <si>
    <t>tbieker@ups.com</t>
  </si>
  <si>
    <t>edbieksha@ups.com</t>
  </si>
  <si>
    <t>bbiel@ups.com</t>
  </si>
  <si>
    <t>sbiel@ups.com</t>
  </si>
  <si>
    <t>jbiela@ups.com</t>
  </si>
  <si>
    <t>waldemar.bielanski@europe.ups.com</t>
  </si>
  <si>
    <t>mbielas@ups.com</t>
  </si>
  <si>
    <t>martynabielas@ups.com</t>
  </si>
  <si>
    <t>nbielas@ups.com</t>
  </si>
  <si>
    <t>mbielczyk@ups.com</t>
  </si>
  <si>
    <t>cbiele@ups.com</t>
  </si>
  <si>
    <t>jbielecka@ups.com</t>
  </si>
  <si>
    <t>dbielecki@ups.com</t>
  </si>
  <si>
    <t>mbielecki@ups.com</t>
  </si>
  <si>
    <t>abielefeld@ups.com</t>
  </si>
  <si>
    <t>cbielefeld@ups.com</t>
  </si>
  <si>
    <t>blddeclerks@ups.com</t>
  </si>
  <si>
    <t>emg.bielefeld@uni-data.de</t>
  </si>
  <si>
    <t>centerbielefeld@ups.com</t>
  </si>
  <si>
    <t>dbielejeski@ups.com</t>
  </si>
  <si>
    <t>bbielen@ups.com</t>
  </si>
  <si>
    <t>benjaminbielen@ups.com</t>
  </si>
  <si>
    <t>bbieler@ups.com</t>
  </si>
  <si>
    <t>mbielik@ups.com</t>
  </si>
  <si>
    <t>abielman@ups.com</t>
  </si>
  <si>
    <t>ibiemans@ups.com</t>
  </si>
  <si>
    <t>oliver.biemel@europe.ups.com</t>
  </si>
  <si>
    <t>cbien@ups.com</t>
  </si>
  <si>
    <t>cbienaime@ups.com</t>
  </si>
  <si>
    <t>jbienaime@ups.com</t>
  </si>
  <si>
    <t>mbieneck@ups.com</t>
  </si>
  <si>
    <t>tbieneman@ups.com</t>
  </si>
  <si>
    <t>gbienert@ups.com</t>
  </si>
  <si>
    <t>philippe.bienfait@europe.ups.com</t>
  </si>
  <si>
    <t>sbieniek@ups.com</t>
  </si>
  <si>
    <t>pbienkowski@ups.com</t>
  </si>
  <si>
    <t>dbienvenu@ups.com</t>
  </si>
  <si>
    <t>nbienz@ups.com</t>
  </si>
  <si>
    <t>hans-theo.bierbaum@europe.ups.com</t>
  </si>
  <si>
    <t>jbierly@ups.com</t>
  </si>
  <si>
    <t>josephbiermann@ups.com</t>
  </si>
  <si>
    <t>pbiernacka@ups.com</t>
  </si>
  <si>
    <t>jbiernacki@ups.com</t>
  </si>
  <si>
    <t>ericbierria@ups.com</t>
  </si>
  <si>
    <t>pbierwagen@ups.com</t>
  </si>
  <si>
    <t>Angelique.Bierwirth@uni-data.de</t>
  </si>
  <si>
    <t>lbiery@ups.com</t>
  </si>
  <si>
    <t>sbierzanek@ups.com</t>
  </si>
  <si>
    <t>barbarabies@ups.com</t>
  </si>
  <si>
    <t>mbiesinger@ups.com</t>
  </si>
  <si>
    <t>mbieska@ups.com</t>
  </si>
  <si>
    <t>FRA1EXB@europe.ups.com</t>
  </si>
  <si>
    <t>nbiester@ups.com</t>
  </si>
  <si>
    <t>piotrbieszk@ups.com</t>
  </si>
  <si>
    <t>sbieszk@ups.com</t>
  </si>
  <si>
    <t>paolo.bietolini@europe.ups.com</t>
  </si>
  <si>
    <t>sbietz@ups.com</t>
  </si>
  <si>
    <t>dbiewald@ups.com</t>
  </si>
  <si>
    <t>Patric.Biewer@uni-data.de</t>
  </si>
  <si>
    <t>tbiga@ups.com</t>
  </si>
  <si>
    <t>abigbee@upsstore.com</t>
  </si>
  <si>
    <t>rbigda@ups.com</t>
  </si>
  <si>
    <t>abigelow@ups.com</t>
  </si>
  <si>
    <t>constancebigelow@ups.com</t>
  </si>
  <si>
    <t>cbigelow@ups.com</t>
  </si>
  <si>
    <t>ebigelow@ups.com</t>
  </si>
  <si>
    <t>jbigelow@ups.com</t>
  </si>
  <si>
    <t>justinbigelow@ups.com</t>
  </si>
  <si>
    <t>marshallbigelow@ups.com</t>
  </si>
  <si>
    <t>pbiggelaar@ups.com</t>
  </si>
  <si>
    <t>gbiggers@ups.com</t>
  </si>
  <si>
    <t>bbiggerstaff@ups.com</t>
  </si>
  <si>
    <t>codybiggs@ups.com</t>
  </si>
  <si>
    <t>cbiggs@ups.com</t>
  </si>
  <si>
    <t>dbiggs@ups.com</t>
  </si>
  <si>
    <t>darenbiggs@ups.com</t>
  </si>
  <si>
    <t>jordanbiggs@ups.com</t>
  </si>
  <si>
    <t>kbiggs@ups.com</t>
  </si>
  <si>
    <t>mbiggs@ups.com</t>
  </si>
  <si>
    <t>vbiggs@ups.com</t>
  </si>
  <si>
    <t>bigihsieh@ups.com</t>
  </si>
  <si>
    <t>jbigi@ups.com</t>
  </si>
  <si>
    <t>dbigler@ups.com</t>
  </si>
  <si>
    <t>rbiglin@ups.com</t>
  </si>
  <si>
    <t>bangelica@ups.com</t>
  </si>
  <si>
    <t>tbigornia@ups.com</t>
  </si>
  <si>
    <t>gbigwood@ups.com</t>
  </si>
  <si>
    <t>bpayal@ups.com</t>
  </si>
  <si>
    <t>pbihari@ups.com</t>
  </si>
  <si>
    <t>bsigma@ups.com</t>
  </si>
  <si>
    <t>bvikash@ups.com</t>
  </si>
  <si>
    <t>marc.bihl@europe.ups.com</t>
  </si>
  <si>
    <t>gbihner@ups.com</t>
  </si>
  <si>
    <t>mbijenhof@ups.com</t>
  </si>
  <si>
    <t>jbikovica@ups.com</t>
  </si>
  <si>
    <t>lbikulcius@ups.com</t>
  </si>
  <si>
    <t>xbil@ups.com</t>
  </si>
  <si>
    <t>sbila@ups.com</t>
  </si>
  <si>
    <t>ybila@ups.com</t>
  </si>
  <si>
    <t>ebilal@ups.com</t>
  </si>
  <si>
    <t>ibilal@ups.com</t>
  </si>
  <si>
    <t>jbilal@ups.com</t>
  </si>
  <si>
    <t>bdarlica@ups.com</t>
  </si>
  <si>
    <t>bdeepesh@ups.com</t>
  </si>
  <si>
    <t>mbilbao@ups.com</t>
  </si>
  <si>
    <t>bxyrillejade@ups.com</t>
  </si>
  <si>
    <t>nbilbay@ups.com</t>
  </si>
  <si>
    <t>dbilbee@ups.com</t>
  </si>
  <si>
    <t>kbilbee@ups.com</t>
  </si>
  <si>
    <t>tbilbo@ups.com</t>
  </si>
  <si>
    <t>bilboigtw@ups.com</t>
  </si>
  <si>
    <t>bbilbro@ups.com</t>
  </si>
  <si>
    <t>mbilbro@ups.com</t>
  </si>
  <si>
    <t>bbilello@ups.com</t>
  </si>
  <si>
    <t>rbilensari@ups.com</t>
  </si>
  <si>
    <t>obiletska@ups.com</t>
  </si>
  <si>
    <t>mbilgi@ups.com</t>
  </si>
  <si>
    <t>ubilgi@ups.com</t>
  </si>
  <si>
    <t>pbilibin@ups.com</t>
  </si>
  <si>
    <t>paulb@iship.com</t>
  </si>
  <si>
    <t>hbiliter@ups.com</t>
  </si>
  <si>
    <t>mbilkova@ups.com</t>
  </si>
  <si>
    <t>WLOGAN@LAVISION.COM</t>
  </si>
  <si>
    <t>bbackus@balchem.com</t>
  </si>
  <si>
    <t>bill.baxter@denora.com</t>
  </si>
  <si>
    <t>Bill.Bonczek@hp.com</t>
  </si>
  <si>
    <t>bill.boykin@philips.com</t>
  </si>
  <si>
    <t>bill.burgess@coyote.com</t>
  </si>
  <si>
    <t>BILL.CHASE@EVERYWAREGLOBAL.COM</t>
  </si>
  <si>
    <t>BILL.CHASE@ONEIDA.COM</t>
  </si>
  <si>
    <t>bill@tumbltrak.com</t>
  </si>
  <si>
    <t>BILLJGOETZ@GMAIL.COM</t>
  </si>
  <si>
    <t>jbill@ups.com</t>
  </si>
  <si>
    <t>bill.kanda@us.bosch.com</t>
  </si>
  <si>
    <t>bill@kuatinnovations.com</t>
  </si>
  <si>
    <t>bill@raskinind.com</t>
  </si>
  <si>
    <t>Blewis@ikon.com</t>
  </si>
  <si>
    <t>bill@snaproducts.com</t>
  </si>
  <si>
    <t>bill.matson@vectoraerospace.com</t>
  </si>
  <si>
    <t>billmerchant@yahoo.com</t>
  </si>
  <si>
    <t>bill.migge@volvocars.com</t>
  </si>
  <si>
    <t>bolohan@maintech.com</t>
  </si>
  <si>
    <t>bill_oteney@asamacm.com</t>
  </si>
  <si>
    <t>billp@buyseasons.com</t>
  </si>
  <si>
    <t>billqualgb@ups.com</t>
  </si>
  <si>
    <t>sdfaog@earthlink.net</t>
  </si>
  <si>
    <t>bill.steele@rlhudson.com</t>
  </si>
  <si>
    <t>BILLT@LEMPRODUCTS.COM</t>
  </si>
  <si>
    <t>bthiel@cittrucks.com</t>
  </si>
  <si>
    <t>bill@bnalogistics.net</t>
  </si>
  <si>
    <t>bill.johnson@etec.com</t>
  </si>
  <si>
    <t>bill.mullin@qualxserv.net</t>
  </si>
  <si>
    <t>nbillard@ups.com</t>
  </si>
  <si>
    <t>hbille@ups.com</t>
  </si>
  <si>
    <t>dbilleck@ups.com</t>
  </si>
  <si>
    <t>bbiller@ups.com</t>
  </si>
  <si>
    <t>fbiller@ups.com</t>
  </si>
  <si>
    <t>kbiller@ups.com</t>
  </si>
  <si>
    <t>pbiller@ups.com</t>
  </si>
  <si>
    <t>noemiebillig@ups.com</t>
  </si>
  <si>
    <t>billing@ups-mi.com</t>
  </si>
  <si>
    <t>ebillingro@ups.com</t>
  </si>
  <si>
    <t>billingadjustmentsubmission@ups.com</t>
  </si>
  <si>
    <t>billadj@ups.com</t>
  </si>
  <si>
    <t>bam@ups.com</t>
  </si>
  <si>
    <t>billingcenter@ups.com</t>
  </si>
  <si>
    <t>billingcenterapp@ups.com</t>
  </si>
  <si>
    <t>sscbillingcenter@ups.com</t>
  </si>
  <si>
    <t>billingcentersupport@ups.com</t>
  </si>
  <si>
    <t>frbillingcredit@ups.com</t>
  </si>
  <si>
    <t>SNP7RLK@ups.com</t>
  </si>
  <si>
    <t>fakturacecz@ups.com</t>
  </si>
  <si>
    <t>billinggr@ups.com</t>
  </si>
  <si>
    <t>billing@houseofwu.com</t>
  </si>
  <si>
    <t>billingitgroup@ups.com</t>
  </si>
  <si>
    <t>jbilling@ups.com</t>
  </si>
  <si>
    <t>celnifakturace@ups.com</t>
  </si>
  <si>
    <t>billing@properwild.com</t>
  </si>
  <si>
    <t>billingquestions@ups.com</t>
  </si>
  <si>
    <t>billtestgrp@ups.com</t>
  </si>
  <si>
    <t>upsbillingcenter@ups.com</t>
  </si>
  <si>
    <t>billingfaktury@ups.com</t>
  </si>
  <si>
    <t>billingpoland@ups.com</t>
  </si>
  <si>
    <t>cbbillings@ups.com</t>
  </si>
  <si>
    <t>cbillings@ups.com</t>
  </si>
  <si>
    <t>jenniferbillings@ups.com</t>
  </si>
  <si>
    <t>jbillings@ups.com</t>
  </si>
  <si>
    <t>rbillingsjr@ups.com</t>
  </si>
  <si>
    <t>mbillings@ups.com</t>
  </si>
  <si>
    <t>rbillings@ups.com</t>
  </si>
  <si>
    <t>theresabillings@ups.com</t>
  </si>
  <si>
    <t>billings@uic.com</t>
  </si>
  <si>
    <t>arlenebillingsley@ups.com</t>
  </si>
  <si>
    <t>cbillingsley@ups.com</t>
  </si>
  <si>
    <t>cjbillingsley@ups.com</t>
  </si>
  <si>
    <t>cbillington@ups.com</t>
  </si>
  <si>
    <t>kbillington@ups.com</t>
  </si>
  <si>
    <t>mbillington@ups.com</t>
  </si>
  <si>
    <t>paulbillington@ups.com</t>
  </si>
  <si>
    <t>pbillington@ups.com</t>
  </si>
  <si>
    <t>mbillins@ups.com</t>
  </si>
  <si>
    <t>jbilliot@ups.com</t>
  </si>
  <si>
    <t>cbilliter@ups.com</t>
  </si>
  <si>
    <t>info@nwgastoragesolutions.com</t>
  </si>
  <si>
    <t>jbillner@ups.com</t>
  </si>
  <si>
    <t>brutchell@ups.com</t>
  </si>
  <si>
    <t>amberbillops@ups.com</t>
  </si>
  <si>
    <t>abillops@ups.com</t>
  </si>
  <si>
    <t>jbillops@ups.com</t>
  </si>
  <si>
    <t>bmeera@ups.com</t>
  </si>
  <si>
    <t>abilloups@ups.com</t>
  </si>
  <si>
    <t>bbills@ups.com</t>
  </si>
  <si>
    <t>jjbills@ups.com</t>
  </si>
  <si>
    <t>vbills@ups.com</t>
  </si>
  <si>
    <t>chrisbillsby@ups.com</t>
  </si>
  <si>
    <t>abillups@ups.com</t>
  </si>
  <si>
    <t>mbillups@ups.com</t>
  </si>
  <si>
    <t>sbillups@ups.com</t>
  </si>
  <si>
    <t>bcano@sears.com</t>
  </si>
  <si>
    <t>rbilodeaujr@ups.com</t>
  </si>
  <si>
    <t>sbilodeau@ups.com</t>
  </si>
  <si>
    <t>tbilodeau@ups.com</t>
  </si>
  <si>
    <t>abiloro@ups.com</t>
  </si>
  <si>
    <t>jbilotta@ups.com</t>
  </si>
  <si>
    <t>pbilotta@ups.com</t>
  </si>
  <si>
    <t>lbilski@ups.com</t>
  </si>
  <si>
    <t>lbilton@ups.com</t>
  </si>
  <si>
    <t>sbilveren@ups.com</t>
  </si>
  <si>
    <t>fbilyeu@ups.com</t>
  </si>
  <si>
    <t>sbilzor@ups.com</t>
  </si>
  <si>
    <t>mbinabdat@ups.com</t>
  </si>
  <si>
    <t>bkhairulazam@ups.com</t>
  </si>
  <si>
    <t>bjerinkhan@ups.com</t>
  </si>
  <si>
    <t>bazhar@ups.com</t>
  </si>
  <si>
    <t>bmuhamadhairie@ups.com</t>
  </si>
  <si>
    <t>sbinadhim@ups.com</t>
  </si>
  <si>
    <t>bmohdfhaiz@ups.com</t>
  </si>
  <si>
    <t>bmuhammadhaziq@ups.com</t>
  </si>
  <si>
    <t>babdulmustakim@ups.com</t>
  </si>
  <si>
    <t>bmohamedfaisal@ups.com</t>
  </si>
  <si>
    <t>bmohdfairuz@ups.com</t>
  </si>
  <si>
    <t>bhasrulnisyam@ups.com</t>
  </si>
  <si>
    <t>bmohamadshahrol@ups.com</t>
  </si>
  <si>
    <t>bfitrifareez@ups.com</t>
  </si>
  <si>
    <t>mbinjuraid@ups.com</t>
  </si>
  <si>
    <t>bmohdsuhaimi@ups.com</t>
  </si>
  <si>
    <t>bkhairulazhar@ups.com</t>
  </si>
  <si>
    <t>hbinmansour@ups.com</t>
  </si>
  <si>
    <t>bmohdfadzir@ups.com</t>
  </si>
  <si>
    <t>bazlizane@ups.com</t>
  </si>
  <si>
    <t>bmohammadfaizal@ups.com</t>
  </si>
  <si>
    <t>bmaskon@ups.com</t>
  </si>
  <si>
    <t>mbinmohamed@ups.com</t>
  </si>
  <si>
    <t>bmohdeffendi@ups.com</t>
  </si>
  <si>
    <t>bemirfarid@ups.com</t>
  </si>
  <si>
    <t>brumaynoraffendi@ups.com</t>
  </si>
  <si>
    <t>bmuhammadwafi@ups.com</t>
  </si>
  <si>
    <t>gbinmujib@ups.com</t>
  </si>
  <si>
    <t>bmohdmustaqiim@ups.com</t>
  </si>
  <si>
    <t>abinouf@ups.com</t>
  </si>
  <si>
    <t>bmohamedreza@ups.com</t>
  </si>
  <si>
    <t>bhasshide@ups.com</t>
  </si>
  <si>
    <t>bmuhammadrabbani@ups.com</t>
  </si>
  <si>
    <t>bwanalysyadid@ups.com</t>
  </si>
  <si>
    <t>bmohammadfahmy@ups.com</t>
  </si>
  <si>
    <t>bnuqmanhadi@ups.com</t>
  </si>
  <si>
    <t>bnursukhairil@ups.com</t>
  </si>
  <si>
    <t>bmohammadshaiful@ups.com</t>
  </si>
  <si>
    <t>bmohamadzamri@ups.com</t>
  </si>
  <si>
    <t>babdulrahim@ups.com</t>
  </si>
  <si>
    <t>bmohdkhairi@ups.com</t>
  </si>
  <si>
    <t>jbina@ups.com</t>
  </si>
  <si>
    <t>gbinaco@ups.com</t>
  </si>
  <si>
    <t>bmichaelpaul@ups.com</t>
  </si>
  <si>
    <t>fbinakaj@ups.com</t>
  </si>
  <si>
    <t>jbinasiak@ups.com</t>
  </si>
  <si>
    <t>mbindea@ups.com</t>
  </si>
  <si>
    <t>sbindenagel@ups.com</t>
  </si>
  <si>
    <t>jpbinder@ups.com</t>
  </si>
  <si>
    <t>jeaniebinder@ups.com</t>
  </si>
  <si>
    <t>mbinder@ups.com</t>
  </si>
  <si>
    <t>rbinder@ups.com</t>
  </si>
  <si>
    <t>sbinder@ups.com</t>
  </si>
  <si>
    <t>danabindner@ups.com</t>
  </si>
  <si>
    <t>dbindner@ups.com</t>
  </si>
  <si>
    <t>kimberlybindner@ups.com</t>
  </si>
  <si>
    <t>jbindra@ups.com</t>
  </si>
  <si>
    <t>pbinelas@ups.com</t>
  </si>
  <si>
    <t>jbinette@ups.com</t>
  </si>
  <si>
    <t>fbinetti@ups.com</t>
  </si>
  <si>
    <t>mbinetti@ups.com</t>
  </si>
  <si>
    <t>rbinford@ups.com</t>
  </si>
  <si>
    <t>tbinford@ups.com</t>
  </si>
  <si>
    <t>bingadmin@ups.com</t>
  </si>
  <si>
    <t>jbing@ups.com</t>
  </si>
  <si>
    <t>sbingenheimer@ups.com</t>
  </si>
  <si>
    <t>edithbinger@ups.com</t>
  </si>
  <si>
    <t>ebingham@ups.com</t>
  </si>
  <si>
    <t>eric.bingham@ups.com</t>
  </si>
  <si>
    <t>hbingham@ups.com</t>
  </si>
  <si>
    <t>lillerbingham@ups.com</t>
  </si>
  <si>
    <t>ldbingham@ups.com</t>
  </si>
  <si>
    <t>lbingham@ups.com</t>
  </si>
  <si>
    <t>martybingham@ups.com</t>
  </si>
  <si>
    <t>timbingham@ups.com</t>
  </si>
  <si>
    <t>kbinghamaponte@ups.com</t>
  </si>
  <si>
    <t>dbinghamburr@ups.com</t>
  </si>
  <si>
    <t>tbingman@ups.com</t>
  </si>
  <si>
    <t>fbingoel@ups.com</t>
  </si>
  <si>
    <t>bha@ups.com</t>
  </si>
  <si>
    <t>abdulaziz.binjamaludden@ups.com</t>
  </si>
  <si>
    <t>tbinkis@ups.com</t>
  </si>
  <si>
    <t>ebinkley@ups.com</t>
  </si>
  <si>
    <t>rbinkowski@ups.com</t>
  </si>
  <si>
    <t>sbinkowski@ups.com</t>
  </si>
  <si>
    <t>leverettbinkscollier@ups.com</t>
  </si>
  <si>
    <t>ibinney@ups.com</t>
  </si>
  <si>
    <t>mbinning@ups.com</t>
  </si>
  <si>
    <t>rbinning@ups.com</t>
  </si>
  <si>
    <t>baxterbinnion@ups.com</t>
  </si>
  <si>
    <t>abinns@ups.com</t>
  </si>
  <si>
    <t>dbinns@ups.com</t>
  </si>
  <si>
    <t>kbinns@ups.com</t>
  </si>
  <si>
    <t>samanthabinns@ups.com</t>
  </si>
  <si>
    <t>sbinns@ups.com</t>
  </si>
  <si>
    <t>bnorfartina@ups.com</t>
  </si>
  <si>
    <t>bjuliana@ups.com</t>
  </si>
  <si>
    <t>bkarmelia@ups.com</t>
  </si>
  <si>
    <t>bnurhafizah@ups.com</t>
  </si>
  <si>
    <t>bmasitah@ups.com</t>
  </si>
  <si>
    <t>bnorshofiah@ups.com</t>
  </si>
  <si>
    <t>bnurulhidayah@ups.com</t>
  </si>
  <si>
    <t>bazura@ups.com</t>
  </si>
  <si>
    <t>banmeza@ups.com</t>
  </si>
  <si>
    <t>bnurwahida@ups.com</t>
  </si>
  <si>
    <t>baizanatasya@ups.com</t>
  </si>
  <si>
    <t>bnordiana@ups.com</t>
  </si>
  <si>
    <t>bnajiha@ups.com</t>
  </si>
  <si>
    <t>bmastura@ups.com</t>
  </si>
  <si>
    <t>bnurulazizah@ups.com</t>
  </si>
  <si>
    <t>bnorazrin@ups.com</t>
  </si>
  <si>
    <t>bnorariefah@ups.com</t>
  </si>
  <si>
    <t>bsitifayyadhah@ups.com</t>
  </si>
  <si>
    <t>bnurolhafiza@ups.com</t>
  </si>
  <si>
    <t>batiqahbanu@ups.com</t>
  </si>
  <si>
    <t>bsyazasyafiqah@ups.com</t>
  </si>
  <si>
    <t>bnorshahira@ups.com</t>
  </si>
  <si>
    <t>bsaidatulaziera@ups.com</t>
  </si>
  <si>
    <t>bnoraisah@ups.com</t>
  </si>
  <si>
    <t>bnurshafiqah@ups.com</t>
  </si>
  <si>
    <t>bainuladlin@ups.com</t>
  </si>
  <si>
    <t>bnorhasniza@ups.com</t>
  </si>
  <si>
    <t>tbintou@ups.com</t>
  </si>
  <si>
    <t>bangelika@ups.com</t>
  </si>
  <si>
    <t>abinz@ups.com</t>
  </si>
  <si>
    <t>uwe.binz@europe.ups.com</t>
  </si>
  <si>
    <t>biog@ups.com</t>
  </si>
  <si>
    <t>rbiondi@ups.com</t>
  </si>
  <si>
    <t>alyssabiondo@ups.com</t>
  </si>
  <si>
    <t>lbiondo@ups.com</t>
  </si>
  <si>
    <t>mbiondo@ups.com</t>
  </si>
  <si>
    <t>silvia.biondo@europe.ups.com</t>
  </si>
  <si>
    <t>bioridgecs@ups.com</t>
  </si>
  <si>
    <t>bioverativ@ups.com</t>
  </si>
  <si>
    <t>lbip@ups.com</t>
  </si>
  <si>
    <t>sbiradar@ups.com</t>
  </si>
  <si>
    <t>birajdaramit@ups.com</t>
  </si>
  <si>
    <t>mbirajdar@ups.com</t>
  </si>
  <si>
    <t>bnagesh@ups.com</t>
  </si>
  <si>
    <t>bshital@ups.com</t>
  </si>
  <si>
    <t>cbirch@ups.com</t>
  </si>
  <si>
    <t>ebirch@ups.com</t>
  </si>
  <si>
    <t>lbirch@ups.com</t>
  </si>
  <si>
    <t>matt.birch@ups.com</t>
  </si>
  <si>
    <t>vbirch@ups.com</t>
  </si>
  <si>
    <t>lbirchenough@ups.com</t>
  </si>
  <si>
    <t>abircher@ups.com</t>
  </si>
  <si>
    <t>bbirchfield@ups.com</t>
  </si>
  <si>
    <t>rbirchler@ups.com</t>
  </si>
  <si>
    <t>sbirchler@ups.com</t>
  </si>
  <si>
    <t>ebirchwilkerson@ups.com</t>
  </si>
  <si>
    <t>bbird@ups.com</t>
  </si>
  <si>
    <t>donnabird@ups.com</t>
  </si>
  <si>
    <t>ibird@ups.com</t>
  </si>
  <si>
    <t>jbird@ups.com</t>
  </si>
  <si>
    <t>karinbird@ups.com</t>
  </si>
  <si>
    <t>lbird@ups.com</t>
  </si>
  <si>
    <t>bird.pamela@ups.com</t>
  </si>
  <si>
    <t>rbird@ups.com</t>
  </si>
  <si>
    <t>sbird@ups.com</t>
  </si>
  <si>
    <t>tbird@ups.com</t>
  </si>
  <si>
    <t>traciebird@ups.com</t>
  </si>
  <si>
    <t>wbird@ups.com</t>
  </si>
  <si>
    <t>gbirdsall@ups.com</t>
  </si>
  <si>
    <t>bbirdsong@ups.com</t>
  </si>
  <si>
    <t>jbirdsong@ups.com</t>
  </si>
  <si>
    <t>pbirdsong@ups.com</t>
  </si>
  <si>
    <t>bireportingteam@ups.com</t>
  </si>
  <si>
    <t>tanerbirer@ups.com</t>
  </si>
  <si>
    <t>jbirge@ups.com</t>
  </si>
  <si>
    <t>rbirge@ups.com</t>
  </si>
  <si>
    <t>tbirge@ups.com</t>
  </si>
  <si>
    <t>cbirgels@ups.com</t>
  </si>
  <si>
    <t>eugenia.birger@europe.ups.com</t>
  </si>
  <si>
    <t>nbirger@ups.com</t>
  </si>
  <si>
    <t>Kleber.Birgitt@uni-data.de</t>
  </si>
  <si>
    <t>dbirgmann@ups.com</t>
  </si>
  <si>
    <t>lbirhanu@ups.com</t>
  </si>
  <si>
    <t>ebirk@ups.com</t>
  </si>
  <si>
    <t>jbirkas@ups.com</t>
  </si>
  <si>
    <t>dbirkelbach@ups.com</t>
  </si>
  <si>
    <t>tbirkenfurth@ups.com</t>
  </si>
  <si>
    <t>abirker@ups.com</t>
  </si>
  <si>
    <t>sidneybirkhead@ups.com</t>
  </si>
  <si>
    <t>hbirkhimer@ups.com</t>
  </si>
  <si>
    <t>tbirkley@ups.com</t>
  </si>
  <si>
    <t>dbirkmeyer@ups.com</t>
  </si>
  <si>
    <t>dbirkner@ups.com</t>
  </si>
  <si>
    <t>sbirkner@ups.com</t>
  </si>
  <si>
    <t>ludmila.birledianu@europe.ups.com</t>
  </si>
  <si>
    <t>jbirmingham@ups.com</t>
  </si>
  <si>
    <t>UPSbirmingham@expressdelivers.net</t>
  </si>
  <si>
    <t>cbirnbaum@ups.com</t>
  </si>
  <si>
    <t>sylvio.birnbaum@europe.ups.com</t>
  </si>
  <si>
    <t>sbirney@ups.com</t>
  </si>
  <si>
    <t>kbiro@ups.com</t>
  </si>
  <si>
    <t>mbironkarp@ups.com</t>
  </si>
  <si>
    <t>jbiros@fibermark.com</t>
  </si>
  <si>
    <t>ibirrell@ups.com</t>
  </si>
  <si>
    <t>tbirrell@ups.com</t>
  </si>
  <si>
    <t>rbirrenkott@ups.com</t>
  </si>
  <si>
    <t>mbirriel@ups.com</t>
  </si>
  <si>
    <t>sbirriel@ups.com</t>
  </si>
  <si>
    <t>hbirsoy@ups.com</t>
  </si>
  <si>
    <t>cbirt@ups.com</t>
  </si>
  <si>
    <t>rbirtciljr@ups.com</t>
  </si>
  <si>
    <t>nbirthwright@ups.com</t>
  </si>
  <si>
    <t>cbirtwhistle@ups.com</t>
  </si>
  <si>
    <t>ebiruete@ups.com</t>
  </si>
  <si>
    <t>bisa.johnpaul@ups.com</t>
  </si>
  <si>
    <t>pbisaki@upslogistics.fr</t>
  </si>
  <si>
    <t>mbisarello@ups.com</t>
  </si>
  <si>
    <t>bbisbey@ups.com</t>
  </si>
  <si>
    <t>martybiscan@ups.com</t>
  </si>
  <si>
    <t>lbiscay@ups.com</t>
  </si>
  <si>
    <t>abisceglie@ups.com</t>
  </si>
  <si>
    <t>abischler@ups.com</t>
  </si>
  <si>
    <t>ilona.bischof@europe.ups.com</t>
  </si>
  <si>
    <t>marcobischof@ups.com</t>
  </si>
  <si>
    <t>bbischoff@ups.com</t>
  </si>
  <si>
    <t>cbischoff@ups.com</t>
  </si>
  <si>
    <t>dbischoff@ups.com</t>
  </si>
  <si>
    <t>markbischoff@ups.com</t>
  </si>
  <si>
    <t>rbischoff@ups.com</t>
  </si>
  <si>
    <t>sandrine.bischoff@europe.ups.com</t>
  </si>
  <si>
    <t>jbischpollard@ups.com</t>
  </si>
  <si>
    <t>lbise@ups.com</t>
  </si>
  <si>
    <t>pbisgood@ups.com</t>
  </si>
  <si>
    <t>mbishof@ups.com</t>
  </si>
  <si>
    <t>bbishoff@ups.com</t>
  </si>
  <si>
    <t>abishop@ups.com</t>
  </si>
  <si>
    <t>blakebishop@ups.com</t>
  </si>
  <si>
    <t>brendanbishop@ups.com</t>
  </si>
  <si>
    <t>brittanybishop@ups.com</t>
  </si>
  <si>
    <t>bbishop@ups.com</t>
  </si>
  <si>
    <t>bryanbishop@ups.com</t>
  </si>
  <si>
    <t>campbellbishop@ups.com</t>
  </si>
  <si>
    <t>carterbishop@ups.com</t>
  </si>
  <si>
    <t>cbishop@ups.com</t>
  </si>
  <si>
    <t>chandlerbishop@ups.com</t>
  </si>
  <si>
    <t>coreybishop@ups.com</t>
  </si>
  <si>
    <t>dbishop@ups.com</t>
  </si>
  <si>
    <t>ebishop@ups.com</t>
  </si>
  <si>
    <t>ericabishop@ups.com</t>
  </si>
  <si>
    <t>griffinbishop@ups.com</t>
  </si>
  <si>
    <t>jbishop3@ups.com</t>
  </si>
  <si>
    <t>jbishop2@ups.com</t>
  </si>
  <si>
    <t>jbishop1@ups.com</t>
  </si>
  <si>
    <t>jbishop@ups.com</t>
  </si>
  <si>
    <t>jenniferbishop@ups.com</t>
  </si>
  <si>
    <t>kbishop@ups.com</t>
  </si>
  <si>
    <t>katherinebishop@ups.com</t>
  </si>
  <si>
    <t>kennethbishop@ups.com</t>
  </si>
  <si>
    <t>lbishop@ups.com</t>
  </si>
  <si>
    <t>markbishop@ups.com</t>
  </si>
  <si>
    <t>mebishop@ups.com</t>
  </si>
  <si>
    <t>mbishop@ups.com</t>
  </si>
  <si>
    <t>mikebishop@ups.com</t>
  </si>
  <si>
    <t>rebekahbishop@ups.com</t>
  </si>
  <si>
    <t>rbishop@ups.com</t>
  </si>
  <si>
    <t>ryanbishop@ups.com</t>
  </si>
  <si>
    <t>smbishop@ups.com</t>
  </si>
  <si>
    <t>tabishop@ups.com</t>
  </si>
  <si>
    <t>twbishop@ups.com</t>
  </si>
  <si>
    <t>tinabishop@ups.com</t>
  </si>
  <si>
    <t>tbishop@ups.com</t>
  </si>
  <si>
    <t>tylerbishop@ups.com</t>
  </si>
  <si>
    <t>wbishop@ups.com</t>
  </si>
  <si>
    <t>dbishopp@ups.com</t>
  </si>
  <si>
    <t>amitbisht@ups.com</t>
  </si>
  <si>
    <t>abisht@ups.com</t>
  </si>
  <si>
    <t>bbhupendra@ups.com</t>
  </si>
  <si>
    <t>rbisht@ups.com</t>
  </si>
  <si>
    <t>sbisht@ups.com</t>
  </si>
  <si>
    <t>bbishunath@ups.com</t>
  </si>
  <si>
    <t>bbisig@ups.com</t>
  </si>
  <si>
    <t>nbiskobing@ups.com</t>
  </si>
  <si>
    <t>jbisler@ups.com</t>
  </si>
  <si>
    <t>bisnarmarygrace@ups.com</t>
  </si>
  <si>
    <t>lbisnauth@ups.com</t>
  </si>
  <si>
    <t>pbisnauth@ups.com</t>
  </si>
  <si>
    <t>bdurga@ups.com</t>
  </si>
  <si>
    <t>mbison@ups.com</t>
  </si>
  <si>
    <t>jbisping@ups.com</t>
  </si>
  <si>
    <t>kbisping@ups.com</t>
  </si>
  <si>
    <t>gbisquera@ups.com</t>
  </si>
  <si>
    <t>mbissa@ups.com</t>
  </si>
  <si>
    <t>jbissel@ups.com</t>
  </si>
  <si>
    <t>rbisseling@ups.com</t>
  </si>
  <si>
    <t>mbissell@ups.com</t>
  </si>
  <si>
    <t>pbissen@ups.com</t>
  </si>
  <si>
    <t>RBissessar@livingstoninc.com</t>
  </si>
  <si>
    <t>cbissinger@ups.com</t>
  </si>
  <si>
    <t>dbisslik@ups.com</t>
  </si>
  <si>
    <t>kbissonette@ups.com</t>
  </si>
  <si>
    <t>sbissonnette@ups.com</t>
  </si>
  <si>
    <t>baarti@ups.com</t>
  </si>
  <si>
    <t>sbista@ups.com</t>
  </si>
  <si>
    <t>tbista@ups.com</t>
  </si>
  <si>
    <t>lbistany@ups.com</t>
  </si>
  <si>
    <t>EUR1INB@europe.ups.com</t>
  </si>
  <si>
    <t>biswalsmruti@ups.com</t>
  </si>
  <si>
    <t>sbiswal@ups.com</t>
  </si>
  <si>
    <t>aparnabiswas@ups.com</t>
  </si>
  <si>
    <t>dbiswas@ups.com</t>
  </si>
  <si>
    <t>ritvikbiswas@ups.com</t>
  </si>
  <si>
    <t>rbiswas@ups.com</t>
  </si>
  <si>
    <t>sbiswas@ups.com</t>
  </si>
  <si>
    <t>souvikbiswas@ups.com</t>
  </si>
  <si>
    <t>bmahannah@ups.com</t>
  </si>
  <si>
    <t>lbitar@ups.com</t>
  </si>
  <si>
    <t>mbitar@ups.com</t>
  </si>
  <si>
    <t>broseann@ups.com</t>
  </si>
  <si>
    <t>gbitautaite@ups.com</t>
  </si>
  <si>
    <t>sbitic@ups.com</t>
  </si>
  <si>
    <t>hbitla@ups.com</t>
  </si>
  <si>
    <t>gbitmez@ups.com</t>
  </si>
  <si>
    <t>bariel@ups.com</t>
  </si>
  <si>
    <t>abitsch@ups.com</t>
  </si>
  <si>
    <t>melissabitsko@ups.com</t>
  </si>
  <si>
    <t>jbitsoli@ups.com</t>
  </si>
  <si>
    <t>pbittasandrashankar@ups.com</t>
  </si>
  <si>
    <t>cbittenbender@ups.com</t>
  </si>
  <si>
    <t>jbittenbender@ups.com</t>
  </si>
  <si>
    <t>nayanebittencourt@ups.com</t>
  </si>
  <si>
    <t>nbittencourt@ups.com</t>
  </si>
  <si>
    <t>sbitter@ups.com</t>
  </si>
  <si>
    <t>hbittle@ups.com</t>
  </si>
  <si>
    <t>jbittmann@ups.com</t>
  </si>
  <si>
    <t>dbittner@ups.com</t>
  </si>
  <si>
    <t>lbittner@ups.com</t>
  </si>
  <si>
    <t>rbittner@ups.com</t>
  </si>
  <si>
    <t>marcello.bitto@europe.ups.com</t>
  </si>
  <si>
    <t>svenbittroff@ups.com</t>
  </si>
  <si>
    <t>dmitriybityutskiy@ups.com</t>
  </si>
  <si>
    <t>dbitz@ups.com</t>
  </si>
  <si>
    <t>jbitz@ups.com</t>
  </si>
  <si>
    <t>biuletyn@ups.com</t>
  </si>
  <si>
    <t>bbiven@ups.com</t>
  </si>
  <si>
    <t>jbiven@ups.com</t>
  </si>
  <si>
    <t>johnbiven@ups.com</t>
  </si>
  <si>
    <t>jordanbivens@ups.com</t>
  </si>
  <si>
    <t>mbivens@ups.com</t>
  </si>
  <si>
    <t>lbivian@ups.com</t>
  </si>
  <si>
    <t>jbivin@ups.com</t>
  </si>
  <si>
    <t>abivins@ups.com</t>
  </si>
  <si>
    <t>sbivins@ups.com</t>
  </si>
  <si>
    <t>pbivona@ups.com</t>
  </si>
  <si>
    <t>bdeepak@ups.com</t>
  </si>
  <si>
    <t>biyanisagar@ups.com</t>
  </si>
  <si>
    <t>bbiyela@ups.com</t>
  </si>
  <si>
    <t>biyojeffrey@ups.com</t>
  </si>
  <si>
    <t>zbiza@ups.com</t>
  </si>
  <si>
    <t>rbizarro@ups.com</t>
  </si>
  <si>
    <t>hbizzell@ups.com</t>
  </si>
  <si>
    <t>sbj@ups.com</t>
  </si>
  <si>
    <t>bbjerke@ups.com</t>
  </si>
  <si>
    <t>markbjerke@ups.com</t>
  </si>
  <si>
    <t>markb@iship.com</t>
  </si>
  <si>
    <t>elisabeth.bjerknaes@ups.com</t>
  </si>
  <si>
    <t>t.bjerregaard@ups.com</t>
  </si>
  <si>
    <t>cbjork@ups.com</t>
  </si>
  <si>
    <t>dbjork@ups.com</t>
  </si>
  <si>
    <t>kbjorke@ups.com</t>
  </si>
  <si>
    <t>sbjorkland@ups.com</t>
  </si>
  <si>
    <t>pbjorklund@ups.com</t>
  </si>
  <si>
    <t>jbjorkman@ups.com</t>
  </si>
  <si>
    <t>michaelbjorkman@ups.com</t>
  </si>
  <si>
    <t>bhaan@start.nl</t>
  </si>
  <si>
    <t>lbjorn@ups.com</t>
  </si>
  <si>
    <t>tbjornlie@ups.com</t>
  </si>
  <si>
    <t>bbjornsen@ups.com</t>
  </si>
  <si>
    <t>bkj@ups.com</t>
  </si>
  <si>
    <t>bkent@micro-optics.com</t>
  </si>
  <si>
    <t>bkgclientengagegroupapac@ups.com</t>
  </si>
  <si>
    <t>bkim@ctron.com</t>
  </si>
  <si>
    <t>rblaca@ups.com</t>
  </si>
  <si>
    <t>eblache@ups.com</t>
  </si>
  <si>
    <t>bblachowicz@ups.com</t>
  </si>
  <si>
    <t>cblacio@ups.com</t>
  </si>
  <si>
    <t>alexandrablack@ups.com</t>
  </si>
  <si>
    <t>ablack@ups.com</t>
  </si>
  <si>
    <t>alphonsoblack@ups.com</t>
  </si>
  <si>
    <t>angelablack@ups.com</t>
  </si>
  <si>
    <t>arethakoletteblack@ups.com</t>
  </si>
  <si>
    <t>bradleyblack@ups.com</t>
  </si>
  <si>
    <t>bablack@ups.com</t>
  </si>
  <si>
    <t>bblack@ups.com</t>
  </si>
  <si>
    <t>bblack1@ups.com</t>
  </si>
  <si>
    <t>candaceblack@ups.com</t>
  </si>
  <si>
    <t>candisblack@ups.com</t>
  </si>
  <si>
    <t>chadblack@ups.com</t>
  </si>
  <si>
    <t>cblack@ups.com</t>
  </si>
  <si>
    <t>cherylblack@ups.com</t>
  </si>
  <si>
    <t>christopherblack@ups.com</t>
  </si>
  <si>
    <t>claireblack@ups.com</t>
  </si>
  <si>
    <t>dablack@ups.com</t>
  </si>
  <si>
    <t>darrellblack@ups.com</t>
  </si>
  <si>
    <t>dawnblack@ups.com</t>
  </si>
  <si>
    <t>deniseblack@ups.com</t>
  </si>
  <si>
    <t>dxblack@ups.com</t>
  </si>
  <si>
    <t>derrickblack@ups.com</t>
  </si>
  <si>
    <t>devinblack@ups.com</t>
  </si>
  <si>
    <t>dblack@ups.com</t>
  </si>
  <si>
    <t>donaldblack@ups.com</t>
  </si>
  <si>
    <t>black.drew@ups.com</t>
  </si>
  <si>
    <t>drewblack@ups.com</t>
  </si>
  <si>
    <t>eblack@ups.com</t>
  </si>
  <si>
    <t>gblack@ups.com</t>
  </si>
  <si>
    <t>jblack1@ups.com</t>
  </si>
  <si>
    <t>jamesblack@ups.com</t>
  </si>
  <si>
    <t>johnblack@ups.com</t>
  </si>
  <si>
    <t>jblack3@ups.com</t>
  </si>
  <si>
    <t>jonathanblack@ups.com</t>
  </si>
  <si>
    <t>joseblack@ups.com</t>
  </si>
  <si>
    <t>josephblack@ups.com</t>
  </si>
  <si>
    <t>kianoblack@ups.com</t>
  </si>
  <si>
    <t>labrianblack@ups.com</t>
  </si>
  <si>
    <t>lblack@ups.com</t>
  </si>
  <si>
    <t>lewisblack@ups.com</t>
  </si>
  <si>
    <t>louisblack@ups.com</t>
  </si>
  <si>
    <t>lyndsayblack@ups.com</t>
  </si>
  <si>
    <t>malachiblack@ups.com</t>
  </si>
  <si>
    <t>maryblack@ups.com</t>
  </si>
  <si>
    <t>mrblack@ups.com</t>
  </si>
  <si>
    <t>michaelblack@ups.com</t>
  </si>
  <si>
    <t>mblack1@ups.com</t>
  </si>
  <si>
    <t>michelleblack@ups.com</t>
  </si>
  <si>
    <t>mitchellblack@ups.com</t>
  </si>
  <si>
    <t>nblack@ups.com</t>
  </si>
  <si>
    <t>neilblack@ups.com</t>
  </si>
  <si>
    <t>nicoleblack@ups.com</t>
  </si>
  <si>
    <t>oblack@ups.com</t>
  </si>
  <si>
    <t>patriciablack@ups.com</t>
  </si>
  <si>
    <t>pblack@ups.com</t>
  </si>
  <si>
    <t>rblack@ups.com</t>
  </si>
  <si>
    <t>rcblack@ups.com</t>
  </si>
  <si>
    <t>rblack2@ups.com</t>
  </si>
  <si>
    <t>robertblack@ups.com</t>
  </si>
  <si>
    <t>rblack1@ups.com</t>
  </si>
  <si>
    <t>roseblack@ups.com</t>
  </si>
  <si>
    <t>sblack@ups.com</t>
  </si>
  <si>
    <t>tblack@ups.com</t>
  </si>
  <si>
    <t>toddblack@ups.com</t>
  </si>
  <si>
    <t>black.tonya@ups.com</t>
  </si>
  <si>
    <t>vblack@ups.com</t>
  </si>
  <si>
    <t>heatherblackburn@ups.com</t>
  </si>
  <si>
    <t>jdblackburn@ups.com</t>
  </si>
  <si>
    <t>jblackburn@ups.com</t>
  </si>
  <si>
    <t>mblackburn@ups.com</t>
  </si>
  <si>
    <t>sblackburn@ups.com</t>
  </si>
  <si>
    <t>simon.blackburn@europe.ups.com</t>
  </si>
  <si>
    <t>timothyblackburn@ups.com</t>
  </si>
  <si>
    <t>traceyblackburn@ups.com</t>
  </si>
  <si>
    <t>wblackburn@ups.com</t>
  </si>
  <si>
    <t>dblackchief@ups.com</t>
  </si>
  <si>
    <t>gblackersky@ups.com</t>
  </si>
  <si>
    <t>leslieblackford@ups.com</t>
  </si>
  <si>
    <t>gblackie@ups.com</t>
  </si>
  <si>
    <t>sblacklock@ups.com</t>
  </si>
  <si>
    <t>davidblackman@ups.com</t>
  </si>
  <si>
    <t>donavanblackman@ups.com</t>
  </si>
  <si>
    <t>hblackman@ups.com</t>
  </si>
  <si>
    <t>jblackman@ups.com</t>
  </si>
  <si>
    <t>scblackman@ups.com</t>
  </si>
  <si>
    <t>tblackman@ups.com</t>
  </si>
  <si>
    <t>kblackmanbailey@ups.com</t>
  </si>
  <si>
    <t>gblackmon@ups.com</t>
  </si>
  <si>
    <t>gregoryblackmon@ups.com</t>
  </si>
  <si>
    <t>jamalblackmon@ups.com</t>
  </si>
  <si>
    <t>jblackmon@ups.com</t>
  </si>
  <si>
    <t>jvontezblackmon@ups.com</t>
  </si>
  <si>
    <t>kblackmon@ups.com</t>
  </si>
  <si>
    <t>mblackmon@ups.com</t>
  </si>
  <si>
    <t>michaelblackmon@ups.com</t>
  </si>
  <si>
    <t>sblackmon@ups.com</t>
  </si>
  <si>
    <t>tblackmon@ups.com</t>
  </si>
  <si>
    <t>kblackmun@ups.com</t>
  </si>
  <si>
    <t>dblacknall@ups.com</t>
  </si>
  <si>
    <t>lblacknall@ups.com</t>
  </si>
  <si>
    <t>dblacksanford@ups.com</t>
  </si>
  <si>
    <t>bblackstone@ups.com</t>
  </si>
  <si>
    <t>dblackstone@ups.com</t>
  </si>
  <si>
    <t>jblackstone@livingstoninc.com</t>
  </si>
  <si>
    <t>robinblackwelder@ups.com</t>
  </si>
  <si>
    <t>ablackwell@ups.com</t>
  </si>
  <si>
    <t>amyblackwell@ups.com</t>
  </si>
  <si>
    <t>annetteblackwell@ups.com</t>
  </si>
  <si>
    <t>ablackwell1@ups.com</t>
  </si>
  <si>
    <t>bradblackwell@ups.com</t>
  </si>
  <si>
    <t>bblackwell@ups.com</t>
  </si>
  <si>
    <t>brookeblackwell@ups.com</t>
  </si>
  <si>
    <t>clayblackwell@ups.com</t>
  </si>
  <si>
    <t>cblackwell@ups.com</t>
  </si>
  <si>
    <t>dblackwell@ups.com</t>
  </si>
  <si>
    <t>ericblackwell@ups.com</t>
  </si>
  <si>
    <t>eblackwell@ups.com</t>
  </si>
  <si>
    <t>fblackwell@ups.com</t>
  </si>
  <si>
    <t>johnblackwell@ups.com</t>
  </si>
  <si>
    <t>jblackwell@ups.com</t>
  </si>
  <si>
    <t>kblackwell@ups.com</t>
  </si>
  <si>
    <t>matthewblackwell@ups.com</t>
  </si>
  <si>
    <t>msblackwell@ups.com</t>
  </si>
  <si>
    <t>mblackwell@ups.com</t>
  </si>
  <si>
    <t>mitchellblackwell@ups.com</t>
  </si>
  <si>
    <t>UKG1PBB@europe.ups.com</t>
  </si>
  <si>
    <t>rblackwell@ups.com</t>
  </si>
  <si>
    <t>shariblackwell@ups.com</t>
  </si>
  <si>
    <t>kblackwellterry@ups.com</t>
  </si>
  <si>
    <t>jblackwood@ups.com</t>
  </si>
  <si>
    <t>jenniferblackwood@ups.com</t>
  </si>
  <si>
    <t>jessicablackwood@ups.com</t>
  </si>
  <si>
    <t>joeblackwood@ups.com</t>
  </si>
  <si>
    <t>kblackwood@ups.com</t>
  </si>
  <si>
    <t>pblackwood@ups.com</t>
  </si>
  <si>
    <t>scblackwood@ups.com</t>
  </si>
  <si>
    <t>jblade@ups.com</t>
  </si>
  <si>
    <t>jblades@ups.com</t>
  </si>
  <si>
    <t>fbladimir2@ups.com</t>
  </si>
  <si>
    <t>abladowska@ups.com</t>
  </si>
  <si>
    <t>tblaeser@ups.com</t>
  </si>
  <si>
    <t>jblaess@ups.com</t>
  </si>
  <si>
    <t>rosalind.blagg@europe.ups.com</t>
  </si>
  <si>
    <t>dblaha@ups.com</t>
  </si>
  <si>
    <t>martin.blaha@css-spedition.cz</t>
  </si>
  <si>
    <t>kblahova@ups.com</t>
  </si>
  <si>
    <t>dblahut@ups.com</t>
  </si>
  <si>
    <t>lblaides@ups.com</t>
  </si>
  <si>
    <t>harlan@powwowusa.com</t>
  </si>
  <si>
    <t>cblain@ups.com</t>
  </si>
  <si>
    <t>codyblain@ups.com</t>
  </si>
  <si>
    <t>hblain@ups.com</t>
  </si>
  <si>
    <t>jenniferblain@ups.com</t>
  </si>
  <si>
    <t>blaineaceemanifest@ups.com</t>
  </si>
  <si>
    <t>bblaine@ups.com</t>
  </si>
  <si>
    <t>june@elianeusa.com</t>
  </si>
  <si>
    <t>rblaine@ups.com</t>
  </si>
  <si>
    <t>Blaine_Sitzmann@ryder.com</t>
  </si>
  <si>
    <t>rblainefield@ups.com</t>
  </si>
  <si>
    <t>ablair@ups.com</t>
  </si>
  <si>
    <t>allisonblair@ups.com</t>
  </si>
  <si>
    <t>arieleblair@ups.com</t>
  </si>
  <si>
    <t>bmblair@ups.com</t>
  </si>
  <si>
    <t>tracyblairbarrett@ups.com</t>
  </si>
  <si>
    <t>cblair@ups.com</t>
  </si>
  <si>
    <t>christopherblair@ups.com</t>
  </si>
  <si>
    <t>cindyblair@ups.com</t>
  </si>
  <si>
    <t>connorblair@ups.com</t>
  </si>
  <si>
    <t>dblair@ups.com</t>
  </si>
  <si>
    <t>dablair@ups.com</t>
  </si>
  <si>
    <t>gblair@ups.com</t>
  </si>
  <si>
    <t>jcblair@ups.com</t>
  </si>
  <si>
    <t>jasonblair@ups.com</t>
  </si>
  <si>
    <t>jblair@ups.com</t>
  </si>
  <si>
    <t>jjblair@ups.com</t>
  </si>
  <si>
    <t>johnblair@ups.com</t>
  </si>
  <si>
    <t>kellyblair@ups.com</t>
  </si>
  <si>
    <t>kblair@ups.com</t>
  </si>
  <si>
    <t>lablair@ups.com</t>
  </si>
  <si>
    <t>maryblair@ups.com</t>
  </si>
  <si>
    <t>mblair@ups.com</t>
  </si>
  <si>
    <t>mmlee@ups.com</t>
  </si>
  <si>
    <t>bmilster@metalexchangecorp.com</t>
  </si>
  <si>
    <t>mistiblair@ups.com</t>
  </si>
  <si>
    <t>mblair1@ups.com</t>
  </si>
  <si>
    <t>rossblair@ups.com</t>
  </si>
  <si>
    <t>sblair@ups.com</t>
  </si>
  <si>
    <t>staceyblair@ups.com</t>
  </si>
  <si>
    <t>talayahblair@ups.com</t>
  </si>
  <si>
    <t>taylorblair@ups.com</t>
  </si>
  <si>
    <t>tblair@ups.com</t>
  </si>
  <si>
    <t>jblais@ups.com</t>
  </si>
  <si>
    <t>wblaisbrown@ups.com</t>
  </si>
  <si>
    <t>cblaisdell@ups.com</t>
  </si>
  <si>
    <t>kblaisdelljr@ups.com</t>
  </si>
  <si>
    <t>wblaise@ups.com</t>
  </si>
  <si>
    <t>cblaize@ups.com</t>
  </si>
  <si>
    <t>kenblaize@ups.com</t>
  </si>
  <si>
    <t>aleshablake@ups.com</t>
  </si>
  <si>
    <t>ablake@ups.com</t>
  </si>
  <si>
    <t>brandonblake@ups.com</t>
  </si>
  <si>
    <t>brysonblake@ups.com</t>
  </si>
  <si>
    <t>bblake@ups.com</t>
  </si>
  <si>
    <t>blake.christine@ups.com</t>
  </si>
  <si>
    <t>cjblake@ups.com</t>
  </si>
  <si>
    <t>cblake@ups.com</t>
  </si>
  <si>
    <t>blake.hamlin@marken.com</t>
  </si>
  <si>
    <t>jeffreyblake@ups.com</t>
  </si>
  <si>
    <t>jblake1@ups.com</t>
  </si>
  <si>
    <t>rblakejr@ups.com</t>
  </si>
  <si>
    <t>karriemblake@ups.com</t>
  </si>
  <si>
    <t>kblake@ups.com</t>
  </si>
  <si>
    <t>lblake@ups.com</t>
  </si>
  <si>
    <t>blake@sunmountain.com</t>
  </si>
  <si>
    <t>blake@texasgolfkarts.com</t>
  </si>
  <si>
    <t>mackenzieblake@ups.com</t>
  </si>
  <si>
    <t>marshallblake@ups.com</t>
  </si>
  <si>
    <t>matthewblake@ups.com</t>
  </si>
  <si>
    <t>mblake@ups.com</t>
  </si>
  <si>
    <t>BLAKE.MOLONEY@HONEWELL.COM</t>
  </si>
  <si>
    <t>rblake1@ups.com</t>
  </si>
  <si>
    <t>rblake@ups.com</t>
  </si>
  <si>
    <t>serinablake@ups.com</t>
  </si>
  <si>
    <t>sblake@ups.com</t>
  </si>
  <si>
    <t>terrenceblake@ups.com</t>
  </si>
  <si>
    <t>blake.timothy@ups.com</t>
  </si>
  <si>
    <t>tblake@ups.com</t>
  </si>
  <si>
    <t>vblake@ups.com</t>
  </si>
  <si>
    <t>viveneblake@ups.com</t>
  </si>
  <si>
    <t>wblake@ups.com</t>
  </si>
  <si>
    <t>BOBlake@livingstoninc.com</t>
  </si>
  <si>
    <t>jblakeley@ups.com</t>
  </si>
  <si>
    <t>dmitriblakely@ups.com</t>
  </si>
  <si>
    <t>fblakely@ups.com</t>
  </si>
  <si>
    <t>tblakely@ups.com</t>
  </si>
  <si>
    <t>troyblakely@ups.com</t>
  </si>
  <si>
    <t>cblakeman1@ups.com</t>
  </si>
  <si>
    <t>iblakeman@ups.com</t>
  </si>
  <si>
    <t>sblakeman@ups.com</t>
  </si>
  <si>
    <t>cblakeney@ups.com</t>
  </si>
  <si>
    <t>kblakeney@ups.com</t>
  </si>
  <si>
    <t>karen.blakeney@ps.ge.com</t>
  </si>
  <si>
    <t>kyleblakey@ups.com</t>
  </si>
  <si>
    <t>ablakley@ups.com</t>
  </si>
  <si>
    <t>cblakney@ups.com</t>
  </si>
  <si>
    <t>jblakney@ups.com</t>
  </si>
  <si>
    <t>ryanblalack@ups.com</t>
  </si>
  <si>
    <t>rblamble@ups.com</t>
  </si>
  <si>
    <t>mblanar@ups.com</t>
  </si>
  <si>
    <t>tblanc@ups.com</t>
  </si>
  <si>
    <t>b.graves@sea.samsung.com</t>
  </si>
  <si>
    <t>hblancaflor@ups.com</t>
  </si>
  <si>
    <t>tblancaflor@ups.com</t>
  </si>
  <si>
    <t>rblancas@ups.com</t>
  </si>
  <si>
    <t>bblancett@ups.com</t>
  </si>
  <si>
    <t>fblancfignole@ups.com</t>
  </si>
  <si>
    <t>cblanchard@ups.com</t>
  </si>
  <si>
    <t>eblanchard@ups.com</t>
  </si>
  <si>
    <t>lindablanchard@ups.com</t>
  </si>
  <si>
    <t>lblanchard@ups.com</t>
  </si>
  <si>
    <t>rblanchard@ups.com</t>
  </si>
  <si>
    <t>mblanchet@ups.com</t>
  </si>
  <si>
    <t>mblanchetiere@ups.com</t>
  </si>
  <si>
    <t>pblanchford@ups.com</t>
  </si>
  <si>
    <t>ablanck@ups.com</t>
  </si>
  <si>
    <t>adrianblanco@ups.com</t>
  </si>
  <si>
    <t>rblancoaguilar@ups.com</t>
  </si>
  <si>
    <t>ameliablanco@ups.com</t>
  </si>
  <si>
    <t>andresblanco@ups.com</t>
  </si>
  <si>
    <t>dblanco@ups.com</t>
  </si>
  <si>
    <t>eblanco@ups.com</t>
  </si>
  <si>
    <t>fblanco@ups.com</t>
  </si>
  <si>
    <t>iblanco@ups.com</t>
  </si>
  <si>
    <t>isamarblanco@ups.com</t>
  </si>
  <si>
    <t>itzallixanatblanco@ups.com</t>
  </si>
  <si>
    <t>bjackielou@ups.com</t>
  </si>
  <si>
    <t>jamesblanco@ups.com</t>
  </si>
  <si>
    <t>jorgeblanco@ups.com</t>
  </si>
  <si>
    <t>jblanco@ups.com</t>
  </si>
  <si>
    <t>josephblanco@ups.com</t>
  </si>
  <si>
    <t>jblanco1@ups.com</t>
  </si>
  <si>
    <t>lmblanco@ups.com</t>
  </si>
  <si>
    <t>lblanco@ups.com</t>
  </si>
  <si>
    <t>dblancomedina@ups.com</t>
  </si>
  <si>
    <t>rblancomejai@ups.com</t>
  </si>
  <si>
    <t>oblanco@ups.com</t>
  </si>
  <si>
    <t>pblanco@ups.com</t>
  </si>
  <si>
    <t>pedro.blanco@ups.com</t>
  </si>
  <si>
    <t>rblanco@ups.com</t>
  </si>
  <si>
    <t>fblancougalde@ups.com</t>
  </si>
  <si>
    <t>chelseabland@ups.com</t>
  </si>
  <si>
    <t>dbland@ups.com</t>
  </si>
  <si>
    <t>ebonybland@ups.com</t>
  </si>
  <si>
    <t>hbland@ups.com</t>
  </si>
  <si>
    <t>mbland@ups.com</t>
  </si>
  <si>
    <t>tbland@ups.com</t>
  </si>
  <si>
    <t>taylorbland@ups.com</t>
  </si>
  <si>
    <t>tymekabland@ups.com</t>
  </si>
  <si>
    <t>ericblandford@ups.com</t>
  </si>
  <si>
    <t>sablandford@ups.com</t>
  </si>
  <si>
    <t>tblandin@ups.com</t>
  </si>
  <si>
    <t>tricortneyblandin@ups.com</t>
  </si>
  <si>
    <t>dblandini@ups.com</t>
  </si>
  <si>
    <t>sblandino@ups.com</t>
  </si>
  <si>
    <t>pblandoncardona@ups.com</t>
  </si>
  <si>
    <t>jblane@ups.com</t>
  </si>
  <si>
    <t>vlblaney@ups.com</t>
  </si>
  <si>
    <t>ablaneysines@ups.com</t>
  </si>
  <si>
    <t>cblanford@ups.com</t>
  </si>
  <si>
    <t>rblanford@ups.com</t>
  </si>
  <si>
    <t>ablangero@ups.com</t>
  </si>
  <si>
    <t>cblangoneal@ups.com</t>
  </si>
  <si>
    <t>bblank@ups.com</t>
  </si>
  <si>
    <t>dblank@ups.com</t>
  </si>
  <si>
    <t>gayleblank@ups.com</t>
  </si>
  <si>
    <t>iblank@ups.com</t>
  </si>
  <si>
    <t>jblank@ups.com</t>
  </si>
  <si>
    <t>joshblank@ups.com</t>
  </si>
  <si>
    <t>marshablank@ups.com</t>
  </si>
  <si>
    <t>fblanka@ups.com</t>
  </si>
  <si>
    <t>tblanka@ups.com</t>
  </si>
  <si>
    <t>jblankenberg@ups.com</t>
  </si>
  <si>
    <t>cblankenbuehler@ups.com</t>
  </si>
  <si>
    <t>mblankendal@ups.com</t>
  </si>
  <si>
    <t>ablankenship@ups.com</t>
  </si>
  <si>
    <t>jorgeblankenship@ups.com</t>
  </si>
  <si>
    <t>joyceblankenship@ups.com</t>
  </si>
  <si>
    <t>nblankenship@ups.com</t>
  </si>
  <si>
    <t>rgblankenship@ups.com</t>
  </si>
  <si>
    <t>sblankenship@ups.com</t>
  </si>
  <si>
    <t>dblanks@ups.com</t>
  </si>
  <si>
    <t>rblanks@ups.com</t>
  </si>
  <si>
    <t>russellblanks@ups.com</t>
  </si>
  <si>
    <t>hblankson@ups.com</t>
  </si>
  <si>
    <t>nblankumsee@ups.com</t>
  </si>
  <si>
    <t>gblanshan@ups.com</t>
  </si>
  <si>
    <t>vblanshey@ups.com</t>
  </si>
  <si>
    <t>bblanton@ups.com</t>
  </si>
  <si>
    <t>danielblanton@ups.com</t>
  </si>
  <si>
    <t>gblanton@ups.com</t>
  </si>
  <si>
    <t>hblanton@ups.com</t>
  </si>
  <si>
    <t>jjblanton@ups.com</t>
  </si>
  <si>
    <t>jblanton@ups.com</t>
  </si>
  <si>
    <t>kblanton@ups.com</t>
  </si>
  <si>
    <t>sblanton@ups.com</t>
  </si>
  <si>
    <t>shawnblanton@ups.com</t>
  </si>
  <si>
    <t>lblas@ups.com</t>
  </si>
  <si>
    <t>rblasco@ups.com</t>
  </si>
  <si>
    <t>bblasi@ups.com</t>
  </si>
  <si>
    <t>cfblasi@ups.com</t>
  </si>
  <si>
    <t>dblasi@ups.com</t>
  </si>
  <si>
    <t>nblasi@ups.com</t>
  </si>
  <si>
    <t>ablasig@ups.com</t>
  </si>
  <si>
    <t>rblasig@ups.com</t>
  </si>
  <si>
    <t>lblasini@ups.com</t>
  </si>
  <si>
    <t>fblasinski@ups.com</t>
  </si>
  <si>
    <t>ablasius@ups.com</t>
  </si>
  <si>
    <t>iblaske@ups.com</t>
  </si>
  <si>
    <t>mblaskowski@ups.com</t>
  </si>
  <si>
    <t>cblatchford@ups.com</t>
  </si>
  <si>
    <t>mistyblatnick@ups.com</t>
  </si>
  <si>
    <t>cblatt@ups.com</t>
  </si>
  <si>
    <t>pablatt@ups.com</t>
  </si>
  <si>
    <t>sblatt@ups.com</t>
  </si>
  <si>
    <t>mblattner@ups.com</t>
  </si>
  <si>
    <t>sylvia.blattner@europe.ups.com</t>
  </si>
  <si>
    <t>dblatz@ups.com</t>
  </si>
  <si>
    <t>jblau@ups.com</t>
  </si>
  <si>
    <t>dblaut@ups.com</t>
  </si>
  <si>
    <t>dblauvelt@ups.com</t>
  </si>
  <si>
    <t>sherryblauveltgriffy@ups.com</t>
  </si>
  <si>
    <t>bblaylock@ups.com</t>
  </si>
  <si>
    <t>dblaylock@ups.com</t>
  </si>
  <si>
    <t>kblaylock@ups.com</t>
  </si>
  <si>
    <t>mikeblaylock@ups.com</t>
  </si>
  <si>
    <t>jblayney@ups.com</t>
  </si>
  <si>
    <t>ablazanovic@ups.com</t>
  </si>
  <si>
    <t>ablazejczyk@ups.com</t>
  </si>
  <si>
    <t>bblazek@ups.com</t>
  </si>
  <si>
    <t>jblazenin@ups.com</t>
  </si>
  <si>
    <t>rblazenko@ups.com</t>
  </si>
  <si>
    <t>kblazonczyk@ups.com</t>
  </si>
  <si>
    <t>ablazukas@ups.com</t>
  </si>
  <si>
    <t>mblea@ups.com</t>
  </si>
  <si>
    <t>sblea@ups.com</t>
  </si>
  <si>
    <t>ebleak@ups.com</t>
  </si>
  <si>
    <t>dirk.blech@europe.ups.com</t>
  </si>
  <si>
    <t>iblecharz@ups.com</t>
  </si>
  <si>
    <t>pblecharz@ups.com</t>
  </si>
  <si>
    <t>mblechoska@ups.com</t>
  </si>
  <si>
    <t>mbledowska@ups.com</t>
  </si>
  <si>
    <t>abledsoe@ups.com</t>
  </si>
  <si>
    <t>bbledsoe@ups.com</t>
  </si>
  <si>
    <t>cbledsoe@ups.com</t>
  </si>
  <si>
    <t>jbledsoe@ups.com</t>
  </si>
  <si>
    <t>jordanbledsoe@ups.com</t>
  </si>
  <si>
    <t>jbledsoejr@ups.com</t>
  </si>
  <si>
    <t>kbledsoe@ups.com</t>
  </si>
  <si>
    <t>pbledsoe@ups.com</t>
  </si>
  <si>
    <t>rebeccabledsoe@ups.com</t>
  </si>
  <si>
    <t>rbledsoe@ups.com</t>
  </si>
  <si>
    <t>rbledy@ups.com</t>
  </si>
  <si>
    <t>bbleemel@ups.com</t>
  </si>
  <si>
    <t>chloeblehm@ups.com</t>
  </si>
  <si>
    <t>cblehm@ups.com</t>
  </si>
  <si>
    <t>FRA1OOB@europe.ups.com</t>
  </si>
  <si>
    <t>sbleie@ups.com</t>
  </si>
  <si>
    <t>cbleier@ups.com</t>
  </si>
  <si>
    <t>jbleil@ups.com</t>
  </si>
  <si>
    <t>mbleil@ups.com</t>
  </si>
  <si>
    <t>pbleiss@ups.com</t>
  </si>
  <si>
    <t>kblenkinsop@ups.com</t>
  </si>
  <si>
    <t>nblenn@ups.com</t>
  </si>
  <si>
    <t>ablery@ups.com</t>
  </si>
  <si>
    <t>eva.blesch@europe.ups.com</t>
  </si>
  <si>
    <t>kblesch@ups.com</t>
  </si>
  <si>
    <t>cblesi@ups.com</t>
  </si>
  <si>
    <t>jblesse@ups.com</t>
  </si>
  <si>
    <t>ablessing@ups.com</t>
  </si>
  <si>
    <t>alexiblessing@ups.com</t>
  </si>
  <si>
    <t>deborahblessing@ups.com</t>
  </si>
  <si>
    <t>rblessing@ups.com</t>
  </si>
  <si>
    <t>gblessinger@ups.com</t>
  </si>
  <si>
    <t>kblessitt@ups.com</t>
  </si>
  <si>
    <t>ablessman@ups.com</t>
  </si>
  <si>
    <t>kblessum@ups.com</t>
  </si>
  <si>
    <t>krzysztofblesznowski@ups.com</t>
  </si>
  <si>
    <t>mbletsh@ups.com</t>
  </si>
  <si>
    <t>tblevens@ups.com</t>
  </si>
  <si>
    <t>curtisblevins@ups.com</t>
  </si>
  <si>
    <t>dblevins@ups.com</t>
  </si>
  <si>
    <t>janethblevins@ups.com</t>
  </si>
  <si>
    <t>jerrodblevins@ups.com</t>
  </si>
  <si>
    <t>jblevinsjr@ups.com</t>
  </si>
  <si>
    <t>kablevins@ups.com</t>
  </si>
  <si>
    <t>lblevins@ups.com</t>
  </si>
  <si>
    <t>mblevins@ups.com</t>
  </si>
  <si>
    <t>pblevins@ups.com</t>
  </si>
  <si>
    <t>rblevins@ups.com</t>
  </si>
  <si>
    <t>sblevins@ups.com</t>
  </si>
  <si>
    <t>tlblevins@ups.com</t>
  </si>
  <si>
    <t>triciablevins@ups.com</t>
  </si>
  <si>
    <t>zblevins@ups.com</t>
  </si>
  <si>
    <t>ablicharska@ups.com</t>
  </si>
  <si>
    <t>jblickens@ups.com</t>
  </si>
  <si>
    <t>nblickenstaff@ups.com</t>
  </si>
  <si>
    <t>tblideskog@ups.com</t>
  </si>
  <si>
    <t>nblidy@ups.com</t>
  </si>
  <si>
    <t>abliek@ups.com</t>
  </si>
  <si>
    <t>karin.bliersbach@europe.ups.com</t>
  </si>
  <si>
    <t>blimish.miller@philips.com</t>
  </si>
  <si>
    <t>pblin@ups.com</t>
  </si>
  <si>
    <t>lblinco@ups.com</t>
  </si>
  <si>
    <t>lblind@ups.com</t>
  </si>
  <si>
    <t>udo.blind@europe.ups.com</t>
  </si>
  <si>
    <t>dbline@ups.com</t>
  </si>
  <si>
    <t>ablinetsky@ups.com</t>
  </si>
  <si>
    <t>dblinn@ups.com</t>
  </si>
  <si>
    <t>harald.blinn@europe.ups.com</t>
  </si>
  <si>
    <t>jblinsman@ups.com</t>
  </si>
  <si>
    <t>jbliquez@ups.com</t>
  </si>
  <si>
    <t>deannabliss@ups.com</t>
  </si>
  <si>
    <t>dbliss@ups.com</t>
  </si>
  <si>
    <t>jbliss@ups.com</t>
  </si>
  <si>
    <t>kristopherbliss@ups.com</t>
  </si>
  <si>
    <t>thomas.bliss@ups.com</t>
  </si>
  <si>
    <t>tbliss@ups.com</t>
  </si>
  <si>
    <t>leticiablissitt@ups.com</t>
  </si>
  <si>
    <t>cblizard@ups.com</t>
  </si>
  <si>
    <t>EUR1AMB@europe.ups.com</t>
  </si>
  <si>
    <t>cblizzard@ups.com</t>
  </si>
  <si>
    <t>lblizzard5@ups.com</t>
  </si>
  <si>
    <t>blocchisblocchi@ups.com</t>
  </si>
  <si>
    <t>rainer.bloch@europe.ups.com</t>
  </si>
  <si>
    <t>kblocher@ups.com</t>
  </si>
  <si>
    <t>jblock@ups.com</t>
  </si>
  <si>
    <t>kblock@ups.com</t>
  </si>
  <si>
    <t>raymondblock@ups.com</t>
  </si>
  <si>
    <t>rhonda.block@ups.com</t>
  </si>
  <si>
    <t>rblock@ups.com</t>
  </si>
  <si>
    <t>tmblock@ups.com</t>
  </si>
  <si>
    <t>blockberger.kelly@ups.com</t>
  </si>
  <si>
    <t>sblodgett@ups.com</t>
  </si>
  <si>
    <t>mbloebaum@ups.com</t>
  </si>
  <si>
    <t>abloecher@ups.com</t>
  </si>
  <si>
    <t>jbloede@ups.com</t>
  </si>
  <si>
    <t>jbloedorn@ups.com</t>
  </si>
  <si>
    <t>abloem@ups.com</t>
  </si>
  <si>
    <t>rbloem@ups.com</t>
  </si>
  <si>
    <t>mbloemeling@ups.com</t>
  </si>
  <si>
    <t>peter.bloesl@europe.ups.com</t>
  </si>
  <si>
    <t>jbloggs@ups.com</t>
  </si>
  <si>
    <t>sblokzijl@ups.com</t>
  </si>
  <si>
    <t>dblom@ups.com</t>
  </si>
  <si>
    <t>fblom@ups.com</t>
  </si>
  <si>
    <t>mblom@ups.com</t>
  </si>
  <si>
    <t>sblom@ups.com</t>
  </si>
  <si>
    <t>tom.blomberg@europe.ups.com</t>
  </si>
  <si>
    <t>ablombergbrown@ups.com</t>
  </si>
  <si>
    <t>bblomeley@ups.com</t>
  </si>
  <si>
    <t>andrewjblomgren@ups.com</t>
  </si>
  <si>
    <t>jblommaert@ups.com</t>
  </si>
  <si>
    <t>dblomquist@ups.com</t>
  </si>
  <si>
    <t>ablomqvist@ups.com</t>
  </si>
  <si>
    <t>sblondeau@upslogistics.fr</t>
  </si>
  <si>
    <t>gblondin@ups.com</t>
  </si>
  <si>
    <t>blondin.nathalie@ups.com</t>
  </si>
  <si>
    <t>iblonska@ups.com</t>
  </si>
  <si>
    <t>mblonske@ups.com</t>
  </si>
  <si>
    <t>pblonski@ups.com</t>
  </si>
  <si>
    <t>abloodjr@ups.com</t>
  </si>
  <si>
    <t>rblood@ups.com</t>
  </si>
  <si>
    <t>sblood@ups.com</t>
  </si>
  <si>
    <t>sbloodgoodrollins@ups.com</t>
  </si>
  <si>
    <t>jbloodworth@ups.com</t>
  </si>
  <si>
    <t>mbloodworth@ups.com</t>
  </si>
  <si>
    <t>tbloodworth@ups.com</t>
  </si>
  <si>
    <t>abloom@ups.com</t>
  </si>
  <si>
    <t>dbloom@ups.com</t>
  </si>
  <si>
    <t>jbloom@ups.com</t>
  </si>
  <si>
    <t>jessicabloom@ups.com</t>
  </si>
  <si>
    <t>JimBloom@ups.com</t>
  </si>
  <si>
    <t>khbloom@ups.com</t>
  </si>
  <si>
    <t>shaynebloom@ups.com</t>
  </si>
  <si>
    <t>jbloomfield@ups.com</t>
  </si>
  <si>
    <t>johnbloomfield@ups.com</t>
  </si>
  <si>
    <t>mbloomfield@ups.com</t>
  </si>
  <si>
    <t>mrbloomfield@ups.com</t>
  </si>
  <si>
    <t>vbloomquist@ups.com</t>
  </si>
  <si>
    <t>jbloomstone@ups.com</t>
  </si>
  <si>
    <t>benedikt.bloos@europe.ups.com</t>
  </si>
  <si>
    <t>dblotin@ups.com</t>
  </si>
  <si>
    <t>lblotkamp@ups.com</t>
  </si>
  <si>
    <t>rblotter@ups.com</t>
  </si>
  <si>
    <t>cblount@ups.com</t>
  </si>
  <si>
    <t>eblount@ups.com</t>
  </si>
  <si>
    <t>mblount@ups.com</t>
  </si>
  <si>
    <t>tarynblount@ups.com</t>
  </si>
  <si>
    <t>tblount@ups.com</t>
  </si>
  <si>
    <t>fblower@ups.com</t>
  </si>
  <si>
    <t>upsbologna@ups.com</t>
  </si>
  <si>
    <t>dblucker@ups.com</t>
  </si>
  <si>
    <t>dbludau@ups.com</t>
  </si>
  <si>
    <t>alecblue@ups.com</t>
  </si>
  <si>
    <t>ablue@ups.com</t>
  </si>
  <si>
    <t>bblue@ups.com</t>
  </si>
  <si>
    <t>bluechip@ups.com</t>
  </si>
  <si>
    <t>dblue@ups.com</t>
  </si>
  <si>
    <t>dblueline@ups.com</t>
  </si>
  <si>
    <t>blueskybrg@ups.com</t>
  </si>
  <si>
    <t>tblue@ups.com</t>
  </si>
  <si>
    <t>wblue@ups.com</t>
  </si>
  <si>
    <t>nblueford@ups.com</t>
  </si>
  <si>
    <t>bluegracelogistics@ups.com</t>
  </si>
  <si>
    <t>mbluemel@ups.com</t>
  </si>
  <si>
    <t>dbluitt@ups.com</t>
  </si>
  <si>
    <t>tbluitt@ups.com</t>
  </si>
  <si>
    <t>cblum@ups.com</t>
  </si>
  <si>
    <t>jblum@ups.com</t>
  </si>
  <si>
    <t>justiceblum@ups.com</t>
  </si>
  <si>
    <t>mathias.blum@europe.ups.com</t>
  </si>
  <si>
    <t>sandrablum@ups.com</t>
  </si>
  <si>
    <t>dblumberg@ups.com</t>
  </si>
  <si>
    <t>mblume@ups.com</t>
  </si>
  <si>
    <t>tblume@ups.com</t>
  </si>
  <si>
    <t>tblumenburg@ups.com</t>
  </si>
  <si>
    <t>heiko.blumenstein@europe.ups.com</t>
  </si>
  <si>
    <t>kblumenthal@ups.com</t>
  </si>
  <si>
    <t>tblumer@ups.com</t>
  </si>
  <si>
    <t>sblumin@ups.com</t>
  </si>
  <si>
    <t>eblundell@ups.com</t>
  </si>
  <si>
    <t>gblunkosky@ups.com</t>
  </si>
  <si>
    <t>mblunt@ups.com</t>
  </si>
  <si>
    <t>ursulablunt@ups.com</t>
  </si>
  <si>
    <t>hblustein@ups.com</t>
  </si>
  <si>
    <t>ably@ups.com</t>
  </si>
  <si>
    <t>mmbly@ups.com</t>
  </si>
  <si>
    <t>jblymyer@ups.com</t>
  </si>
  <si>
    <t>tblymyer@ups.com</t>
  </si>
  <si>
    <t>mblyschz@ups.com</t>
  </si>
  <si>
    <t>bethanyblystone@ups.com</t>
  </si>
  <si>
    <t>bblystone@ups.com</t>
  </si>
  <si>
    <t>mblystone@ups.com</t>
  </si>
  <si>
    <t>eblyth@ups.com</t>
  </si>
  <si>
    <t>rblythe@ups.com</t>
  </si>
  <si>
    <t>kblythebenson@ups.com</t>
  </si>
  <si>
    <t>mbmabu@ups.com</t>
  </si>
  <si>
    <t>nbm@ups.com</t>
  </si>
  <si>
    <t>BMcHale@ma-tel.com</t>
  </si>
  <si>
    <t>bmc-ux-c@UPS-SCS.com</t>
  </si>
  <si>
    <t>bmc-ux-w@UPS-SCS.com</t>
  </si>
  <si>
    <t>bmc-wintel-c@UPS-SCS.com</t>
  </si>
  <si>
    <t>bmc-wintel-w@UPS-SCS.com</t>
  </si>
  <si>
    <t>yyc.bmg@allcanadian.com</t>
  </si>
  <si>
    <t>bmgctosv@ups.com</t>
  </si>
  <si>
    <t>BMSControl@ups.com</t>
  </si>
  <si>
    <t>bparameshbabu@ups.com</t>
  </si>
  <si>
    <t>mbo@ups.com</t>
  </si>
  <si>
    <t>BO.PISKO@REYNOLDSPKG.COM</t>
  </si>
  <si>
    <t>bwu@ups.com</t>
  </si>
  <si>
    <t>Bo.Baker@CFMTech.com</t>
  </si>
  <si>
    <t>gboada@ups.com</t>
  </si>
  <si>
    <t>yboadu@ups.com</t>
  </si>
  <si>
    <t>dboafojr@ups.com</t>
  </si>
  <si>
    <t>cboakye@ups.com</t>
  </si>
  <si>
    <t>rboane@ups.com</t>
  </si>
  <si>
    <t>kboard@ups.com</t>
  </si>
  <si>
    <t>rboard@ups.com</t>
  </si>
  <si>
    <t>mboarder@ups.com</t>
  </si>
  <si>
    <t>boardman.angie@ups.com</t>
  </si>
  <si>
    <t>gboardman@ups.com</t>
  </si>
  <si>
    <t>lboardman@ups.com</t>
  </si>
  <si>
    <t>sboardman@ups.com</t>
  </si>
  <si>
    <t>boardroom@ups.com</t>
  </si>
  <si>
    <t>kboarman@ups.com</t>
  </si>
  <si>
    <t>bboateng@ups.com</t>
  </si>
  <si>
    <t>sboateng@ups.com</t>
  </si>
  <si>
    <t>cboatright@ups.com</t>
  </si>
  <si>
    <t>aboatwright@ups.com</t>
  </si>
  <si>
    <t>rboatwright@ups.com</t>
  </si>
  <si>
    <t>tboatwright@ups.com</t>
  </si>
  <si>
    <t>cboaz@connectship.com</t>
  </si>
  <si>
    <t>BOB.COLLINS@WIRTGEN-GROUP.COM</t>
  </si>
  <si>
    <t>bob@niteksusa.com</t>
  </si>
  <si>
    <t>RCOLLINS@WIRTGENAMERICA.COM</t>
  </si>
  <si>
    <t>bdavis@totousa.com</t>
  </si>
  <si>
    <t>bob.han@samsung.com</t>
  </si>
  <si>
    <t>bjones@mooncompanys.net</t>
  </si>
  <si>
    <t>importexportcompliance@infocus.com</t>
  </si>
  <si>
    <t>blach@rcsgifts.com</t>
  </si>
  <si>
    <t>bob.lynch@oneida.com</t>
  </si>
  <si>
    <t>bob.mcginnis@hp.com</t>
  </si>
  <si>
    <t>rmcckone@milsco.com</t>
  </si>
  <si>
    <t>bnewman@fabricut.com</t>
  </si>
  <si>
    <t>v3Ops1@gmail.com</t>
  </si>
  <si>
    <t>robert.rivera@unisys.com</t>
  </si>
  <si>
    <t>bob.taussig@molex.com</t>
  </si>
  <si>
    <t>RT124660@ncr.com</t>
  </si>
  <si>
    <t>robert.l.violette@faa.gov</t>
  </si>
  <si>
    <t>bob.warner@mouser.com</t>
  </si>
  <si>
    <t>bz123509@ncr.com</t>
  </si>
  <si>
    <t>Bob.a.johnson@compaq.com</t>
  </si>
  <si>
    <t>bob.a.johnson@hp.com</t>
  </si>
  <si>
    <t>bob.chaffers@compaq.com</t>
  </si>
  <si>
    <t>bob.cox@future.ca.com</t>
  </si>
  <si>
    <t>bob.hardy.b@us.agfa.com</t>
  </si>
  <si>
    <t>Bob.Hood@usa.xerox.com</t>
  </si>
  <si>
    <t>Bob.walsh@compaq.com</t>
  </si>
  <si>
    <t>nbobade@ups.com</t>
  </si>
  <si>
    <t>abobadilla@ups.com</t>
  </si>
  <si>
    <t>kbobadilla@ups.com</t>
  </si>
  <si>
    <t>pbobadilla@ups.com</t>
  </si>
  <si>
    <t>sbobbala@ups.com</t>
  </si>
  <si>
    <t>mbobbe@ups.com</t>
  </si>
  <si>
    <t>fbobbert@ups.com</t>
  </si>
  <si>
    <t>bobbie.simmons@timken.com</t>
  </si>
  <si>
    <t>hbobbili@ups.com</t>
  </si>
  <si>
    <t>gbobbitt@ups.com</t>
  </si>
  <si>
    <t>sbobbitt@ups.com</t>
  </si>
  <si>
    <t>mbobbo@ups.com</t>
  </si>
  <si>
    <t>dbobbsemple@ups.com</t>
  </si>
  <si>
    <t>cbobby@ups.com</t>
  </si>
  <si>
    <t>bgould@capitaldelivery.com</t>
  </si>
  <si>
    <t>bseo@ups.com</t>
  </si>
  <si>
    <t>rbobeck@ups.com</t>
  </si>
  <si>
    <t>ebobeles@ups.com</t>
  </si>
  <si>
    <t>dbobenrieth@ups.com</t>
  </si>
  <si>
    <t>tbobic@ups.com</t>
  </si>
  <si>
    <t>kbobis@ups.com</t>
  </si>
  <si>
    <t>mbobis@ups.com</t>
  </si>
  <si>
    <t>jbobka@ups.com</t>
  </si>
  <si>
    <t>tboblitt@ups.com</t>
  </si>
  <si>
    <t>dbobo@ups.com</t>
  </si>
  <si>
    <t>ebobo@ups.com</t>
  </si>
  <si>
    <t>mbobo@ups.com</t>
  </si>
  <si>
    <t>kbobos@ups.com</t>
  </si>
  <si>
    <t>zbobos@ups.com</t>
  </si>
  <si>
    <t>ybobovnikova@ups.com</t>
  </si>
  <si>
    <t>dbobovsky@ups.com</t>
  </si>
  <si>
    <t>sbobrov@ups.com</t>
  </si>
  <si>
    <t>abobrowska@ups.com</t>
  </si>
  <si>
    <t>marcusbobrowski@ups.com</t>
  </si>
  <si>
    <t>mbobrowski@ups.com</t>
  </si>
  <si>
    <t>abobryk@ups.com</t>
  </si>
  <si>
    <t>bbobul@ups.com</t>
  </si>
  <si>
    <t>dbocaletti@ups.com</t>
  </si>
  <si>
    <t>fbocanegrajr@ups.com</t>
  </si>
  <si>
    <t>lbocanegra@ups.com</t>
  </si>
  <si>
    <t>mbocanegra@ups.com</t>
  </si>
  <si>
    <t>jbocek@ups.com</t>
  </si>
  <si>
    <t>kbocek@ups.com</t>
  </si>
  <si>
    <t>jboche@ups.com</t>
  </si>
  <si>
    <t>ebochenska@ups.com</t>
  </si>
  <si>
    <t>fbochet@ups.com</t>
  </si>
  <si>
    <t>alysabochicchio@ups.com</t>
  </si>
  <si>
    <t>rbochnak@ups.com</t>
  </si>
  <si>
    <t>kbochniarz@ups.com</t>
  </si>
  <si>
    <t>pbochnowski@ups.com</t>
  </si>
  <si>
    <t>abochowicz@ups.com</t>
  </si>
  <si>
    <t>bbock@ups.com</t>
  </si>
  <si>
    <t>cbock@ups.com</t>
  </si>
  <si>
    <t>coltonbock@ups.com</t>
  </si>
  <si>
    <t>gbock@ups.com</t>
  </si>
  <si>
    <t>gregbbock@ups.com</t>
  </si>
  <si>
    <t>ibock@ups.com</t>
  </si>
  <si>
    <t>lbock@ups.com</t>
  </si>
  <si>
    <t>mbockert@ups.com</t>
  </si>
  <si>
    <t>katebockhop@ups.com</t>
  </si>
  <si>
    <t>ebockmeyer@ups.com</t>
  </si>
  <si>
    <t>tbockting@ups.com</t>
  </si>
  <si>
    <t>cbocox@ups.com</t>
  </si>
  <si>
    <t>lbocquet@ups.com</t>
  </si>
  <si>
    <t>maciejboczek@ups.com</t>
  </si>
  <si>
    <t>mboda@ups.com</t>
  </si>
  <si>
    <t>bsupriya@ups.com</t>
  </si>
  <si>
    <t>FRA1GZB@europe.ups.com</t>
  </si>
  <si>
    <t>jbodas@ups.com</t>
  </si>
  <si>
    <t>jbodbyl@ups.com</t>
  </si>
  <si>
    <t>bbodden@ups.com</t>
  </si>
  <si>
    <t>jbodden@ups.com</t>
  </si>
  <si>
    <t>jeuzbodden@ups.com</t>
  </si>
  <si>
    <t>sbodden@ups.com</t>
  </si>
  <si>
    <t>cboddie@ups.com</t>
  </si>
  <si>
    <t>kboddie@ups.com</t>
  </si>
  <si>
    <t>tboddie@ups.com</t>
  </si>
  <si>
    <t>hboddin@ups.com</t>
  </si>
  <si>
    <t>kboddu@ups.com</t>
  </si>
  <si>
    <t>vboddu@ups.com</t>
  </si>
  <si>
    <t>rboddula@ups.com</t>
  </si>
  <si>
    <t>kbodduluri@ups.com</t>
  </si>
  <si>
    <t>sboddupalli@ups.com</t>
  </si>
  <si>
    <t>cbodeau@ups.com</t>
  </si>
  <si>
    <t>dbodelier@ups.com</t>
  </si>
  <si>
    <t>dboden@ups.com</t>
  </si>
  <si>
    <t>iboden@ups.com</t>
  </si>
  <si>
    <t>mboden@ups.com</t>
  </si>
  <si>
    <t>nadine.boden@europe.ups.com</t>
  </si>
  <si>
    <t>rboden@ups.com</t>
  </si>
  <si>
    <t>cbodenbender@ups.com</t>
  </si>
  <si>
    <t>abodie@ups.com</t>
  </si>
  <si>
    <t>dbodily@ups.com</t>
  </si>
  <si>
    <t>adinabodkins@ups.com</t>
  </si>
  <si>
    <t>zbodla@ups.com</t>
  </si>
  <si>
    <t>nbodlaj@ups.com</t>
  </si>
  <si>
    <t>bbodle@ups.com</t>
  </si>
  <si>
    <t>jbodle@ups.com</t>
  </si>
  <si>
    <t>rbodle@ups.com</t>
  </si>
  <si>
    <t>mbodley@ups.com</t>
  </si>
  <si>
    <t>tbodman@ups.com</t>
  </si>
  <si>
    <t>cbodnar@ups.com</t>
  </si>
  <si>
    <t>craigbodnar@ups.com</t>
  </si>
  <si>
    <t>jasonbodnar@ups.com</t>
  </si>
  <si>
    <t>jbodnar@ups.com</t>
  </si>
  <si>
    <t>lbodnar@ups.com</t>
  </si>
  <si>
    <t>nsbodnar@ups.com</t>
  </si>
  <si>
    <t>rbodnar@oliverproducts.com</t>
  </si>
  <si>
    <t>mbodnaruk@ups.com</t>
  </si>
  <si>
    <t>dbodrug@ups.com</t>
  </si>
  <si>
    <t>rbodson@ups.com</t>
  </si>
  <si>
    <t>dbody@ups.com</t>
  </si>
  <si>
    <t>tbody@ups.com</t>
  </si>
  <si>
    <t>bodyline@aol.com</t>
  </si>
  <si>
    <t>tbodzian@ups.com</t>
  </si>
  <si>
    <t>oliver.boebel@europe.ups.com</t>
  </si>
  <si>
    <t>cboeck@ups.com</t>
  </si>
  <si>
    <t>mboecker@ups.com</t>
  </si>
  <si>
    <t>cboeckman@ups.com</t>
  </si>
  <si>
    <t>bernhard.boeckmann@europe.ups.com</t>
  </si>
  <si>
    <t>oboedecker@ups.com</t>
  </si>
  <si>
    <t>nboedner@ups.com</t>
  </si>
  <si>
    <t>bboegel@ups.com</t>
  </si>
  <si>
    <t>rboegemann@ups.com</t>
  </si>
  <si>
    <t>mboeglin@ups.com</t>
  </si>
  <si>
    <t>christianeboehl@ups.com</t>
  </si>
  <si>
    <t>christophboehlke@ups.com</t>
  </si>
  <si>
    <t>dboehm@ups.com</t>
  </si>
  <si>
    <t>hboehm@ups.com</t>
  </si>
  <si>
    <t>mboehm1@ups.com</t>
  </si>
  <si>
    <t>mboehm@ups.com</t>
  </si>
  <si>
    <t>sboehm@ups.com</t>
  </si>
  <si>
    <t>thomas.boehm@europe.ups.com</t>
  </si>
  <si>
    <t>tracieboehm@ups.com</t>
  </si>
  <si>
    <t>wboehm@ups.com</t>
  </si>
  <si>
    <t>jboehman@ups.com</t>
  </si>
  <si>
    <t>aboehme@ups.com</t>
  </si>
  <si>
    <t>cboehme@ups.com</t>
  </si>
  <si>
    <t>dieterboehme@ups.com</t>
  </si>
  <si>
    <t>mboehme@ups.com</t>
  </si>
  <si>
    <t>aboehmer@ups.com</t>
  </si>
  <si>
    <t>andreasboehmer@ups.com</t>
  </si>
  <si>
    <t>c.boehmer@europe.ups.com</t>
  </si>
  <si>
    <t>dboehning@ups.com</t>
  </si>
  <si>
    <t>elke.boehnke@europe.ups.com</t>
  </si>
  <si>
    <t>mboehnke@ups.com</t>
  </si>
  <si>
    <t>maximilianboehnke@ups.com</t>
  </si>
  <si>
    <t>melanieboehnke@ups.com</t>
  </si>
  <si>
    <t>dboehnlein@ups.com</t>
  </si>
  <si>
    <t>bfssdf@boeing.com</t>
  </si>
  <si>
    <t>mboekamp@ups.com</t>
  </si>
  <si>
    <t>nboenicke@ups.com</t>
  </si>
  <si>
    <t>grazyna.boenning@europe.ups.com</t>
  </si>
  <si>
    <t>bboenski@ups.com</t>
  </si>
  <si>
    <t>jboer@ups.com</t>
  </si>
  <si>
    <t>johan.boer@ups.com</t>
  </si>
  <si>
    <t>jboerger@ups.com</t>
  </si>
  <si>
    <t>fboerleider@ups.com</t>
  </si>
  <si>
    <t>jboerman@ups.com</t>
  </si>
  <si>
    <t>nboerner@ups.com</t>
  </si>
  <si>
    <t>lboers@ups.com</t>
  </si>
  <si>
    <t>oboers@ups.com</t>
  </si>
  <si>
    <t>aboes@ups.com</t>
  </si>
  <si>
    <t>dboesch@ups.com</t>
  </si>
  <si>
    <t>aboesche@ups.com</t>
  </si>
  <si>
    <t>eboese@ups.com</t>
  </si>
  <si>
    <t>aboesinger@ups.com</t>
  </si>
  <si>
    <t>hboessen@ups.com</t>
  </si>
  <si>
    <t>sboesten@ups.com</t>
  </si>
  <si>
    <t>gboettcher@ups.com</t>
  </si>
  <si>
    <t>rachelboettcher@ups.com</t>
  </si>
  <si>
    <t>rboettcher@ups.com</t>
  </si>
  <si>
    <t>gboettger@ups.com</t>
  </si>
  <si>
    <t>lboettger@ups.com</t>
  </si>
  <si>
    <t>marionboettinger@ups.com</t>
  </si>
  <si>
    <t>fboeufs@upslogistics.fr</t>
  </si>
  <si>
    <t>mboewe@ups.com</t>
  </si>
  <si>
    <t>fboeyuekbas@ups.com</t>
  </si>
  <si>
    <t>dbof@ups.com</t>
  </si>
  <si>
    <t>jboffaii@ups.com</t>
  </si>
  <si>
    <t>nboffa@ups.com</t>
  </si>
  <si>
    <t>rboffman@ups.com</t>
  </si>
  <si>
    <t>bofillmarivic@ups.com</t>
  </si>
  <si>
    <t>aboga@ups.com</t>
  </si>
  <si>
    <t>dbogaarts@ups.com</t>
  </si>
  <si>
    <t>lbogacz@ups.com</t>
  </si>
  <si>
    <t>jbogaerts@ups.com</t>
  </si>
  <si>
    <t>lbogaerts@ups.com</t>
  </si>
  <si>
    <t>abogan@ups.com</t>
  </si>
  <si>
    <t>dbogan@ups.com</t>
  </si>
  <si>
    <t>sbogans@ups.com</t>
  </si>
  <si>
    <t>bbogansky@ups.com</t>
  </si>
  <si>
    <t>mauriciobogantes@ups.com</t>
  </si>
  <si>
    <t>vbogantesvega@ups.com</t>
  </si>
  <si>
    <t>fbogar@ups.com</t>
  </si>
  <si>
    <t>kbogar@ups.com</t>
  </si>
  <si>
    <t>vbogar@ups.com</t>
  </si>
  <si>
    <t>cbogard@ups.com</t>
  </si>
  <si>
    <t>dbogardus@ups.com</t>
  </si>
  <si>
    <t>tbogardus@ups.com</t>
  </si>
  <si>
    <t>rbogdaniuk@ups.com</t>
  </si>
  <si>
    <t>EUR8TTB@europe.ups.com</t>
  </si>
  <si>
    <t>ebogdanska@ups.com</t>
  </si>
  <si>
    <t>gbogdanski@ups.com</t>
  </si>
  <si>
    <t>jbogdanski@ups.com</t>
  </si>
  <si>
    <t>kbogdoll@ups.com</t>
  </si>
  <si>
    <t>tbogdoll@ups.com</t>
  </si>
  <si>
    <t>mbogema@ups.com</t>
  </si>
  <si>
    <t>tbogema@ups.com</t>
  </si>
  <si>
    <t>jbogenschutz@ups.com</t>
  </si>
  <si>
    <t>bboger@ups.com</t>
  </si>
  <si>
    <t>lboger@ups.com</t>
  </si>
  <si>
    <t>mboger@ups.com</t>
  </si>
  <si>
    <t>scottboger@ups.com</t>
  </si>
  <si>
    <t>sboger@ups.com</t>
  </si>
  <si>
    <t>tboger@ups.com</t>
  </si>
  <si>
    <t>gboggala@ups.com</t>
  </si>
  <si>
    <t>jboggess@ups.com</t>
  </si>
  <si>
    <t>mboggess@ups.com</t>
  </si>
  <si>
    <t>aboggs@ups.com</t>
  </si>
  <si>
    <t>bboggs1@ups.com</t>
  </si>
  <si>
    <t>bboggs@ups.com</t>
  </si>
  <si>
    <t>lboggs@ups.com</t>
  </si>
  <si>
    <t>matthewboggs@ups.com</t>
  </si>
  <si>
    <t>meghanboggs@ups.com</t>
  </si>
  <si>
    <t>rboggs@ups.com</t>
  </si>
  <si>
    <t>tboggs@ups.com</t>
  </si>
  <si>
    <t>laszlokieferbognar@ups.com</t>
  </si>
  <si>
    <t>bbogojevic@ups.com</t>
  </si>
  <si>
    <t>heike.bogorinski@europe.ups.com</t>
  </si>
  <si>
    <t>bbogovic@ups.com</t>
  </si>
  <si>
    <t>pbogucki@ups.com</t>
  </si>
  <si>
    <t>bbogue@ups.com</t>
  </si>
  <si>
    <t>jbogumil@ups.com</t>
  </si>
  <si>
    <t>aboguslawska@ups.com</t>
  </si>
  <si>
    <t>mboguslawska@ups.com</t>
  </si>
  <si>
    <t>kboguszewicz@ups.com</t>
  </si>
  <si>
    <t>jbohak@ups.com</t>
  </si>
  <si>
    <t>dbohan@ups.com</t>
  </si>
  <si>
    <t>bbohannon@ups.com</t>
  </si>
  <si>
    <t>dbohannon@ups.com</t>
  </si>
  <si>
    <t>jbohanon@ups.com</t>
  </si>
  <si>
    <t>jasonbohanon@ups.com</t>
  </si>
  <si>
    <t>abohatch@ups.com</t>
  </si>
  <si>
    <t>dbohdan@ups.com</t>
  </si>
  <si>
    <t>jolantabohdan@ups.com</t>
  </si>
  <si>
    <t>claesbohl@ups.com</t>
  </si>
  <si>
    <t>ibohl@ups.com</t>
  </si>
  <si>
    <t>dbohle@ups.com</t>
  </si>
  <si>
    <t>dirk.bohlem@europe.ups.com</t>
  </si>
  <si>
    <t>abohler@ups.com</t>
  </si>
  <si>
    <t>bobbie.bohn@ups.com</t>
  </si>
  <si>
    <t>gbohn@ups.com</t>
  </si>
  <si>
    <t>jbohn@ups.com</t>
  </si>
  <si>
    <t>josephbohn@ups.com</t>
  </si>
  <si>
    <t>lindabohn@ups.com</t>
  </si>
  <si>
    <t>lbohn@ups.com</t>
  </si>
  <si>
    <t>mbohn@ups.com</t>
  </si>
  <si>
    <t>abohne@ups.com</t>
  </si>
  <si>
    <t>kbohne@ups.com</t>
  </si>
  <si>
    <t>pbohne@ups.com</t>
  </si>
  <si>
    <t>jbohner@ups.com</t>
  </si>
  <si>
    <t>nbohny@ups.com</t>
  </si>
  <si>
    <t>jbohon@ups.com</t>
  </si>
  <si>
    <t>gbohorquezgonzalez@ups.com</t>
  </si>
  <si>
    <t>tbohr@ups.com</t>
  </si>
  <si>
    <t>sbohrer@ups.com</t>
  </si>
  <si>
    <t>mbohrerhayes@ups.com</t>
  </si>
  <si>
    <t>ralf.bohsig@europe.ups.com</t>
  </si>
  <si>
    <t>dbohto@ups.com</t>
  </si>
  <si>
    <t>rboichuk@ups.com</t>
  </si>
  <si>
    <t>sboidin@ups.com</t>
  </si>
  <si>
    <t>cboillot@ups.com</t>
  </si>
  <si>
    <t>dboinske@ups.com</t>
  </si>
  <si>
    <t>cboire@ups.com</t>
  </si>
  <si>
    <t>boiron@ups.com</t>
  </si>
  <si>
    <t>eboisclair@ups.com</t>
  </si>
  <si>
    <t>jboise@ups.com</t>
  </si>
  <si>
    <t>mboisseau@ups.com</t>
  </si>
  <si>
    <t>bboisserie@ups.com</t>
  </si>
  <si>
    <t>edwige.boissinot@europe.ups.com</t>
  </si>
  <si>
    <t>dboitel@ups.com</t>
  </si>
  <si>
    <t>dboitsova@ups.com</t>
  </si>
  <si>
    <t>erikboivie@ups.com</t>
  </si>
  <si>
    <t>jan.boivin@europe.ups.com</t>
  </si>
  <si>
    <t>aboizis@ups.com</t>
  </si>
  <si>
    <t>lbojanowska@ups.com</t>
  </si>
  <si>
    <t>mbojec@ups.com</t>
  </si>
  <si>
    <t>abojicic@ups.com</t>
  </si>
  <si>
    <t>arnelabojicic@ups.com</t>
  </si>
  <si>
    <t>rbojja@ups.com</t>
  </si>
  <si>
    <t>mbojneag@ups.com</t>
  </si>
  <si>
    <t>abojorge@ups.com</t>
  </si>
  <si>
    <t>bmohanr@ups.com</t>
  </si>
  <si>
    <t>cbokaria@ups.com</t>
  </si>
  <si>
    <t>baubrey@ups.com</t>
  </si>
  <si>
    <t>sbokka@ups.com</t>
  </si>
  <si>
    <t>mbokoum@ups.com</t>
  </si>
  <si>
    <t>dboksan@ups.com</t>
  </si>
  <si>
    <t>mboksz@ups.com</t>
  </si>
  <si>
    <t>wesamboktor@ups.com</t>
  </si>
  <si>
    <t>abol@ups.com</t>
  </si>
  <si>
    <t>cbol@ups.com</t>
  </si>
  <si>
    <t>joannabolafka@ups.com</t>
  </si>
  <si>
    <t>jbolafka@ups.com</t>
  </si>
  <si>
    <t>nbolaji@ups.com</t>
  </si>
  <si>
    <t>kbolan@ups.com</t>
  </si>
  <si>
    <t>antebolanca@ups.com</t>
  </si>
  <si>
    <t>aboland@ups.com</t>
  </si>
  <si>
    <t>bboland@ups.com</t>
  </si>
  <si>
    <t>cboland@ups.com</t>
  </si>
  <si>
    <t>dboland1@ups.com</t>
  </si>
  <si>
    <t>davidboland@ups.com</t>
  </si>
  <si>
    <t>dboland@ups.com</t>
  </si>
  <si>
    <t>derekboland@ups.com</t>
  </si>
  <si>
    <t>eboland@ups.com</t>
  </si>
  <si>
    <t>LBOLAND@upsstore.com</t>
  </si>
  <si>
    <t>pboland@ups.com</t>
  </si>
  <si>
    <t>sboland@ups.com</t>
  </si>
  <si>
    <t>lbolandrini@ups.com</t>
  </si>
  <si>
    <t>Bolanos.Beatriz@ups.com</t>
  </si>
  <si>
    <t>bbolanos@ups.com</t>
  </si>
  <si>
    <t>ebolanos@ups.com</t>
  </si>
  <si>
    <t>bolanosmacristina@ups.com</t>
  </si>
  <si>
    <t>michaelbolanos@ups.com</t>
  </si>
  <si>
    <t>mbolanoselizondo@ups.com</t>
  </si>
  <si>
    <t>katarzynabolanowska@ups.com</t>
  </si>
  <si>
    <t>jbolante@ups.com</t>
  </si>
  <si>
    <t>bbolar@ups.com</t>
  </si>
  <si>
    <t>jbolash@ups.com</t>
  </si>
  <si>
    <t>mbolat@ups.com</t>
  </si>
  <si>
    <t>bbold@ups.com</t>
  </si>
  <si>
    <t>abolden@ups.com</t>
  </si>
  <si>
    <t>brucebolden@ups.com</t>
  </si>
  <si>
    <t>dbolden@ups.com</t>
  </si>
  <si>
    <t>jbolden@ups.com</t>
  </si>
  <si>
    <t>martikabolden@ups.com</t>
  </si>
  <si>
    <t>mbolden@ups.com</t>
  </si>
  <si>
    <t>wbolden@ups.com</t>
  </si>
  <si>
    <t>woodybolden@ups.com</t>
  </si>
  <si>
    <t>rboldin@ups.com</t>
  </si>
  <si>
    <t>jbolding@ups.com</t>
  </si>
  <si>
    <t>aboldrini@ups.com</t>
  </si>
  <si>
    <t>mbolduc@ups.com</t>
  </si>
  <si>
    <t>matthewbolduc@ups.com</t>
  </si>
  <si>
    <t>cbolen@ups.com</t>
  </si>
  <si>
    <t>dbolen@ups.com</t>
  </si>
  <si>
    <t>ebolen@ups.com</t>
  </si>
  <si>
    <t>lisabolen@ups.com</t>
  </si>
  <si>
    <t>cbolena@ups.com</t>
  </si>
  <si>
    <t>cboler@ups.com</t>
  </si>
  <si>
    <t>tboler@ups.com</t>
  </si>
  <si>
    <t>kboles@ups.com</t>
  </si>
  <si>
    <t>micheleboles@ups.com</t>
  </si>
  <si>
    <t>rboles@ups.com</t>
  </si>
  <si>
    <t>boletincomext@ups.com</t>
  </si>
  <si>
    <t>kameronboleware@ups.com</t>
  </si>
  <si>
    <t>kboley@ups.com</t>
  </si>
  <si>
    <t>rboley@ups.com</t>
  </si>
  <si>
    <t>abolf@ups.com</t>
  </si>
  <si>
    <t>dbolf@ups.com</t>
  </si>
  <si>
    <t>cbolger@ups.com</t>
  </si>
  <si>
    <t>tbolgert@ups.com</t>
  </si>
  <si>
    <t>mbolha@ups.com</t>
  </si>
  <si>
    <t>tbolho@ups.com</t>
  </si>
  <si>
    <t>jbolin@ups.com</t>
  </si>
  <si>
    <t>kbolin@ups.com</t>
  </si>
  <si>
    <t>dbolinder@ups.com</t>
  </si>
  <si>
    <t>mbolinski@ups.com</t>
  </si>
  <si>
    <t>sbolisetti@ups.com</t>
  </si>
  <si>
    <t>abolisvergari@ups.com</t>
  </si>
  <si>
    <t>jbolivarvalero@ups.com</t>
  </si>
  <si>
    <t>vbolivar@ups.com</t>
  </si>
  <si>
    <t>cbollana@ups.com</t>
  </si>
  <si>
    <t>kbolland@ups.com</t>
  </si>
  <si>
    <t>laura.bollani@ups.com</t>
  </si>
  <si>
    <t>bbollard@ups.com</t>
  </si>
  <si>
    <t>bolleaeit@ups.com</t>
  </si>
  <si>
    <t>jbollen@ups.com</t>
  </si>
  <si>
    <t>bbollenbach@ups.com</t>
  </si>
  <si>
    <t>tbollenbacher@ups.com</t>
  </si>
  <si>
    <t>rbollenberghe@ups.com</t>
  </si>
  <si>
    <t>mbollig@ups.com</t>
  </si>
  <si>
    <t>kbolliger@ups.com</t>
  </si>
  <si>
    <t>pbollineni@ups.com</t>
  </si>
  <si>
    <t>sbollineni@ups.com</t>
  </si>
  <si>
    <t>cbolling@ups.com</t>
  </si>
  <si>
    <t>jbolling@ups.com</t>
  </si>
  <si>
    <t>sbolling@ups.com</t>
  </si>
  <si>
    <t>nbollinger@ups.com</t>
  </si>
  <si>
    <t>rbollinger@ups.com</t>
  </si>
  <si>
    <t>sbollinger@ups.com</t>
  </si>
  <si>
    <t>abollito@ups.com</t>
  </si>
  <si>
    <t>tbollock@ups.com</t>
  </si>
  <si>
    <t>abollog@ups.com</t>
  </si>
  <si>
    <t>dbolock@ups.com</t>
  </si>
  <si>
    <t>bolognahub@ups.com</t>
  </si>
  <si>
    <t>bolognacenterteam@ups.com</t>
  </si>
  <si>
    <t>cbolognesi@ups.com</t>
  </si>
  <si>
    <t>ibolorin@ups.com</t>
  </si>
  <si>
    <t>dbolotsky@ups.com</t>
  </si>
  <si>
    <t>gbols@ups.com</t>
  </si>
  <si>
    <t>upsjobs@ups.com</t>
  </si>
  <si>
    <t>vbolschakow@ups.com</t>
  </si>
  <si>
    <t>jbolsen@ups.com</t>
  </si>
  <si>
    <t>kbolser@ups.com</t>
  </si>
  <si>
    <t>lbolser@ups.com</t>
  </si>
  <si>
    <t>dbolsover@ups.com</t>
  </si>
  <si>
    <t>gbolsta@ups.com</t>
  </si>
  <si>
    <t>dbolstein@ups.com</t>
  </si>
  <si>
    <t>rbolster@ups.com</t>
  </si>
  <si>
    <t>bolt.expressrdu@gmail.com</t>
  </si>
  <si>
    <t>dispatch@bolt-express.com</t>
  </si>
  <si>
    <t>mboltalina@ups.com</t>
  </si>
  <si>
    <t>rbolten@ups.com</t>
  </si>
  <si>
    <t>abolton@ups.com</t>
  </si>
  <si>
    <t>ebolton@ups.com</t>
  </si>
  <si>
    <t>haroldbolton@ups.com</t>
  </si>
  <si>
    <t>jhbolton@ups.com</t>
  </si>
  <si>
    <t>kbolton@ups.com</t>
  </si>
  <si>
    <t>meaganbolton@ups.com</t>
  </si>
  <si>
    <t>mbolton@ups.com</t>
  </si>
  <si>
    <t>mikebolton@ups.com</t>
  </si>
  <si>
    <t>sbolton@ups.com</t>
  </si>
  <si>
    <t>williambolton@ups.com</t>
  </si>
  <si>
    <t>wbolton@ups.com</t>
  </si>
  <si>
    <t>halina.boltryk@europe.ups.com</t>
  </si>
  <si>
    <t>dboltz@ups.com</t>
  </si>
  <si>
    <t>jboltz@ups.com</t>
  </si>
  <si>
    <t>stephenbolwell@ups.com</t>
  </si>
  <si>
    <t>mboly@ups.com</t>
  </si>
  <si>
    <t>jbolyard@ups.com</t>
  </si>
  <si>
    <t>pbolyard@ups.com</t>
  </si>
  <si>
    <t>sandra.bolz@europe.ups.com</t>
  </si>
  <si>
    <t>cbolzonella@ups.com</t>
  </si>
  <si>
    <t>gbolzoni@ups.com</t>
  </si>
  <si>
    <t>bombrkcargo@ups.com</t>
  </si>
  <si>
    <t>bombrkexp@ups.com</t>
  </si>
  <si>
    <t>mumbaihubops@ups.com</t>
  </si>
  <si>
    <t>mboman@ups.com</t>
  </si>
  <si>
    <t>abomani@ups.com</t>
  </si>
  <si>
    <t>abomar@ups.com</t>
  </si>
  <si>
    <t>cbomar@ups.com</t>
  </si>
  <si>
    <t>rbomar@ups.com</t>
  </si>
  <si>
    <t>jbomarv@ups.com</t>
  </si>
  <si>
    <t>abombala@ups.com</t>
  </si>
  <si>
    <t>mbombale@ups.com</t>
  </si>
  <si>
    <t>ebombara@ups.com</t>
  </si>
  <si>
    <t>cbombardier@ups.com</t>
  </si>
  <si>
    <t>lbombardier@ups.com</t>
  </si>
  <si>
    <t>bpradnya@ups.com</t>
  </si>
  <si>
    <t>bomkyc@ups.com</t>
  </si>
  <si>
    <t>rbommanal@ups.com</t>
  </si>
  <si>
    <t>sbommer@ups.com</t>
  </si>
  <si>
    <t>ebon@ups.com</t>
  </si>
  <si>
    <t>federica.bona@europe.ups.com</t>
  </si>
  <si>
    <t>jbonachea@ups.com</t>
  </si>
  <si>
    <t>cbonacina@ups.com</t>
  </si>
  <si>
    <t>lbonacker@ups.com</t>
  </si>
  <si>
    <t>ebonadeni@ups.com</t>
  </si>
  <si>
    <t>jbonafe@ups.com</t>
  </si>
  <si>
    <t>fbonafede@ups.com</t>
  </si>
  <si>
    <t>tbonafino@ups.com</t>
  </si>
  <si>
    <t>bbenjie@ups.com</t>
  </si>
  <si>
    <t>tbonagura@ups.com</t>
  </si>
  <si>
    <t>marco.bonandini@ups.com</t>
  </si>
  <si>
    <t>ccbonanno@ups.com</t>
  </si>
  <si>
    <t>fbonanno@ups.com</t>
  </si>
  <si>
    <t>jbonar@ups.com</t>
  </si>
  <si>
    <t>jbonasia@ups.com</t>
  </si>
  <si>
    <t>abonasoro@ups.com</t>
  </si>
  <si>
    <t>giorgia.bonazzi@europe.ups.com</t>
  </si>
  <si>
    <t>mboncu@ups.com</t>
  </si>
  <si>
    <t>ebonczek@ups.com</t>
  </si>
  <si>
    <t>mbonczyk@ups.com</t>
  </si>
  <si>
    <t>abond@ups.com</t>
  </si>
  <si>
    <t>bfbond@ups.com</t>
  </si>
  <si>
    <t>bbond@ups.com</t>
  </si>
  <si>
    <t>brantbond@ups.com</t>
  </si>
  <si>
    <t>breannabond@ups.com</t>
  </si>
  <si>
    <t>brentbond@ups.com</t>
  </si>
  <si>
    <t>cbond@ups.com</t>
  </si>
  <si>
    <t>davidbond@ups.com</t>
  </si>
  <si>
    <t>dbond@ups.com</t>
  </si>
  <si>
    <t>gxbond@ups.com</t>
  </si>
  <si>
    <t>bondincentive@ups.com</t>
  </si>
  <si>
    <t>jeffreybond@ups.com</t>
  </si>
  <si>
    <t>kbond@ups.com</t>
  </si>
  <si>
    <t>latoyabond@ups.com</t>
  </si>
  <si>
    <t>lbond@ups.com</t>
  </si>
  <si>
    <t>minnellbond@ups.com</t>
  </si>
  <si>
    <t>natashabond@ups.com</t>
  </si>
  <si>
    <t>nathanbond@ups.com</t>
  </si>
  <si>
    <t>nbond@ups.com</t>
  </si>
  <si>
    <t>pbond@ups.com</t>
  </si>
  <si>
    <t>srbond@ups.com</t>
  </si>
  <si>
    <t>vbondsr@ups.com</t>
  </si>
  <si>
    <t>teresabond@ups.com</t>
  </si>
  <si>
    <t>tbond@ups.com</t>
  </si>
  <si>
    <t>breyjen@ups.com</t>
  </si>
  <si>
    <t>abondapalli@ups.com</t>
  </si>
  <si>
    <t>dbondarenko@ups.com</t>
  </si>
  <si>
    <t>mbonde@ups.com</t>
  </si>
  <si>
    <t>gisela.bondi@europe.ups.com</t>
  </si>
  <si>
    <t>bondocbrianmichael@ups.com</t>
  </si>
  <si>
    <t>franckbondoko@ups.com</t>
  </si>
  <si>
    <t>dbonds@ups.com</t>
  </si>
  <si>
    <t>derekbonds@ups.com</t>
  </si>
  <si>
    <t>jbonds@ups.com</t>
  </si>
  <si>
    <t>tammybonds@ups.com</t>
  </si>
  <si>
    <t>tbonds@ups.com</t>
  </si>
  <si>
    <t>dbondy@ups.com</t>
  </si>
  <si>
    <t>rbondy@ups.com</t>
  </si>
  <si>
    <t>stuart.bone@europe.ups.com</t>
  </si>
  <si>
    <t>rbonee@ups.com</t>
  </si>
  <si>
    <t>pbonelli@ups.com</t>
  </si>
  <si>
    <t>jboner@ups.com</t>
  </si>
  <si>
    <t>jaslynbones@ups.com</t>
  </si>
  <si>
    <t>jbones@ups.com</t>
  </si>
  <si>
    <t>jboness@ups.com</t>
  </si>
  <si>
    <t>sbonet@ups.com</t>
  </si>
  <si>
    <t>barbara.bonetti@ups.com</t>
  </si>
  <si>
    <t>sbonffenmayer@ups.com</t>
  </si>
  <si>
    <t>mbonfield@ups.com</t>
  </si>
  <si>
    <t>abonfigli@ups.com</t>
  </si>
  <si>
    <t>gbonfiglioli@ups.com</t>
  </si>
  <si>
    <t>vbonfiglioli@ups.com</t>
  </si>
  <si>
    <t>kbonfilio@ups.com</t>
  </si>
  <si>
    <t>lbonfilio@ups.com</t>
  </si>
  <si>
    <t>cbonfillon@ups.com</t>
  </si>
  <si>
    <t>jbong@ups.com</t>
  </si>
  <si>
    <t>bweimingjames@ups.com</t>
  </si>
  <si>
    <t>bangelique@ups.com</t>
  </si>
  <si>
    <t>bshrikrishna@ups.com</t>
  </si>
  <si>
    <t>bcatherine@ups.com</t>
  </si>
  <si>
    <t>mbongiorno@ups.com</t>
  </si>
  <si>
    <t>bjock@hicoamerica.com</t>
  </si>
  <si>
    <t>jbonhage@ups.com</t>
  </si>
  <si>
    <t>bonham.jill@ups.com</t>
  </si>
  <si>
    <t>rbonhard@ups.com</t>
  </si>
  <si>
    <t>boniello.ann@ups.com</t>
  </si>
  <si>
    <t>abonifacio@ups.com</t>
  </si>
  <si>
    <t>bangelic@ups.com</t>
  </si>
  <si>
    <t>bonifacioedwin@ups.com</t>
  </si>
  <si>
    <t>jbonifacio@ups.com</t>
  </si>
  <si>
    <t>breynalyn@ups.com</t>
  </si>
  <si>
    <t>catherinebonifas@ups.com</t>
  </si>
  <si>
    <t>alanbonilla@ups.com</t>
  </si>
  <si>
    <t>amandabonilla@ups.com</t>
  </si>
  <si>
    <t>aniciabonilla@ups.com</t>
  </si>
  <si>
    <t>abonilla@ups.com</t>
  </si>
  <si>
    <t>bbonilla@ups.com</t>
  </si>
  <si>
    <t>carlosbonilla@ups.com</t>
  </si>
  <si>
    <t>cherylbonilla@ups.com</t>
  </si>
  <si>
    <t>cbonilla@ups.com</t>
  </si>
  <si>
    <t>christopherbonilla@ups.com</t>
  </si>
  <si>
    <t>ebonilla@ups.com</t>
  </si>
  <si>
    <t>fatimabonilla@ups.com</t>
  </si>
  <si>
    <t>fbonilla@ups.com</t>
  </si>
  <si>
    <t>gbonilla@ups.com</t>
  </si>
  <si>
    <t>nbonilla@ups.com</t>
  </si>
  <si>
    <t>salvadorbonilla@ups.com</t>
  </si>
  <si>
    <t>kbonillavillarebia@ups.com</t>
  </si>
  <si>
    <t>ybonilla@ups.com</t>
  </si>
  <si>
    <t>dbonin@ups.com</t>
  </si>
  <si>
    <t>pbonin@ups.com</t>
  </si>
  <si>
    <t>pbonior@ups.com</t>
  </si>
  <si>
    <t>bonita@centralfireplace.com</t>
  </si>
  <si>
    <t>mbonjolo@ups.com</t>
  </si>
  <si>
    <t>dbonjorni@ups.com</t>
  </si>
  <si>
    <t>sbonjour@ups.com</t>
  </si>
  <si>
    <t>bbonk@ups.com</t>
  </si>
  <si>
    <t>ebonk@ups.com</t>
  </si>
  <si>
    <t>cbonke@ups.com</t>
  </si>
  <si>
    <t>cbonn@ups.com</t>
  </si>
  <si>
    <t>kbonn@ups.com</t>
  </si>
  <si>
    <t>nbonn@ups.com</t>
  </si>
  <si>
    <t>kbonnast@ups.com</t>
  </si>
  <si>
    <t>ybonneau@ups.com</t>
  </si>
  <si>
    <t>rafaelbonnelly@ups.com</t>
  </si>
  <si>
    <t>bonnema.bill@ups.com</t>
  </si>
  <si>
    <t>ebonnema@ups.com</t>
  </si>
  <si>
    <t>cbonner@ups.com</t>
  </si>
  <si>
    <t>davidbonner@ups.com</t>
  </si>
  <si>
    <t>djbonner@ups.com</t>
  </si>
  <si>
    <t>dbonner@ups.com</t>
  </si>
  <si>
    <t>gbonner@ups.com</t>
  </si>
  <si>
    <t>jbonner@ups.com</t>
  </si>
  <si>
    <t>lakieshabonner@ups.com</t>
  </si>
  <si>
    <t>mbonner@ups.com</t>
  </si>
  <si>
    <t>mildredbonner@ups.com</t>
  </si>
  <si>
    <t>pbonner@ups.com</t>
  </si>
  <si>
    <t>robertbonner@ups.com</t>
  </si>
  <si>
    <t>sbonner@ups.com</t>
  </si>
  <si>
    <t>bbonnet@ups.com</t>
  </si>
  <si>
    <t>FRA3CXB@europe.ups.com</t>
  </si>
  <si>
    <t>FRA2FXB@europe.ups.com</t>
  </si>
  <si>
    <t>wabonnett@ups.com</t>
  </si>
  <si>
    <t>joliebonnette@ups.com</t>
  </si>
  <si>
    <t>mbonnetty@upslogistics.fr</t>
  </si>
  <si>
    <t>jbonneville@ups.com</t>
  </si>
  <si>
    <t>kbonneville@ups.com</t>
  </si>
  <si>
    <t>tbonneville@ups.com</t>
  </si>
  <si>
    <t>jean-pierre.bonnewijn@europe.ups.com</t>
  </si>
  <si>
    <t>cbonney@ups.com</t>
  </si>
  <si>
    <t>dbonney@ups.com</t>
  </si>
  <si>
    <t>mandybonney@ups.com</t>
  </si>
  <si>
    <t>bonnick.bridget@ups.com</t>
  </si>
  <si>
    <t>bahlbrecht@gf.com</t>
  </si>
  <si>
    <t>bonnie.brooks@mgrc.com</t>
  </si>
  <si>
    <t>ip1sales@aol.com</t>
  </si>
  <si>
    <t>bonnie@cocalo.com</t>
  </si>
  <si>
    <t>payables@konigwheels.com</t>
  </si>
  <si>
    <t>bagordon@purefishing.com</t>
  </si>
  <si>
    <t>kbonnie@ups.com</t>
  </si>
  <si>
    <t>BONNIE.LAM@NIKE.COM</t>
  </si>
  <si>
    <t>jbonno@ups.com</t>
  </si>
  <si>
    <t>dbonnough@ups.com</t>
  </si>
  <si>
    <t>rbonnough@ups.com</t>
  </si>
  <si>
    <t>dbono@ups.com</t>
  </si>
  <si>
    <t>rbono@ups.com</t>
  </si>
  <si>
    <t>Bono.Sandi@ups.com</t>
  </si>
  <si>
    <t>tbono@ups.com</t>
  </si>
  <si>
    <t>bgerman@ups.com</t>
  </si>
  <si>
    <t>kbonome@ups.com</t>
  </si>
  <si>
    <t>dbonomo@ups.com</t>
  </si>
  <si>
    <t>sbonones@ups.com</t>
  </si>
  <si>
    <t>fbonora@ups.com</t>
  </si>
  <si>
    <t>mbonorino@ups.com</t>
  </si>
  <si>
    <t>hbonotti@upslogistics.fr</t>
  </si>
  <si>
    <t>abonsu@ups.com</t>
  </si>
  <si>
    <t>rbonsu@ups.com</t>
  </si>
  <si>
    <t>gbontadelli@ups.com</t>
  </si>
  <si>
    <t>jbontemps@ups.com</t>
  </si>
  <si>
    <t>hbonton@ups.com</t>
  </si>
  <si>
    <t>katerinabontsevich@ups.com</t>
  </si>
  <si>
    <t>nadia.bonvecchio@europe.ups.com</t>
  </si>
  <si>
    <t>ebonvillain@ups.com</t>
  </si>
  <si>
    <t>abonython@ups.com</t>
  </si>
  <si>
    <t>hboodhansingh@ups.com</t>
  </si>
  <si>
    <t>sboodhansingh@ups.com</t>
  </si>
  <si>
    <t>gboodhoo@ups.com</t>
  </si>
  <si>
    <t>kumar.boodhoo@ups.com</t>
  </si>
  <si>
    <t>dboodoo@ups.com</t>
  </si>
  <si>
    <t>cbooe@ups.com</t>
  </si>
  <si>
    <t>lbooher@ups.com</t>
  </si>
  <si>
    <t>pbooher@ups.com</t>
  </si>
  <si>
    <t>joan.booij@europe.ups.com</t>
  </si>
  <si>
    <t>abook@ups.com</t>
  </si>
  <si>
    <t>hbook@ups.com</t>
  </si>
  <si>
    <t>JBook@ups.com</t>
  </si>
  <si>
    <t>jordanbook@ups.com</t>
  </si>
  <si>
    <t>cbookamer@ups.com</t>
  </si>
  <si>
    <t>rbookard@ups.com</t>
  </si>
  <si>
    <t>abooker@ups.com</t>
  </si>
  <si>
    <t>anastasiabooker@ups.com</t>
  </si>
  <si>
    <t>boreybooker@ups.com</t>
  </si>
  <si>
    <t>bbooker@ups.com</t>
  </si>
  <si>
    <t>clydettebooker@ups.com</t>
  </si>
  <si>
    <t>dbooker@ups.com</t>
  </si>
  <si>
    <t>donellbooker@ups.com</t>
  </si>
  <si>
    <t>gbooker@ups.com</t>
  </si>
  <si>
    <t>jessicabooker@ups.com</t>
  </si>
  <si>
    <t>jbooker@ups.com</t>
  </si>
  <si>
    <t>jonathanbooker@ups.com</t>
  </si>
  <si>
    <t>bbookerjr@ups.com</t>
  </si>
  <si>
    <t>kendrabooker@ups.com</t>
  </si>
  <si>
    <t>kennethbooker@ups.com</t>
  </si>
  <si>
    <t>lbooker@ups.com</t>
  </si>
  <si>
    <t>qbooker@ups.com</t>
  </si>
  <si>
    <t>tamikabooker@ups.com</t>
  </si>
  <si>
    <t>tbooker@ups.com</t>
  </si>
  <si>
    <t>sbookerharvey@ups.com</t>
  </si>
  <si>
    <t>lbookhart@ups.com</t>
  </si>
  <si>
    <t>mbookman@ups.com</t>
  </si>
  <si>
    <t>lbookout@ups.com</t>
  </si>
  <si>
    <t>aboole@ups.com</t>
  </si>
  <si>
    <t>rboole@ups.com</t>
  </si>
  <si>
    <t>aboom@ups.com</t>
  </si>
  <si>
    <t>jboom@ups.com</t>
  </si>
  <si>
    <t>mike.boom@europe.ups.com</t>
  </si>
  <si>
    <t>dboomer@ups.com</t>
  </si>
  <si>
    <t>sboomer@ups.com</t>
  </si>
  <si>
    <t>tboomer@ups.com</t>
  </si>
  <si>
    <t>rboomershine@ups.com</t>
  </si>
  <si>
    <t>rboomhouwer@ups.com</t>
  </si>
  <si>
    <t>tboon@ups.com</t>
  </si>
  <si>
    <t>aboone@ups.com</t>
  </si>
  <si>
    <t>annieboone@ups.com</t>
  </si>
  <si>
    <t>austinboone@ups.com</t>
  </si>
  <si>
    <t>aboone1@ups.com</t>
  </si>
  <si>
    <t>bernardboone@ups.com</t>
  </si>
  <si>
    <t>beulahboone@ups.com</t>
  </si>
  <si>
    <t>bboone@ups.com</t>
  </si>
  <si>
    <t>brianboone@ups.com</t>
  </si>
  <si>
    <t>dboone@ups.com</t>
  </si>
  <si>
    <t>gboone@ups.com</t>
  </si>
  <si>
    <t>jboone@ups.com</t>
  </si>
  <si>
    <t>jordenboone@ups.com</t>
  </si>
  <si>
    <t>kelseyboone@ups.com</t>
  </si>
  <si>
    <t>kboone@ups.com</t>
  </si>
  <si>
    <t>koriboone@ups.com</t>
  </si>
  <si>
    <t>latoshaboone@ups.com</t>
  </si>
  <si>
    <t>mboone@ups.com</t>
  </si>
  <si>
    <t>nboone@ups.com</t>
  </si>
  <si>
    <t>rboone@ups.com</t>
  </si>
  <si>
    <t>sboone@ups.com</t>
  </si>
  <si>
    <t>tboone@ups.com</t>
  </si>
  <si>
    <t>wboone@ups.com</t>
  </si>
  <si>
    <t>williamboone@ups.com</t>
  </si>
  <si>
    <t>cboonen@ups.com</t>
  </si>
  <si>
    <t>bkanyamol@ups.com</t>
  </si>
  <si>
    <t>kboonsanay@ups.com</t>
  </si>
  <si>
    <t>bbhornwalan@ups.com</t>
  </si>
  <si>
    <t>kboonwong@ups.com</t>
  </si>
  <si>
    <t>bdarin@ups.com</t>
  </si>
  <si>
    <t>bpattarapong@ups.com</t>
  </si>
  <si>
    <t>dboop@ups.com</t>
  </si>
  <si>
    <t>uboopalraj@ups.com</t>
  </si>
  <si>
    <t>mboopathi@ups.com</t>
  </si>
  <si>
    <t>jasonboor@ups.com</t>
  </si>
  <si>
    <t>gboorman@ups.com</t>
  </si>
  <si>
    <t>jboorstein@ups.com</t>
  </si>
  <si>
    <t>jasonboos@ups.com</t>
  </si>
  <si>
    <t>jboos@ups.com</t>
  </si>
  <si>
    <t>charlesboose@ups.com</t>
  </si>
  <si>
    <t>cboose@ups.com</t>
  </si>
  <si>
    <t>gboose@ups.com</t>
  </si>
  <si>
    <t>hboose@ups.com</t>
  </si>
  <si>
    <t>jboosten@ups.com</t>
  </si>
  <si>
    <t>rbootan@ups.com</t>
  </si>
  <si>
    <t>abooth1@ups.com</t>
  </si>
  <si>
    <t>alexanderbooth@ups.com</t>
  </si>
  <si>
    <t>angelicabooth@ups.com</t>
  </si>
  <si>
    <t>abooth@ups.com</t>
  </si>
  <si>
    <t>bbooth@ups.com</t>
  </si>
  <si>
    <t>brianbooth@ups.com</t>
  </si>
  <si>
    <t>chantzbooth@ups.com</t>
  </si>
  <si>
    <t>cbooth@ups.com</t>
  </si>
  <si>
    <t>dbooth@ups.com</t>
  </si>
  <si>
    <t>gbooth@ups.com</t>
  </si>
  <si>
    <t>jxbooth@ups.com</t>
  </si>
  <si>
    <t>jordanbooth@ups.com</t>
  </si>
  <si>
    <t>eboothjr@ups.com</t>
  </si>
  <si>
    <t>karenbooth@ups.com</t>
  </si>
  <si>
    <t>kristinbooth@upsstore.com</t>
  </si>
  <si>
    <t>lbooth@ups.com</t>
  </si>
  <si>
    <t>marshabooth@ups.com</t>
  </si>
  <si>
    <t>marybooth@ups.com</t>
  </si>
  <si>
    <t>melissabooth@ups.com</t>
  </si>
  <si>
    <t>mbooth@ups.com</t>
  </si>
  <si>
    <t>mbooth1@ups.com</t>
  </si>
  <si>
    <t>nbooth@ups.com</t>
  </si>
  <si>
    <t>pam.booth@europe.ups.com</t>
  </si>
  <si>
    <t>rbooth@ups.com</t>
  </si>
  <si>
    <t>seanbooth@ups.com</t>
  </si>
  <si>
    <t>sbooth@ups.com</t>
  </si>
  <si>
    <t>vbooth@ups.com</t>
  </si>
  <si>
    <t>bboothappa@ups.com</t>
  </si>
  <si>
    <t>kboothby@ups.com</t>
  </si>
  <si>
    <t>mboothe@ups.com</t>
  </si>
  <si>
    <t>aboothroyd@ups.com</t>
  </si>
  <si>
    <t>dbooths@ups.com</t>
  </si>
  <si>
    <t>moniquebooton@ups.com</t>
  </si>
  <si>
    <t>jeannieboots@ups.com</t>
  </si>
  <si>
    <t>shadboots@ups.com</t>
  </si>
  <si>
    <t>sboots@ups.com</t>
  </si>
  <si>
    <t>hboparai@ups.com</t>
  </si>
  <si>
    <t>sboparai@ups.com</t>
  </si>
  <si>
    <t>abopp@ups.com</t>
  </si>
  <si>
    <t>bbopp@ups.com</t>
  </si>
  <si>
    <t>mbopp@ups.com</t>
  </si>
  <si>
    <t>sbopparmark@ups.com</t>
  </si>
  <si>
    <t>kboppidi@ups.com</t>
  </si>
  <si>
    <t>sbopte@ups.com</t>
  </si>
  <si>
    <t>bjheraldjhoy@ups.com</t>
  </si>
  <si>
    <t>cboquiren@ups.com</t>
  </si>
  <si>
    <t>ias-ssl@excelgroup.com</t>
  </si>
  <si>
    <t>bbora@ups.com</t>
  </si>
  <si>
    <t>bjung@ups.com</t>
  </si>
  <si>
    <t>jboratynski@ups.com</t>
  </si>
  <si>
    <t>mborawake@ups.com</t>
  </si>
  <si>
    <t>yborazan@ups.com</t>
  </si>
  <si>
    <t>jborbe@ups.com</t>
  </si>
  <si>
    <t>gborbolla@ups.com</t>
  </si>
  <si>
    <t>cborcelle@ups.com</t>
  </si>
  <si>
    <t>kborchardt@ups.com</t>
  </si>
  <si>
    <t>mborchardt@ups.com</t>
  </si>
  <si>
    <t>rborchardt@ups.com</t>
  </si>
  <si>
    <t>sborchardt@ups.com</t>
  </si>
  <si>
    <t>cborchelt@ups.com</t>
  </si>
  <si>
    <t>jackieborcherding@ups.com</t>
  </si>
  <si>
    <t>erik.borcherdt@europe.ups.com</t>
  </si>
  <si>
    <t>sborchert@ups.com</t>
  </si>
  <si>
    <t>eborck@ups.com</t>
  </si>
  <si>
    <t>mborck@ups.com</t>
  </si>
  <si>
    <t>kborczak@ups.com</t>
  </si>
  <si>
    <t>dborczyk@ups.com</t>
  </si>
  <si>
    <t>cborda@ups.com</t>
  </si>
  <si>
    <t>mborda@ups.com</t>
  </si>
  <si>
    <t>bordajejeffrey@ups.com</t>
  </si>
  <si>
    <t>cbordat@ups.com</t>
  </si>
  <si>
    <t>balex@ups.com</t>
  </si>
  <si>
    <t>blamuel@ups.com</t>
  </si>
  <si>
    <t>mbordeaux@ups.com</t>
  </si>
  <si>
    <t>rodneybordeaux@ups.com</t>
  </si>
  <si>
    <t>mbordeleau@ups.com</t>
  </si>
  <si>
    <t>dbordelon@ups.com</t>
  </si>
  <si>
    <t>aborden@ups.com</t>
  </si>
  <si>
    <t>carrieborden@ups.com</t>
  </si>
  <si>
    <t>dborden@ups.com</t>
  </si>
  <si>
    <t>gborden@ups.com</t>
  </si>
  <si>
    <t>jborden@ups.com</t>
  </si>
  <si>
    <t>lborden@ups.com</t>
  </si>
  <si>
    <t>borden.lisa@ups.com</t>
  </si>
  <si>
    <t>mborden@ups.com</t>
  </si>
  <si>
    <t>matthewborden@ups.com</t>
  </si>
  <si>
    <t>rborden@ups.com</t>
  </si>
  <si>
    <t>sbordensanford@ups.com</t>
  </si>
  <si>
    <t>cborder@ups.com</t>
  </si>
  <si>
    <t>aubrokerops@ups.com</t>
  </si>
  <si>
    <t>jborder@ups.com</t>
  </si>
  <si>
    <t>amandaborders@ups.com</t>
  </si>
  <si>
    <t>courtneyborders@ups.com</t>
  </si>
  <si>
    <t>masonborders@ups.com</t>
  </si>
  <si>
    <t>mborders@ups.com</t>
  </si>
  <si>
    <t>sbordignon@ups.com</t>
  </si>
  <si>
    <t>nbordinarojohnson@ups.com</t>
  </si>
  <si>
    <t>kbordnerjr@ups.com</t>
  </si>
  <si>
    <t>bjennylee@ups.com</t>
  </si>
  <si>
    <t>mbordone@ups.com</t>
  </si>
  <si>
    <t>sbordus@ups.com</t>
  </si>
  <si>
    <t>kborecky@ups.com</t>
  </si>
  <si>
    <t>anna.borella@europe.ups.com</t>
  </si>
  <si>
    <t>cboren@ups.com</t>
  </si>
  <si>
    <t>gboren@ups.com</t>
  </si>
  <si>
    <t>jboren@ups.com</t>
  </si>
  <si>
    <t>tboren@ups.com</t>
  </si>
  <si>
    <t>cborent@ups.com</t>
  </si>
  <si>
    <t>dborent@ups.com</t>
  </si>
  <si>
    <t>jenniferborent@ups.com</t>
  </si>
  <si>
    <t>sborfitz@ups.com</t>
  </si>
  <si>
    <t>iborg@ups.com</t>
  </si>
  <si>
    <t>jborg@ups.com</t>
  </si>
  <si>
    <t>lborg@ups.com</t>
  </si>
  <si>
    <t>sborg@ups.com</t>
  </si>
  <si>
    <t>nborga@ups.com</t>
  </si>
  <si>
    <t>aborge@ups.com</t>
  </si>
  <si>
    <t>wborge@ups.com</t>
  </si>
  <si>
    <t>jborgeaud@ups.com</t>
  </si>
  <si>
    <t>mborgerson@ups.com</t>
  </si>
  <si>
    <t>aborges@ups.com</t>
  </si>
  <si>
    <t>alfredoborges@ups.com</t>
  </si>
  <si>
    <t>cborges@ups.com</t>
  </si>
  <si>
    <t>DBorges@ups.com</t>
  </si>
  <si>
    <t>dborges1@ups.com</t>
  </si>
  <si>
    <t>jamesborgesjr@ups.com</t>
  </si>
  <si>
    <t>kborges@ups.com</t>
  </si>
  <si>
    <t>lborges@ups.com</t>
  </si>
  <si>
    <t>matthewborges@ups.com</t>
  </si>
  <si>
    <t>mborges@ups.com</t>
  </si>
  <si>
    <t>luca.borghi@europe.ups.com</t>
  </si>
  <si>
    <t>janborghoff@ups.com</t>
  </si>
  <si>
    <t>wborghoff@ups.com</t>
  </si>
  <si>
    <t>cborghuis@ups.com</t>
  </si>
  <si>
    <t>dborgia@ups.com</t>
  </si>
  <si>
    <t>fborgman@ups.com</t>
  </si>
  <si>
    <t>mborgman@ups.com</t>
  </si>
  <si>
    <t>eborgmann@ups.com</t>
  </si>
  <si>
    <t>mborgo@ups.com</t>
  </si>
  <si>
    <t>aborgon@ups.com</t>
  </si>
  <si>
    <t>rborgudd@ups.com</t>
  </si>
  <si>
    <t>sborhade@ups.com</t>
  </si>
  <si>
    <t>mborhani@ups.com</t>
  </si>
  <si>
    <t>lboria@ups.com</t>
  </si>
  <si>
    <t>jborik@ups.com</t>
  </si>
  <si>
    <t>rborillo@ups.com</t>
  </si>
  <si>
    <t>jboring@ups.com</t>
  </si>
  <si>
    <t>boris@lizfields.com</t>
  </si>
  <si>
    <t>barpan@ups.com</t>
  </si>
  <si>
    <t>jborisch@ups.com</t>
  </si>
  <si>
    <t>mborishova@ups.com</t>
  </si>
  <si>
    <t>elina.borisova@europe.ups.com</t>
  </si>
  <si>
    <t>lborisova@ups.com</t>
  </si>
  <si>
    <t>aborisovs@ups.com</t>
  </si>
  <si>
    <t>gborissenko@ups.com</t>
  </si>
  <si>
    <t>iborisuk@ups.com</t>
  </si>
  <si>
    <t>sborisuk@ups.com</t>
  </si>
  <si>
    <t>cborja@ups.com</t>
  </si>
  <si>
    <t>jborja1@ups.com</t>
  </si>
  <si>
    <t>mborja@ups.com</t>
  </si>
  <si>
    <t>bshilamae@ups.com</t>
  </si>
  <si>
    <t>jborjas@ups.com</t>
  </si>
  <si>
    <t>sborjas@ups.com</t>
  </si>
  <si>
    <t>yborjas@ups.com</t>
  </si>
  <si>
    <t>ebork@ups.com</t>
  </si>
  <si>
    <t>bsweta@ups.com</t>
  </si>
  <si>
    <t>ewa.borkowska@europe.ups.com</t>
  </si>
  <si>
    <t>lborkowski@ups.com</t>
  </si>
  <si>
    <t>tborkowski@ups.com</t>
  </si>
  <si>
    <t>bleo@ups.com</t>
  </si>
  <si>
    <t>cborland@ups.com</t>
  </si>
  <si>
    <t>sborman@ups.com</t>
  </si>
  <si>
    <t>abormann@ups.com</t>
  </si>
  <si>
    <t>lbormann@ups.com</t>
  </si>
  <si>
    <t>nick.bormann@europe.ups.com</t>
  </si>
  <si>
    <t>rbormann@ups.com</t>
  </si>
  <si>
    <t>stephaniebormann@ups.com</t>
  </si>
  <si>
    <t>aborn@ups.com</t>
  </si>
  <si>
    <t>a.born@europe.ups.com</t>
  </si>
  <si>
    <t>hborn@ups.com</t>
  </si>
  <si>
    <t>sborn@ups.com</t>
  </si>
  <si>
    <t>bornaloallen@ups.com</t>
  </si>
  <si>
    <t>cbornati@ups.com</t>
  </si>
  <si>
    <t>franck.borneat@ups.com</t>
  </si>
  <si>
    <t>nbornheim@ups.com</t>
  </si>
  <si>
    <t>cbornheimer@ups.com</t>
  </si>
  <si>
    <t>jbornstein@ups.com</t>
  </si>
  <si>
    <t>montserrat.borobia@europe.ups.com</t>
  </si>
  <si>
    <t>aborod@ups.com</t>
  </si>
  <si>
    <t>bborodkin@ups.com</t>
  </si>
  <si>
    <t>sborodkin@ups.com</t>
  </si>
  <si>
    <t>aborodovsky@ups.com</t>
  </si>
  <si>
    <t>zboroff@ups.com</t>
  </si>
  <si>
    <t>pborot@ups.com</t>
  </si>
  <si>
    <t>dborovik@ups.com</t>
  </si>
  <si>
    <t>cborovsky@ups.com</t>
  </si>
  <si>
    <t>peter.borovsky@europe.ups.com</t>
  </si>
  <si>
    <t>jborovy@ups.com</t>
  </si>
  <si>
    <t>pborovy@ups.com</t>
  </si>
  <si>
    <t>jborowic@ups.com</t>
  </si>
  <si>
    <t>jborowiec@ups.com</t>
  </si>
  <si>
    <t>aborowiecki@ups.com</t>
  </si>
  <si>
    <t>kborowiecki@ups.com</t>
  </si>
  <si>
    <t>jborowinska@ups.com</t>
  </si>
  <si>
    <t>aleksandraborowska@ups.com</t>
  </si>
  <si>
    <t>aborowska@ups.com</t>
  </si>
  <si>
    <t>mborowska@ups.com</t>
  </si>
  <si>
    <t>szymonborowski@ups.com</t>
  </si>
  <si>
    <t>borowski.thomas@ups.com</t>
  </si>
  <si>
    <t>aborqueziv@ups.com</t>
  </si>
  <si>
    <t>jborquezmiranda@ups.com</t>
  </si>
  <si>
    <t>subrinaborr@ups.com</t>
  </si>
  <si>
    <t>rosa.borras@europe.ups.com</t>
  </si>
  <si>
    <t>aborrego@ups.com</t>
  </si>
  <si>
    <t>dimasborrego@ups.com</t>
  </si>
  <si>
    <t>nborrego@ups.com</t>
  </si>
  <si>
    <t>aborrellfonseca@ups.com</t>
  </si>
  <si>
    <t>nataliaborrelli@ups.com</t>
  </si>
  <si>
    <t>mborrerogranado@ups.com</t>
  </si>
  <si>
    <t>gborrero@ups.com</t>
  </si>
  <si>
    <t>baprile@ups.com</t>
  </si>
  <si>
    <t>aborrett@ups.com</t>
  </si>
  <si>
    <t>fborriello@ups.com</t>
  </si>
  <si>
    <t>oliverborrmann@ups.com</t>
  </si>
  <si>
    <t>cborromeo@ups.com</t>
  </si>
  <si>
    <t>bjerilyn@ups.com</t>
  </si>
  <si>
    <t>lborrotovega@ups.com</t>
  </si>
  <si>
    <t>bbors@ups.com</t>
  </si>
  <si>
    <t>jbors@ups.com</t>
  </si>
  <si>
    <t>pierantonio.borsa@europe.ups.com</t>
  </si>
  <si>
    <t>stefanborsdorf@ups.com</t>
  </si>
  <si>
    <t>borsevaishali@ups.com</t>
  </si>
  <si>
    <t>mborsellino@ups.com</t>
  </si>
  <si>
    <t>aborsetto@ups.com</t>
  </si>
  <si>
    <t>rborsi@ups.com</t>
  </si>
  <si>
    <t>aborst@ups.com</t>
  </si>
  <si>
    <t>dborst@ups.com</t>
  </si>
  <si>
    <t>mbortan@ups.com</t>
  </si>
  <si>
    <t>tborthwick@ups.com</t>
  </si>
  <si>
    <t>abortolotti@ups.com</t>
  </si>
  <si>
    <t>Marion.Bortolusso@uni-data.de</t>
  </si>
  <si>
    <t>kborton@ups.com</t>
  </si>
  <si>
    <t>fbortscheller@ups.com</t>
  </si>
  <si>
    <t>rbortz@ups.com</t>
  </si>
  <si>
    <t>rebortz@ups.com</t>
  </si>
  <si>
    <t>gborucki@ups.com</t>
  </si>
  <si>
    <t>jborum@ups.com</t>
  </si>
  <si>
    <t>jborunda@ups.com</t>
  </si>
  <si>
    <t>tborway@ups.com</t>
  </si>
  <si>
    <t>johnborys@ups.com</t>
  </si>
  <si>
    <t>toni.borzello@ups.com</t>
  </si>
  <si>
    <t>iborzi@ups.com</t>
  </si>
  <si>
    <t>mborzotra@ups.com</t>
  </si>
  <si>
    <t>dborzykh@ups.com</t>
  </si>
  <si>
    <t>abos@ups.com</t>
  </si>
  <si>
    <t>alexanderbos@ups.com</t>
  </si>
  <si>
    <t>cbos@ups.com</t>
  </si>
  <si>
    <t>boscustomersvc@ups.com</t>
  </si>
  <si>
    <t>fbos@ups.com</t>
  </si>
  <si>
    <t>jbos@ups.com</t>
  </si>
  <si>
    <t>mbos@ups.com</t>
  </si>
  <si>
    <t>bosoceancsc@ups.com</t>
  </si>
  <si>
    <t>wouter.bos@europe.ups.com</t>
  </si>
  <si>
    <t>abosanec@ups.com</t>
  </si>
  <si>
    <t>britta.bosbach@europe.ups.com</t>
  </si>
  <si>
    <t>leonardoboscarato@ups.com</t>
  </si>
  <si>
    <t>kevinboscardin@ups.com</t>
  </si>
  <si>
    <t>bbosch@ups.com</t>
  </si>
  <si>
    <t>brentbosch@ups.com</t>
  </si>
  <si>
    <t>cbosch@ups.com</t>
  </si>
  <si>
    <t>christopherbosch@ups.com</t>
  </si>
  <si>
    <t>ebosch@ups.com</t>
  </si>
  <si>
    <t>boschftz@ups.com</t>
  </si>
  <si>
    <t>jbosch@ups.com</t>
  </si>
  <si>
    <t>jamesbosch@ups.com</t>
  </si>
  <si>
    <t>nbosch@ups.com</t>
  </si>
  <si>
    <t>wbosch@ups.com</t>
  </si>
  <si>
    <t>aldo.boscherini@europe.ups.com</t>
  </si>
  <si>
    <t>kboschert@ups.com</t>
  </si>
  <si>
    <t>lboschetti@ups.com</t>
  </si>
  <si>
    <t>boschetti.marcella@ups.com</t>
  </si>
  <si>
    <t>rbosciaiii@ups.com</t>
  </si>
  <si>
    <t>andreabosco@ups.com</t>
  </si>
  <si>
    <t>abosco@ups.com</t>
  </si>
  <si>
    <t>kbosco@ups.com</t>
  </si>
  <si>
    <t>mary.bosco@ups.com</t>
  </si>
  <si>
    <t>sbosco@ups.com</t>
  </si>
  <si>
    <t>aboscolo@ups.com</t>
  </si>
  <si>
    <t>mboscolo@ups.com</t>
  </si>
  <si>
    <t>dbose@ups.com</t>
  </si>
  <si>
    <t>nbose@ups.com</t>
  </si>
  <si>
    <t>bneellohit@ups.com</t>
  </si>
  <si>
    <t>bpritha@ups.com</t>
  </si>
  <si>
    <t>sitharabose@ups.com</t>
  </si>
  <si>
    <t>sbose@ups.com</t>
  </si>
  <si>
    <t>tbosek@ups.com</t>
  </si>
  <si>
    <t>ebosela-bullock@ups.com</t>
  </si>
  <si>
    <t>nboseman@ups.com</t>
  </si>
  <si>
    <t>dbosgoed@ups.com</t>
  </si>
  <si>
    <t>jbosh@ups.com</t>
  </si>
  <si>
    <t>jboshoff@ups.com</t>
  </si>
  <si>
    <t>mbosi@ups.com</t>
  </si>
  <si>
    <t>kbosiljevac@ups.com</t>
  </si>
  <si>
    <t>ibosire1@ups.com</t>
  </si>
  <si>
    <t>hboske1@ups.com</t>
  </si>
  <si>
    <t>caseybosma@ups.com</t>
  </si>
  <si>
    <t>lbosma@ups.com</t>
  </si>
  <si>
    <t>bosma.rene@ups.com</t>
  </si>
  <si>
    <t>rbosma@ups.com</t>
  </si>
  <si>
    <t>lbosmans@ups.com</t>
  </si>
  <si>
    <t>bacustsvc@ups.com</t>
  </si>
  <si>
    <t>ebosno@ups.com</t>
  </si>
  <si>
    <t>bosphilipsexportsair@ups.com</t>
  </si>
  <si>
    <t>jbosque@ups.com</t>
  </si>
  <si>
    <t>dboss@ups.com</t>
  </si>
  <si>
    <t>bossexceprecons@ups.com</t>
  </si>
  <si>
    <t>gboss@ups.com</t>
  </si>
  <si>
    <t>jboss@ups.com</t>
  </si>
  <si>
    <t>pboss@ups.com</t>
  </si>
  <si>
    <t>bossrecons@ups.com</t>
  </si>
  <si>
    <t>sbossaers@ups.com</t>
  </si>
  <si>
    <t>bosscomch@ups.com</t>
  </si>
  <si>
    <t>bosscomfr@ups.com</t>
  </si>
  <si>
    <t>cbosse@ups.com</t>
  </si>
  <si>
    <t>jbosse@ups.com</t>
  </si>
  <si>
    <t>tbosse@ups.com</t>
  </si>
  <si>
    <t>jean-pierre.bossert@europe.ups.com</t>
  </si>
  <si>
    <t>dbossio@ups.com</t>
  </si>
  <si>
    <t>BOSSMboxUsr@ups.com</t>
  </si>
  <si>
    <t>tbosso@ups.com</t>
  </si>
  <si>
    <t>cbossom@ups.com</t>
  </si>
  <si>
    <t>abossong@ups.com</t>
  </si>
  <si>
    <t>pbossow@ups.com</t>
  </si>
  <si>
    <t>cbost@ups.com</t>
  </si>
  <si>
    <t>jbost@ups.com</t>
  </si>
  <si>
    <t>sbostan@ups.com</t>
  </si>
  <si>
    <t>jbostater@ups.com</t>
  </si>
  <si>
    <t>abostic@ups.com</t>
  </si>
  <si>
    <t>belindabostic@ups.com</t>
  </si>
  <si>
    <t>ebostic@ups.com</t>
  </si>
  <si>
    <t>gbostic@ups.com</t>
  </si>
  <si>
    <t>cbosticjr@ups.com</t>
  </si>
  <si>
    <t>jbostic@ups.com</t>
  </si>
  <si>
    <t>sbostic@ups.com</t>
  </si>
  <si>
    <t>bbostick@ups.com</t>
  </si>
  <si>
    <t>ebostick@ups.com</t>
  </si>
  <si>
    <t>jbostick@ups.com</t>
  </si>
  <si>
    <t>rbostick@ups.com</t>
  </si>
  <si>
    <t>sbostick@ups.com</t>
  </si>
  <si>
    <t>bboston@ups.com</t>
  </si>
  <si>
    <t>jaredboston@ups.com</t>
  </si>
  <si>
    <t>jayneboston@ups.com</t>
  </si>
  <si>
    <t>jillboston@ups.com</t>
  </si>
  <si>
    <t>jboston@ups.com</t>
  </si>
  <si>
    <t>lboston@ups.com</t>
  </si>
  <si>
    <t>QuincyFSLRequests@bsci.com</t>
  </si>
  <si>
    <t>wboston@ups.com</t>
  </si>
  <si>
    <t>pbostrom@ups.com</t>
  </si>
  <si>
    <t>bbostwick@ups.com</t>
  </si>
  <si>
    <t>aboswell@ups.com</t>
  </si>
  <si>
    <t>bboswell@ups.com</t>
  </si>
  <si>
    <t>cboswell@ups.com</t>
  </si>
  <si>
    <t>eboswell@ups.com</t>
  </si>
  <si>
    <t>iboswell@ups.com</t>
  </si>
  <si>
    <t>jamesboswell@ups.com</t>
  </si>
  <si>
    <t>jboswell@ups.com</t>
  </si>
  <si>
    <t>nboswell@ups.com</t>
  </si>
  <si>
    <t>sboswell@ups.com</t>
  </si>
  <si>
    <t>tboswell@ups.com</t>
  </si>
  <si>
    <t>monique.bot@europe.ups.com</t>
  </si>
  <si>
    <t>sbotone@ups.com</t>
  </si>
  <si>
    <t>nbota@ups.com</t>
  </si>
  <si>
    <t>tbota@ups.com</t>
  </si>
  <si>
    <t>oboteight@ups.com</t>
  </si>
  <si>
    <t>uboteight@ups.com</t>
  </si>
  <si>
    <t>vboteleven@ups.com</t>
  </si>
  <si>
    <t>kbotelho@ups.com</t>
  </si>
  <si>
    <t>abotello@ups.com</t>
  </si>
  <si>
    <t>lbotello@ups.com</t>
  </si>
  <si>
    <t>mbotello@ups.com</t>
  </si>
  <si>
    <t>dbotero@ups.com</t>
  </si>
  <si>
    <t>sbotero@ups.com</t>
  </si>
  <si>
    <t>aboteroserna@ups.com</t>
  </si>
  <si>
    <t>kbotfield@ups.com</t>
  </si>
  <si>
    <t>obotfive@ups.com</t>
  </si>
  <si>
    <t>ubotfive@ups.com</t>
  </si>
  <si>
    <t>obotfour@ups.com</t>
  </si>
  <si>
    <t>ubotfour@ups.com</t>
  </si>
  <si>
    <t>aboth@ups.com</t>
  </si>
  <si>
    <t>pboth@ups.com</t>
  </si>
  <si>
    <t>jbotha@ups.com</t>
  </si>
  <si>
    <t>karenbotha@ups.com</t>
  </si>
  <si>
    <t>mbotha@ups.com</t>
  </si>
  <si>
    <t>nbotha@ups.com</t>
  </si>
  <si>
    <t>tbothwell@ups.com</t>
  </si>
  <si>
    <t>bjennelyn@ups.com</t>
  </si>
  <si>
    <t>bjonnalyn@ups.com</t>
  </si>
  <si>
    <t>tbotjes@ups.com</t>
  </si>
  <si>
    <t>EUR6MXI@europe.ups.com</t>
  </si>
  <si>
    <t>sbotkin@ups.com</t>
  </si>
  <si>
    <t>hbotma@ups.com</t>
  </si>
  <si>
    <t>nbotnen@ups.com</t>
  </si>
  <si>
    <t>kbotner@ups.com</t>
  </si>
  <si>
    <t>kevinbotner@ups.com</t>
  </si>
  <si>
    <t>pbotnine@ups.com</t>
  </si>
  <si>
    <t>cbotone@ups.com</t>
  </si>
  <si>
    <t>ebotone@ups.com</t>
  </si>
  <si>
    <t>obotone@ups.com</t>
  </si>
  <si>
    <t>opapbotone@ups.com</t>
  </si>
  <si>
    <t>ubotone@ups.com</t>
  </si>
  <si>
    <t>bmariaemburge@ups.com</t>
  </si>
  <si>
    <t>jbotosan@ups.com</t>
  </si>
  <si>
    <t>kbotosan@ups.com</t>
  </si>
  <si>
    <t>obotseven@ups.com</t>
  </si>
  <si>
    <t>ubotseven@ups.com</t>
  </si>
  <si>
    <t>cbotsford@ups.com</t>
  </si>
  <si>
    <t>obotsix@ups.com</t>
  </si>
  <si>
    <t>ubotsix@ups.com</t>
  </si>
  <si>
    <t>reiner.bott@europe.ups.com</t>
  </si>
  <si>
    <t>tbott@ups.com</t>
  </si>
  <si>
    <t>jbotta@ups.com</t>
  </si>
  <si>
    <t>bottakiran@ups.com</t>
  </si>
  <si>
    <t>bottan.pietro@ups.com</t>
  </si>
  <si>
    <t>abottani@ups.com</t>
  </si>
  <si>
    <t>bbottari@ups.com</t>
  </si>
  <si>
    <t>abotten@ups.com</t>
  </si>
  <si>
    <t>dbotten@ups.com</t>
  </si>
  <si>
    <t>obotten@ups.com</t>
  </si>
  <si>
    <t>rbottger@ups.com</t>
  </si>
  <si>
    <t>dbotthirteen@ups.com</t>
  </si>
  <si>
    <t>hbotthree@ups.com</t>
  </si>
  <si>
    <t>obotthree@ups.com</t>
  </si>
  <si>
    <t>ubotthree@ups.com</t>
  </si>
  <si>
    <t>massimobotti@ups.com</t>
  </si>
  <si>
    <t>mbotti@ups.com</t>
  </si>
  <si>
    <t>cbottini@ups.com</t>
  </si>
  <si>
    <t>abottomley@ups.com</t>
  </si>
  <si>
    <t>djbottomley@ups.com</t>
  </si>
  <si>
    <t>vbottomly@ups.com</t>
  </si>
  <si>
    <t>jbottoms@ups.com</t>
  </si>
  <si>
    <t>mbottoms@ups.com</t>
  </si>
  <si>
    <t>nbottoms@ups.com</t>
  </si>
  <si>
    <t>ebottwelve@ups.com</t>
  </si>
  <si>
    <t>jbottwo@ups.com</t>
  </si>
  <si>
    <t>obottwo@ups.com</t>
  </si>
  <si>
    <t>ubottwo@ups.com</t>
  </si>
  <si>
    <t>dbotzong@ups.com</t>
  </si>
  <si>
    <t>mboumaroun@ups.com</t>
  </si>
  <si>
    <t>ybouaicha@ups.com</t>
  </si>
  <si>
    <t>tboualaggui@ups.com</t>
  </si>
  <si>
    <t>mboualaoui@ups.com</t>
  </si>
  <si>
    <t>obouallala@ups.com</t>
  </si>
  <si>
    <t>fbouallegue@ups.com</t>
  </si>
  <si>
    <t>bouanich.thierry@ups.com</t>
  </si>
  <si>
    <t>bfahim@ups.com</t>
  </si>
  <si>
    <t>kbouaoud@ups.com</t>
  </si>
  <si>
    <t>jawadbouaoudat@ups.com</t>
  </si>
  <si>
    <t>nbouaouiche@ups.com</t>
  </si>
  <si>
    <t>fbouaricha@upslogistics.fr</t>
  </si>
  <si>
    <t>nbouazizi@ups.com</t>
  </si>
  <si>
    <t>aboubker@ups.com</t>
  </si>
  <si>
    <t>cboucaud@ups.com</t>
  </si>
  <si>
    <t>FRA0NXB@europe.ups.com</t>
  </si>
  <si>
    <t>bbouchard@ups.com</t>
  </si>
  <si>
    <t>cbouchard@ups.com</t>
  </si>
  <si>
    <t>fbouchard@ups.com</t>
  </si>
  <si>
    <t>justinbouchard@ups.com</t>
  </si>
  <si>
    <t>pbouchard@ups.com</t>
  </si>
  <si>
    <t>stephane.bouchard@ups.com</t>
  </si>
  <si>
    <t>sbouchard@ups.com</t>
  </si>
  <si>
    <t>tbouchard@ups.com</t>
  </si>
  <si>
    <t>JBouchard@livingstoninc.com</t>
  </si>
  <si>
    <t>zbouchbouch@ups.com</t>
  </si>
  <si>
    <t>FRA1DYB@europe.ups.com</t>
  </si>
  <si>
    <t>mbouchekhou@ups.com</t>
  </si>
  <si>
    <t>dbouchelion@ups.com</t>
  </si>
  <si>
    <t>aboucher@ups.com</t>
  </si>
  <si>
    <t>ccboucher@ups.com</t>
  </si>
  <si>
    <t>dboucher@ups.com</t>
  </si>
  <si>
    <t>jboucher@ups.com</t>
  </si>
  <si>
    <t>lboucher@ups.com</t>
  </si>
  <si>
    <t>FRA1PXB@europe.ups.com</t>
  </si>
  <si>
    <t>richardboucher@ups.com</t>
  </si>
  <si>
    <t>robertaboucher@ups.com</t>
  </si>
  <si>
    <t>tboucher@upslogistics.fr</t>
  </si>
  <si>
    <t>fbouchet@ups.com</t>
  </si>
  <si>
    <t>jbouchey@ups.com</t>
  </si>
  <si>
    <t>abouchez@ups.com</t>
  </si>
  <si>
    <t>jbouchier@ups.com</t>
  </si>
  <si>
    <t>jbouchillon@ups.com</t>
  </si>
  <si>
    <t>fbouchoucha@ups.com</t>
  </si>
  <si>
    <t>julie.bouckaert@europe.ups.com</t>
  </si>
  <si>
    <t>veronique.boucket@ups.com</t>
  </si>
  <si>
    <t>mbouddiouan@ups.com</t>
  </si>
  <si>
    <t>jboudeguig@ups.com</t>
  </si>
  <si>
    <t>FRA1PYB@europe.ups.com</t>
  </si>
  <si>
    <t>hboudi@ups.com</t>
  </si>
  <si>
    <t>wboudinet@ups.com</t>
  </si>
  <si>
    <t>oboudlal@ups.com</t>
  </si>
  <si>
    <t>justinboudler@ups.com</t>
  </si>
  <si>
    <t>lboudoin@ups.com</t>
  </si>
  <si>
    <t>mboudousquie@ups.com</t>
  </si>
  <si>
    <t>joyceboudreau@ups.com</t>
  </si>
  <si>
    <t>jboudreaux@ups.com</t>
  </si>
  <si>
    <t>cbouffard@ups.com</t>
  </si>
  <si>
    <t>sbouffiou@ups.com</t>
  </si>
  <si>
    <t>sbougdira@ups.com</t>
  </si>
  <si>
    <t>abouget@ups.com</t>
  </si>
  <si>
    <t>aboughamer@ups.com</t>
  </si>
  <si>
    <t>kboughanmi@ups.com</t>
  </si>
  <si>
    <t>aboughazi@ups.com</t>
  </si>
  <si>
    <t>jboughey@ups.com</t>
  </si>
  <si>
    <t>dboughner@ups.com</t>
  </si>
  <si>
    <t>michael.bouguet@europe.ups.com</t>
  </si>
  <si>
    <t>bbouhal@ups.com</t>
  </si>
  <si>
    <t>jamalbouhannouch@ups.com</t>
  </si>
  <si>
    <t>nourdin.bouhanouch@europe.ups.com</t>
  </si>
  <si>
    <t>gbouhgan@ups.com</t>
  </si>
  <si>
    <t>kbouhila@ups.com</t>
  </si>
  <si>
    <t>sheneriabouie@ups.com</t>
  </si>
  <si>
    <t>dbouillon@ups.com</t>
  </si>
  <si>
    <t>nboukhechina@ups.com</t>
  </si>
  <si>
    <t>hboukoutti@ups.com</t>
  </si>
  <si>
    <t>tboukricha@ups.com</t>
  </si>
  <si>
    <t>aboukrim@ups.com</t>
  </si>
  <si>
    <t>bboulahmi@ups.com</t>
  </si>
  <si>
    <t>jean-michel.boulaire@europe.ups.com</t>
  </si>
  <si>
    <t>boulanger.luc@ups.com</t>
  </si>
  <si>
    <t>lboulay@ups.com</t>
  </si>
  <si>
    <t>pboulay@ups.com</t>
  </si>
  <si>
    <t>lboulden@ups.com</t>
  </si>
  <si>
    <t>tbouler@ups.com</t>
  </si>
  <si>
    <t>dboulette@ups.com</t>
  </si>
  <si>
    <t>bboulhri@ups.com</t>
  </si>
  <si>
    <t>aaboulon@ups.com</t>
  </si>
  <si>
    <t>lboulon@ups.com</t>
  </si>
  <si>
    <t>aboulon@upslogistics.fr</t>
  </si>
  <si>
    <t>cboulter@ups.com</t>
  </si>
  <si>
    <t>bboulton@ups.com</t>
  </si>
  <si>
    <t>sboulton@ups.com</t>
  </si>
  <si>
    <t>gboulware@ups.com</t>
  </si>
  <si>
    <t>sboumaili@ups.com</t>
  </si>
  <si>
    <t>kamel.boumaraf@europe.ups.com</t>
  </si>
  <si>
    <t>drissboumaza@ups.com</t>
  </si>
  <si>
    <t>kboumediene@ups.com</t>
  </si>
  <si>
    <t>kboumelaha@ups.com</t>
  </si>
  <si>
    <t>jbounds@ups.com</t>
  </si>
  <si>
    <t>mbounds@ups.com</t>
  </si>
  <si>
    <t>zbounin@ups.com</t>
  </si>
  <si>
    <t>abounneche@ups.com</t>
  </si>
  <si>
    <t>obounsourath@ups.com</t>
  </si>
  <si>
    <t>vbounyavong@ups.com</t>
  </si>
  <si>
    <t>tbour@ups.com</t>
  </si>
  <si>
    <t>eboura@ups.com</t>
  </si>
  <si>
    <t>tbourasa@ups.com</t>
  </si>
  <si>
    <t>lbourbon@ups.com</t>
  </si>
  <si>
    <t>mbourdet@ups.com</t>
  </si>
  <si>
    <t>lbourdin@upslogistics.fr</t>
  </si>
  <si>
    <t>dbourdon@ups.com</t>
  </si>
  <si>
    <t>rbourdoulous@ups.com</t>
  </si>
  <si>
    <t>cbourg@ups.com</t>
  </si>
  <si>
    <t>bbourgeois@ups.com</t>
  </si>
  <si>
    <t>ebourgeois@ups.com</t>
  </si>
  <si>
    <t>jbourgeois@ups.com</t>
  </si>
  <si>
    <t>lbourgeois@ups.com</t>
  </si>
  <si>
    <t>lucybourgeois@ups.com</t>
  </si>
  <si>
    <t>mbourgeois@ups.com</t>
  </si>
  <si>
    <t>mbourgie@ups.com</t>
  </si>
  <si>
    <t>fbourgoin@ups.com</t>
  </si>
  <si>
    <t>bbourguet@ups.com</t>
  </si>
  <si>
    <t>lbouriachi@ups.com</t>
  </si>
  <si>
    <t>abourik@ups.com</t>
  </si>
  <si>
    <t>ebourja@ups.com</t>
  </si>
  <si>
    <t>ybourja@ups.com</t>
  </si>
  <si>
    <t>mbourke@ups.com</t>
  </si>
  <si>
    <t>bbourland@ups.com</t>
  </si>
  <si>
    <t>bbourn@ups.com</t>
  </si>
  <si>
    <t>abourne@ups.com</t>
  </si>
  <si>
    <t>cbourne@ups.com</t>
  </si>
  <si>
    <t>gbourne@ups.com</t>
  </si>
  <si>
    <t>kbourne@ups.com</t>
  </si>
  <si>
    <t>nbourne@ups.com</t>
  </si>
  <si>
    <t>rbourne@ups.com</t>
  </si>
  <si>
    <t>georgios.bouroudis@europe.ups.com</t>
  </si>
  <si>
    <t>bbourque@ups.com</t>
  </si>
  <si>
    <t>cbourque@ups.com</t>
  </si>
  <si>
    <t>pbourque@ups.com</t>
  </si>
  <si>
    <t>nbourquin@ups.com</t>
  </si>
  <si>
    <t>mbourretbemis@ups.com</t>
  </si>
  <si>
    <t>mbousbaa@ups.com</t>
  </si>
  <si>
    <t>hbousboula@ups.com</t>
  </si>
  <si>
    <t>michal.bousek@europe.ups.com</t>
  </si>
  <si>
    <t>wboushih@ups.com</t>
  </si>
  <si>
    <t>aboushnak@ups.com</t>
  </si>
  <si>
    <t>sbouskila@ups.com</t>
  </si>
  <si>
    <t>mbousman@ups.com</t>
  </si>
  <si>
    <t>dboussaba@ups.com</t>
  </si>
  <si>
    <t>mohamedboutakhrit@ups.com</t>
  </si>
  <si>
    <t>mboutaleb@ups.com</t>
  </si>
  <si>
    <t>rboute@ups.com</t>
  </si>
  <si>
    <t>dboutemy@ups.com</t>
  </si>
  <si>
    <t>sbouten@ups.com</t>
  </si>
  <si>
    <t>jboutette@ups.com</t>
  </si>
  <si>
    <t>bbouthillier@ups.com</t>
  </si>
  <si>
    <t>tbouthillier@ups.com</t>
  </si>
  <si>
    <t>abouthoorn@ups.com</t>
  </si>
  <si>
    <t>janetboutilier@ups.com</t>
  </si>
  <si>
    <t>aboutin@ups.com</t>
  </si>
  <si>
    <t>mboutkchad@ups.com</t>
  </si>
  <si>
    <t>mbouton@ups.com</t>
  </si>
  <si>
    <t>tbouton@ups.com</t>
  </si>
  <si>
    <t>tboutot@ups.com</t>
  </si>
  <si>
    <t>jboutou@ups.com</t>
  </si>
  <si>
    <t>larbi.boutraih@europe.ups.com</t>
  </si>
  <si>
    <t>dboutsabouabane@ups.com</t>
  </si>
  <si>
    <t>tboutte@ups.com</t>
  </si>
  <si>
    <t>jbouvier@ups.com</t>
  </si>
  <si>
    <t>jbouw@ups.com</t>
  </si>
  <si>
    <t>FRA1JTB@europe.ups.com</t>
  </si>
  <si>
    <t>mbouwhuis@ups.com</t>
  </si>
  <si>
    <t>jbouwman@ups.com</t>
  </si>
  <si>
    <t>hboux@ups.com</t>
  </si>
  <si>
    <t>jbouyea@ups.com</t>
  </si>
  <si>
    <t>nicolebouyea@ups.com</t>
  </si>
  <si>
    <t>rbouyea@ups.com</t>
  </si>
  <si>
    <t>fbouyer@ups.com</t>
  </si>
  <si>
    <t>FRA2LYB@europe.ups.com</t>
  </si>
  <si>
    <t>bbouzaieneayari@ups.com</t>
  </si>
  <si>
    <t>ibouzarmat@ups.com</t>
  </si>
  <si>
    <t>kbouzat@ups.com</t>
  </si>
  <si>
    <t>bbouziane@ups.com</t>
  </si>
  <si>
    <t>rbouzid@ups.com</t>
  </si>
  <si>
    <t>rbouzidi@ups.com</t>
  </si>
  <si>
    <t>dbova@ups.com</t>
  </si>
  <si>
    <t>jbova@ups.com</t>
  </si>
  <si>
    <t>jbovadilla@ups.com</t>
  </si>
  <si>
    <t>bovaird@lucent.com</t>
  </si>
  <si>
    <t>dbove@ups.com</t>
  </si>
  <si>
    <t>ebovendeaard@ups.com</t>
  </si>
  <si>
    <t>angeliquebovendeerd@ups.com</t>
  </si>
  <si>
    <t>hbovensiepen@ups.com</t>
  </si>
  <si>
    <t>judithbovinet@ups.com</t>
  </si>
  <si>
    <t>obovis@ups.com</t>
  </si>
  <si>
    <t>sbovy@ups.com</t>
  </si>
  <si>
    <t>jbovyn@ups.com</t>
  </si>
  <si>
    <t>ebow@ups.com</t>
  </si>
  <si>
    <t>mbowal@ups.com</t>
  </si>
  <si>
    <t>abowden@ups.com</t>
  </si>
  <si>
    <t>andrewbowden@ups.com</t>
  </si>
  <si>
    <t>audreybowden@ups.com</t>
  </si>
  <si>
    <t>bbowden@ups.com</t>
  </si>
  <si>
    <t>charlesbowden@ups.com</t>
  </si>
  <si>
    <t>cbowden@ups.com</t>
  </si>
  <si>
    <t>dbowden@ups.com</t>
  </si>
  <si>
    <t>francesbowden@ups.com</t>
  </si>
  <si>
    <t>hbowden@ups.com</t>
  </si>
  <si>
    <t>lpbowden@ups.com</t>
  </si>
  <si>
    <t>mbowden@ups.com</t>
  </si>
  <si>
    <t>nbowden@ups.com</t>
  </si>
  <si>
    <t>sbowden@ups.com</t>
  </si>
  <si>
    <t>tbowden@ups.com</t>
  </si>
  <si>
    <t>wbowden@ups.com</t>
  </si>
  <si>
    <t>pbowe@ups.com</t>
  </si>
  <si>
    <t>alexandrabowen@ups.com</t>
  </si>
  <si>
    <t>abowen@ups.com</t>
  </si>
  <si>
    <t>ananiasbowen@ups.com</t>
  </si>
  <si>
    <t>anthonybowen@ups.com</t>
  </si>
  <si>
    <t>cbowen@ups.com</t>
  </si>
  <si>
    <t>cebowen@ups.com</t>
  </si>
  <si>
    <t>clbowen@ups.com</t>
  </si>
  <si>
    <t>chrisbowen@ups.com</t>
  </si>
  <si>
    <t>bowen.darleen@ups.com</t>
  </si>
  <si>
    <t>davebowen@ups.com</t>
  </si>
  <si>
    <t>JBowen@ups.com</t>
  </si>
  <si>
    <t>jasonbowen@ups.com</t>
  </si>
  <si>
    <t>jessebowen@ups.com</t>
  </si>
  <si>
    <t>jonathanbowen@ups.com</t>
  </si>
  <si>
    <t>jbowen1@ups.com</t>
  </si>
  <si>
    <t>jordanbowen@ups.com</t>
  </si>
  <si>
    <t>justinbowen@ups.com</t>
  </si>
  <si>
    <t>kevinbowen@ups.com</t>
  </si>
  <si>
    <t>kbowen@ups.com</t>
  </si>
  <si>
    <t>lbowen@ups.com</t>
  </si>
  <si>
    <t>mdbowen@ups.com</t>
  </si>
  <si>
    <t>mbowen@ups.com</t>
  </si>
  <si>
    <t>paulbowen@ups.com</t>
  </si>
  <si>
    <t>phillipbowen@ups.com</t>
  </si>
  <si>
    <t>richardbowen@ups.com</t>
  </si>
  <si>
    <t>rbowen@ups.com</t>
  </si>
  <si>
    <t>UKG2RAB@europe.ups.com</t>
  </si>
  <si>
    <t>sbowen@ups.com</t>
  </si>
  <si>
    <t>sherribowen@ups.com</t>
  </si>
  <si>
    <t>stephaniebowen@ups.com</t>
  </si>
  <si>
    <t>tbowen@ups.com</t>
  </si>
  <si>
    <t>abowens@ups.com</t>
  </si>
  <si>
    <t>cbowens@ups.com</t>
  </si>
  <si>
    <t>dbowens@ups.com</t>
  </si>
  <si>
    <t>abowensjr@ups.com</t>
  </si>
  <si>
    <t>lbowens@ups.com</t>
  </si>
  <si>
    <t>rbowens@ups.com</t>
  </si>
  <si>
    <t>sbowens@ups.com</t>
  </si>
  <si>
    <t>bbower@ups.com</t>
  </si>
  <si>
    <t>cbower@ups.com</t>
  </si>
  <si>
    <t>ebower@ups.com</t>
  </si>
  <si>
    <t>gbower@ups.com</t>
  </si>
  <si>
    <t>jimbowers@ups.com</t>
  </si>
  <si>
    <t>jbower@ups.com</t>
  </si>
  <si>
    <t>jxbower@ups.com</t>
  </si>
  <si>
    <t>jill.bower@ups.com</t>
  </si>
  <si>
    <t>kbower@ups.com</t>
  </si>
  <si>
    <t>mariahbower@ups.com</t>
  </si>
  <si>
    <t>mbower@ups.com</t>
  </si>
  <si>
    <t>sbowerbank@ups.com</t>
  </si>
  <si>
    <t>bbowers@ups.com</t>
  </si>
  <si>
    <t>crystalbowers@ups.com</t>
  </si>
  <si>
    <t>dbowers@ups.com</t>
  </si>
  <si>
    <t>dmbowers@ups.com</t>
  </si>
  <si>
    <t>davidbowers@ups.com</t>
  </si>
  <si>
    <t>jbowers1@ups.com</t>
  </si>
  <si>
    <t>jamesbowers@ups.com</t>
  </si>
  <si>
    <t>jbowers@ups.com</t>
  </si>
  <si>
    <t>jeffreybowers@ups.com</t>
  </si>
  <si>
    <t>jennbowers@ups.com</t>
  </si>
  <si>
    <t>joanbowers@ups.com</t>
  </si>
  <si>
    <t>jpbowers@ups.com</t>
  </si>
  <si>
    <t>jontaebowers@ups.com</t>
  </si>
  <si>
    <t>julienbowers@ups.com</t>
  </si>
  <si>
    <t>kbowers@ups.com</t>
  </si>
  <si>
    <t>mbowers@ups.com</t>
  </si>
  <si>
    <t>molliebowers@ups.com</t>
  </si>
  <si>
    <t>nicholasbowers@ups.com</t>
  </si>
  <si>
    <t>nbowers@ups.com</t>
  </si>
  <si>
    <t>pbowers@ups.com</t>
  </si>
  <si>
    <t>rbowers@ups.com</t>
  </si>
  <si>
    <t>sandrabowers@ups.com</t>
  </si>
  <si>
    <t>sbowers@ups.com</t>
  </si>
  <si>
    <t>teresabowers@ups.com</t>
  </si>
  <si>
    <t>tbowers@ups.com</t>
  </si>
  <si>
    <t>fbowerscarnahan@ups.com</t>
  </si>
  <si>
    <t>jbowes@ups.com</t>
  </si>
  <si>
    <t>kbowes@ups.com</t>
  </si>
  <si>
    <t>rbowes@ups.com</t>
  </si>
  <si>
    <t>colebowie@ups.com</t>
  </si>
  <si>
    <t>kabowie@ups.com</t>
  </si>
  <si>
    <t>kbowie@ups.com</t>
  </si>
  <si>
    <t>tbowie@ups.com</t>
  </si>
  <si>
    <t>natashabowieevans@ups.com</t>
  </si>
  <si>
    <t>abowiesmith@ups.com</t>
  </si>
  <si>
    <t>jbowins@ups.com</t>
  </si>
  <si>
    <t>dbowker@ups.com</t>
  </si>
  <si>
    <t>vbowker@ups.com</t>
  </si>
  <si>
    <t>nbowlby@ups.com</t>
  </si>
  <si>
    <t>laurenbowlden@ups.com</t>
  </si>
  <si>
    <t>jbowler@ups.com</t>
  </si>
  <si>
    <t>brianbowles@ups.com</t>
  </si>
  <si>
    <t>brittanybowles@ups.com</t>
  </si>
  <si>
    <t>dbowles@ups.com</t>
  </si>
  <si>
    <t>garybowles@ups.com</t>
  </si>
  <si>
    <t>kaneeshabowles@ups.com</t>
  </si>
  <si>
    <t>kbowles@ups.com</t>
  </si>
  <si>
    <t>nbowles@ups.com</t>
  </si>
  <si>
    <t>pbowles@ups.com</t>
  </si>
  <si>
    <t>rsbowles@ups.com</t>
  </si>
  <si>
    <t>rdbowles@ups.com</t>
  </si>
  <si>
    <t>shawnbowles@ups.com</t>
  </si>
  <si>
    <t>sbowles@ups.com</t>
  </si>
  <si>
    <t>susanbowles@ups.com</t>
  </si>
  <si>
    <t>dbowley@ups.com</t>
  </si>
  <si>
    <t>bbowlin@ups.com</t>
  </si>
  <si>
    <t>ebowlin@ups.com</t>
  </si>
  <si>
    <t>rbowlin@ups.com</t>
  </si>
  <si>
    <t>ronniebowlin@ups.com</t>
  </si>
  <si>
    <t>sbowlin@ups.com</t>
  </si>
  <si>
    <t>dbowling@ups.com</t>
  </si>
  <si>
    <t>hbowling@ups.com</t>
  </si>
  <si>
    <t>jamesbowling@ups.com</t>
  </si>
  <si>
    <t>jbowling@ups.com</t>
  </si>
  <si>
    <t>justinbowling@ups.com</t>
  </si>
  <si>
    <t>kbowling@ups.com</t>
  </si>
  <si>
    <t>madisonbowling@ups.com</t>
  </si>
  <si>
    <t>rbowling@ups.com</t>
  </si>
  <si>
    <t>abowmaker@ups.com</t>
  </si>
  <si>
    <t>abowman@ups.com</t>
  </si>
  <si>
    <t>cassbowman@ups.com</t>
  </si>
  <si>
    <t>catherinebowman@ups.com</t>
  </si>
  <si>
    <t>cmbowman@ups.com</t>
  </si>
  <si>
    <t>cbowman@ups.com</t>
  </si>
  <si>
    <t>derellebowman@ups.com</t>
  </si>
  <si>
    <t>edwardbowman@ups.com</t>
  </si>
  <si>
    <t>ebowman@ups.com</t>
  </si>
  <si>
    <t>erinbowman@ups.com</t>
  </si>
  <si>
    <t>fbowman@ups.com</t>
  </si>
  <si>
    <t>gennevievbowman@ups.com</t>
  </si>
  <si>
    <t>ian.bowman@europe.ups.com</t>
  </si>
  <si>
    <t>jasonbowman@ups.com</t>
  </si>
  <si>
    <t>jbowman@ups.com</t>
  </si>
  <si>
    <t>jxbowman@ups.com</t>
  </si>
  <si>
    <t>johnbowman@ups.com</t>
  </si>
  <si>
    <t>jbowman1@ups.com</t>
  </si>
  <si>
    <t>joshbowman@ups.com</t>
  </si>
  <si>
    <t>jbowman2@ups.com</t>
  </si>
  <si>
    <t>katherinebowman@ups.com</t>
  </si>
  <si>
    <t>kbowman@ups.com</t>
  </si>
  <si>
    <t>lbowman@ups.com</t>
  </si>
  <si>
    <t>mbowman1@ups.com</t>
  </si>
  <si>
    <t>pbowman@ups.com</t>
  </si>
  <si>
    <t>quintinbowman@ups.com</t>
  </si>
  <si>
    <t>qbowman@ups.com</t>
  </si>
  <si>
    <t>rachelbowman@ups.com</t>
  </si>
  <si>
    <t>randalbowman@ups.com</t>
  </si>
  <si>
    <t>robertbowman@ups.com</t>
  </si>
  <si>
    <t>rbowman@ups.com</t>
  </si>
  <si>
    <t>sbowman@ups.com</t>
  </si>
  <si>
    <t>tbowman@ups.com</t>
  </si>
  <si>
    <t>tinabowman@ups.com</t>
  </si>
  <si>
    <t>vbowman@ups.com</t>
  </si>
  <si>
    <t>wbowman@ups.com</t>
  </si>
  <si>
    <t>ebowmanyancy@ups.com</t>
  </si>
  <si>
    <t>mbowngreen@ups.com</t>
  </si>
  <si>
    <t>mbowse@ups.com</t>
  </si>
  <si>
    <t>hbowser@ups.com</t>
  </si>
  <si>
    <t>rbowser@ups.com</t>
  </si>
  <si>
    <t>sbowser@ups.com</t>
  </si>
  <si>
    <t>abowsher@ups.com</t>
  </si>
  <si>
    <t>paul.bowskill@europe.ups.com</t>
  </si>
  <si>
    <t>mbowsky@ups.com</t>
  </si>
  <si>
    <t>dbowyer@ups.com</t>
  </si>
  <si>
    <t>jbowyer@ups.com</t>
  </si>
  <si>
    <t>pbowyer@ups.com</t>
  </si>
  <si>
    <t>tbowyer@ups.com</t>
  </si>
  <si>
    <t>esfsboxcompliance@ups.com</t>
  </si>
  <si>
    <t>dbox@ups.com</t>
  </si>
  <si>
    <t>pboxdorfer@ups.com</t>
  </si>
  <si>
    <t>bmaryjoy@ups.com</t>
  </si>
  <si>
    <t>mboy@ups.com</t>
  </si>
  <si>
    <t>jboyano@ups.com</t>
  </si>
  <si>
    <t>bjoymarie@ups.com</t>
  </si>
  <si>
    <t>aboyce@ups.com</t>
  </si>
  <si>
    <t>jboyce@ups.com</t>
  </si>
  <si>
    <t>kboyce@ups.com</t>
  </si>
  <si>
    <t>mboyce@ups.com</t>
  </si>
  <si>
    <t>mariaboyce@ups.com</t>
  </si>
  <si>
    <t>pboyce@ups.com</t>
  </si>
  <si>
    <t>rboyce@ups.com</t>
  </si>
  <si>
    <t>tboyce@ups.com</t>
  </si>
  <si>
    <t>jboycheck@ups.com</t>
  </si>
  <si>
    <t>aaronboyd@ups.com</t>
  </si>
  <si>
    <t>aleahaboyd@ups.com</t>
  </si>
  <si>
    <t>aboyd1@ups.com</t>
  </si>
  <si>
    <t>annaboyd@ups.com</t>
  </si>
  <si>
    <t>aboyd@ups.com</t>
  </si>
  <si>
    <t>ariahboyd@ups.com</t>
  </si>
  <si>
    <t>bboyd@ups.com</t>
  </si>
  <si>
    <t>bpboyd@ups.com</t>
  </si>
  <si>
    <t>cboyd1@ups.com</t>
  </si>
  <si>
    <t>chermayneboyd@ups.com</t>
  </si>
  <si>
    <t>cboyd@ups.com</t>
  </si>
  <si>
    <t>colinboyd@ups.com</t>
  </si>
  <si>
    <t>connorboyd@ups.com</t>
  </si>
  <si>
    <t>ckboyd@ups.com</t>
  </si>
  <si>
    <t>danteboyd@ups.com</t>
  </si>
  <si>
    <t>ddboyd@ups.com</t>
  </si>
  <si>
    <t>DBoyd@ups.com</t>
  </si>
  <si>
    <t>dhboyd@ups.com</t>
  </si>
  <si>
    <t>gboyd@ups.com</t>
  </si>
  <si>
    <t>howardboyd@ups.com</t>
  </si>
  <si>
    <t>wboydiii@ups.com</t>
  </si>
  <si>
    <t>jacquiboyd@ups.com</t>
  </si>
  <si>
    <t>jboyd@ups.com</t>
  </si>
  <si>
    <t>jboyd2@ups.com</t>
  </si>
  <si>
    <t>jeffreyboyd@ups.com</t>
  </si>
  <si>
    <t>jenniferboyd@ups.com</t>
  </si>
  <si>
    <t>jboyd1@ups.com</t>
  </si>
  <si>
    <t>jessicaboyd@ups.com</t>
  </si>
  <si>
    <t>jaboyd@ups.com</t>
  </si>
  <si>
    <t>bboydjr@ups.com</t>
  </si>
  <si>
    <t>dboydjr@ups.com</t>
  </si>
  <si>
    <t>juwanboyd@ups.com</t>
  </si>
  <si>
    <t>kmboyd@ups.com</t>
  </si>
  <si>
    <t>kimberleyboyd@ups.com</t>
  </si>
  <si>
    <t>kboyd@ups.com</t>
  </si>
  <si>
    <t>kaboyd@ups.com</t>
  </si>
  <si>
    <t>kyleboyd@ups.com</t>
  </si>
  <si>
    <t>lboyd@ups.com</t>
  </si>
  <si>
    <t>lauraboyd@ups.com</t>
  </si>
  <si>
    <t>lucyboyd@ups.com</t>
  </si>
  <si>
    <t>madisonboyd@ups.com</t>
  </si>
  <si>
    <t>maryahboyd@ups.com</t>
  </si>
  <si>
    <t>maxwellboyd@ups.com</t>
  </si>
  <si>
    <t>mboyd@ups.com</t>
  </si>
  <si>
    <t>michaelboyd@ups.com</t>
  </si>
  <si>
    <t>nboyd@ups.com</t>
  </si>
  <si>
    <t>nickboyd@ups.com</t>
  </si>
  <si>
    <t>nuhaboyd@ups.com</t>
  </si>
  <si>
    <t>pkboyd@ups.com</t>
  </si>
  <si>
    <t>richardboyd@ups.com</t>
  </si>
  <si>
    <t>rickoboyd@ups.com</t>
  </si>
  <si>
    <t>rboyd@ups.com</t>
  </si>
  <si>
    <t>sboyd@ups.com</t>
  </si>
  <si>
    <t>tboyd@ups.com</t>
  </si>
  <si>
    <t>tiaboyd@ups.com</t>
  </si>
  <si>
    <t>timboyd@ups.com</t>
  </si>
  <si>
    <t>timothyboyd@ups.com</t>
  </si>
  <si>
    <t>tboyd1@ups.com</t>
  </si>
  <si>
    <t>travisboyd@ups.com</t>
  </si>
  <si>
    <t>treychonboyd@ups.com</t>
  </si>
  <si>
    <t>jboyda@ups.com</t>
  </si>
  <si>
    <t>eboye@ups.com</t>
  </si>
  <si>
    <t>nboye@ups.com</t>
  </si>
  <si>
    <t>barb@ups.com</t>
  </si>
  <si>
    <t>eboyeau@upslogistics.fr</t>
  </si>
  <si>
    <t>aboyer@ups.com</t>
  </si>
  <si>
    <t>brentboyer@ups.com</t>
  </si>
  <si>
    <t>cboyer@ups.com</t>
  </si>
  <si>
    <t>dianeboyer@ups.com</t>
  </si>
  <si>
    <t>dboyer@ups.com</t>
  </si>
  <si>
    <t>gboyer@ups.com</t>
  </si>
  <si>
    <t>jgboyer@ups.com</t>
  </si>
  <si>
    <t>jboyer@ups.com</t>
  </si>
  <si>
    <t>lboyer@ups.com</t>
  </si>
  <si>
    <t>mxboyer@ups.com</t>
  </si>
  <si>
    <t>mboyer@ups.com</t>
  </si>
  <si>
    <t>pboyer@ups.com</t>
  </si>
  <si>
    <t>rboyer@ups.com</t>
  </si>
  <si>
    <t>sboyer@ups.com</t>
  </si>
  <si>
    <t>silviaboyer@ups.com</t>
  </si>
  <si>
    <t>tboyer@ups.com</t>
  </si>
  <si>
    <t>wboyer@ups.com</t>
  </si>
  <si>
    <t>mboyes@ups.com</t>
  </si>
  <si>
    <t>cboyett@ups.com</t>
  </si>
  <si>
    <t>jeremieboyett@ups.com</t>
  </si>
  <si>
    <t>cboykin@ups.com</t>
  </si>
  <si>
    <t>jboykin@ups.com</t>
  </si>
  <si>
    <t>lboykin@ups.com</t>
  </si>
  <si>
    <t>boykin.shawn@ups.com</t>
  </si>
  <si>
    <t>sboykin@ups.com</t>
  </si>
  <si>
    <t>tboykin@ups.com</t>
  </si>
  <si>
    <t>jboykins@ups.com</t>
  </si>
  <si>
    <t>tatyanalboyko@ups.com</t>
  </si>
  <si>
    <t>jrboylan@ups.com</t>
  </si>
  <si>
    <t>joboylan@ups.com</t>
  </si>
  <si>
    <t>kboylan@ups.com</t>
  </si>
  <si>
    <t>boylan.marina@ups.com</t>
  </si>
  <si>
    <t>sboylan@ups.com</t>
  </si>
  <si>
    <t>benjaminboyle@ups.com</t>
  </si>
  <si>
    <t>bboyle@ups.com</t>
  </si>
  <si>
    <t>danielboyle@ups.com</t>
  </si>
  <si>
    <t>dboyle@ups.com</t>
  </si>
  <si>
    <t>eboyle@ups.com</t>
  </si>
  <si>
    <t>jboyle@ups.com</t>
  </si>
  <si>
    <t>jboyle1@ups.com</t>
  </si>
  <si>
    <t>jonathanboyle@ups.com</t>
  </si>
  <si>
    <t>kboyle@ups.com</t>
  </si>
  <si>
    <t>boyle.kristen@ups.com</t>
  </si>
  <si>
    <t>lboyle@ups.com</t>
  </si>
  <si>
    <t>maureenboyle@ups.com</t>
  </si>
  <si>
    <t>rboyle@ups.com</t>
  </si>
  <si>
    <t>rboyle1@ups.com</t>
  </si>
  <si>
    <t>sondraboyle@ups.com</t>
  </si>
  <si>
    <t>sboyle@ups.com</t>
  </si>
  <si>
    <t>tboyle@ups.com</t>
  </si>
  <si>
    <t>bboyles@ups.com</t>
  </si>
  <si>
    <t>cboyles@ups.com</t>
  </si>
  <si>
    <t>kathleenboyles@ups.com</t>
  </si>
  <si>
    <t>kboyles@ups.com</t>
  </si>
  <si>
    <t>sboyles@ups.com</t>
  </si>
  <si>
    <t>stboyles@ups.com</t>
  </si>
  <si>
    <t>dboynton@ups.com</t>
  </si>
  <si>
    <t>rboynton@ups.com</t>
  </si>
  <si>
    <t>sboynton@ups.com</t>
  </si>
  <si>
    <t>zboynton@ups.com</t>
  </si>
  <si>
    <t>dboyster@ups.com</t>
  </si>
  <si>
    <t>jboyster@ups.com</t>
  </si>
  <si>
    <t>oboyukulusoy@ups.com</t>
  </si>
  <si>
    <t>bayla@ups.com</t>
  </si>
  <si>
    <t>pboz@ups.com</t>
  </si>
  <si>
    <t>ybozaci@ups.com</t>
  </si>
  <si>
    <t>tbozak@ups.com</t>
  </si>
  <si>
    <t>bbozarth@ups.com</t>
  </si>
  <si>
    <t>clbozarth@ups.com</t>
  </si>
  <si>
    <t>noybozarth@ups.com</t>
  </si>
  <si>
    <t>bbozaslan@ups.com</t>
  </si>
  <si>
    <t>celalbozaslan@ups.com</t>
  </si>
  <si>
    <t>gbozdag@ups.com</t>
  </si>
  <si>
    <t>mbozdag@ups.com</t>
  </si>
  <si>
    <t>bbozdechova@ups.com</t>
  </si>
  <si>
    <t>bbozeman@ups.com</t>
  </si>
  <si>
    <t>rbozeman@ups.com</t>
  </si>
  <si>
    <t>larisabozhko@ups.com</t>
  </si>
  <si>
    <t>dbozic@ups.com</t>
  </si>
  <si>
    <t>fbozicevic@ups.com</t>
  </si>
  <si>
    <t>hbozkurt@ups.com</t>
  </si>
  <si>
    <t>ulkubozkus@ups.com</t>
  </si>
  <si>
    <t>obozoglu@ups.com</t>
  </si>
  <si>
    <t>sbozoglu@ups.com</t>
  </si>
  <si>
    <t>margaretbozoian@ups.com</t>
  </si>
  <si>
    <t>kbozsik@ups.com</t>
  </si>
  <si>
    <t>abozsiknechovanyecz@ups.com</t>
  </si>
  <si>
    <t>mbozuslu@ups.com</t>
  </si>
  <si>
    <t>tbozzay@ups.com</t>
  </si>
  <si>
    <t>bbozzelli@ups.com</t>
  </si>
  <si>
    <t>dbozzelli@ups.com</t>
  </si>
  <si>
    <t>jbozzo@upsstore.com</t>
  </si>
  <si>
    <t>bpuckett@electroglas.com</t>
  </si>
  <si>
    <t>bqateam@ups.com</t>
  </si>
  <si>
    <t>bjayaraj@ups.com</t>
  </si>
  <si>
    <t>oaintleadbr@ups.com</t>
  </si>
  <si>
    <t>brsttascsveinv@ups.com</t>
  </si>
  <si>
    <t>abraasch@ups.com</t>
  </si>
  <si>
    <t>gbraasch@ups.com</t>
  </si>
  <si>
    <t>kbraaten@ups.com</t>
  </si>
  <si>
    <t>kbraaton@ups.com</t>
  </si>
  <si>
    <t>jbraatz@ups.com</t>
  </si>
  <si>
    <t>braatzmitchell@ups.com</t>
  </si>
  <si>
    <t>tbraatz@ups.com</t>
  </si>
  <si>
    <t>jbrabham@ups.com</t>
  </si>
  <si>
    <t>sbrabrook@ups.com</t>
  </si>
  <si>
    <t>nbracamonte@ups.com</t>
  </si>
  <si>
    <t>abracamontez@ups.com</t>
  </si>
  <si>
    <t>ebrace@ups.com</t>
  </si>
  <si>
    <t>nbrace@ups.com</t>
  </si>
  <si>
    <t>dbraceland@ups.com</t>
  </si>
  <si>
    <t>pbraceros@ups.com</t>
  </si>
  <si>
    <t>jbracewell@ups.com</t>
  </si>
  <si>
    <t>kbracey@ups.com</t>
  </si>
  <si>
    <t>lbracey@ups.com</t>
  </si>
  <si>
    <t>emanuel.brachmann@europe.ups.com</t>
  </si>
  <si>
    <t>SPA1JZB@europe.ups.com</t>
  </si>
  <si>
    <t>mbrachter@ups.com</t>
  </si>
  <si>
    <t>mjbrack@ups.com</t>
  </si>
  <si>
    <t>pbracke@ups.com</t>
  </si>
  <si>
    <t>ybracke@ups.com</t>
  </si>
  <si>
    <t>cbracken@ups.com</t>
  </si>
  <si>
    <t>dbracken@ups.com</t>
  </si>
  <si>
    <t>jbracken@ups.com</t>
  </si>
  <si>
    <t>kbracken@ups.com</t>
  </si>
  <si>
    <t>mbracken@ups.com</t>
  </si>
  <si>
    <t>r.bracken@ups.com</t>
  </si>
  <si>
    <t>wbracken@ups.com</t>
  </si>
  <si>
    <t>cbrackett@ups.com</t>
  </si>
  <si>
    <t>dbrackett@ups.com</t>
  </si>
  <si>
    <t>jbrackett@ups.com</t>
  </si>
  <si>
    <t>jbrackett1@ups.com</t>
  </si>
  <si>
    <t>kbrackett@ups.com</t>
  </si>
  <si>
    <t>sbrackett@ups.com</t>
  </si>
  <si>
    <t>tbrackett@ups.com</t>
  </si>
  <si>
    <t>tbrackette@ups.com</t>
  </si>
  <si>
    <t>kbrackin@ups.com</t>
  </si>
  <si>
    <t>zanebracy@ups.com</t>
  </si>
  <si>
    <t>b.baker@holtkoetter.com</t>
  </si>
  <si>
    <t>bradb@originmicro.com</t>
  </si>
  <si>
    <t>Brad.bowman@us.kaercher.com</t>
  </si>
  <si>
    <t>brad.mckinney@wirtgen-group.com</t>
  </si>
  <si>
    <t>bthorne@hackbarthdelivery.com</t>
  </si>
  <si>
    <t>Brad.Heer@roche.com</t>
  </si>
  <si>
    <t>Brad.Stevenson@awwfw.com</t>
  </si>
  <si>
    <t>Brad_Tipple@ReyRey.com</t>
  </si>
  <si>
    <t>bbrada@ups.com</t>
  </si>
  <si>
    <t>cbrada@ups.com</t>
  </si>
  <si>
    <t>jbradberry@ups.com</t>
  </si>
  <si>
    <t>mbradberry@ups.com</t>
  </si>
  <si>
    <t>bbradburn@ups.com</t>
  </si>
  <si>
    <t>sbradburn@ups.com</t>
  </si>
  <si>
    <t>abradbury@ups.com</t>
  </si>
  <si>
    <t>hbradbury@ups.com</t>
  </si>
  <si>
    <t>mbradbury@ups.com</t>
  </si>
  <si>
    <t>rbradbury@ups.com</t>
  </si>
  <si>
    <t>tbradby@ups.com</t>
  </si>
  <si>
    <t>obraddick@ups.com</t>
  </si>
  <si>
    <t>pbradding@ups.com</t>
  </si>
  <si>
    <t>ebraddock@ups.com</t>
  </si>
  <si>
    <t>jbraddock@ups.com</t>
  </si>
  <si>
    <t>lbraddy@ups.com</t>
  </si>
  <si>
    <t>wbraddy@ups.com</t>
  </si>
  <si>
    <t>tbradel@ups.com</t>
  </si>
  <si>
    <t>bbraden@ups.com</t>
  </si>
  <si>
    <t>caseybraden@ups.com</t>
  </si>
  <si>
    <t>cbraden@ups.com</t>
  </si>
  <si>
    <t>dbraden@ups.com</t>
  </si>
  <si>
    <t>rhondabraden@ups.com</t>
  </si>
  <si>
    <t>sabrinabraden@ups.com</t>
  </si>
  <si>
    <t>sbraden@ups.com</t>
  </si>
  <si>
    <t>tbraden@ups.com</t>
  </si>
  <si>
    <t>glennbradfield@ups.com</t>
  </si>
  <si>
    <t>jlbradfield@ups.com</t>
  </si>
  <si>
    <t>abradford@ups.com</t>
  </si>
  <si>
    <t>calumbradford@ups.com</t>
  </si>
  <si>
    <t>donb@wheelpros.com</t>
  </si>
  <si>
    <t>druebradford@ups.com</t>
  </si>
  <si>
    <t>fbradford@ups.com</t>
  </si>
  <si>
    <t>jefferybradford@ups.com</t>
  </si>
  <si>
    <t>jbradford@ups.com</t>
  </si>
  <si>
    <t>jessicabradford@ups.com</t>
  </si>
  <si>
    <t>jodybradford@ups.com</t>
  </si>
  <si>
    <t>joeybradford@ups.com</t>
  </si>
  <si>
    <t>kbradford@ups.com</t>
  </si>
  <si>
    <t>lbradford@ups.com</t>
  </si>
  <si>
    <t>mbradford@ups.com</t>
  </si>
  <si>
    <t>nbradford@ups.com</t>
  </si>
  <si>
    <t>ravena.bradford@ups.com</t>
  </si>
  <si>
    <t>sbradford@ups.com</t>
  </si>
  <si>
    <t>tbradford@ups.com</t>
  </si>
  <si>
    <t>kbradham@ups.com</t>
  </si>
  <si>
    <t>mbradier@ups.com</t>
  </si>
  <si>
    <t>stephan.bradke@europe.ups.com</t>
  </si>
  <si>
    <t>jbradlee@ups.com</t>
  </si>
  <si>
    <t>albertbradley@ups.com</t>
  </si>
  <si>
    <t>abradley@ups.com</t>
  </si>
  <si>
    <t>BradleyJr@oneilltransferandstorage.com</t>
  </si>
  <si>
    <t>bbradley@ups.com</t>
  </si>
  <si>
    <t>brbradley@ups.com</t>
  </si>
  <si>
    <t>cbradley@ups.com</t>
  </si>
  <si>
    <t>christinebradley@ups.com</t>
  </si>
  <si>
    <t>coreybradley@ups.com</t>
  </si>
  <si>
    <t>drbradley@ups.com</t>
  </si>
  <si>
    <t>darianbradley@ups.com</t>
  </si>
  <si>
    <t>dariellebradley@ups.com</t>
  </si>
  <si>
    <t>dbradley1@ups.com</t>
  </si>
  <si>
    <t>davidbradley@ups.com</t>
  </si>
  <si>
    <t>dbradley@ups.com</t>
  </si>
  <si>
    <t>bradleydmp@ups.com</t>
  </si>
  <si>
    <t>ericbradley@ups.com</t>
  </si>
  <si>
    <t>ebradley@ups.com</t>
  </si>
  <si>
    <t>fxbradley@ups.com</t>
  </si>
  <si>
    <t>geoffreybradley@ups.com</t>
  </si>
  <si>
    <t>lbradleyiii@ups.com</t>
  </si>
  <si>
    <t>ibradley@ups.com</t>
  </si>
  <si>
    <t>jamesbradley@ups.com</t>
  </si>
  <si>
    <t>jgbradley@ups.com</t>
  </si>
  <si>
    <t>jeannebradley@ups.com</t>
  </si>
  <si>
    <t>jbradley@ups.com</t>
  </si>
  <si>
    <t>johannabradley@ups.com</t>
  </si>
  <si>
    <t>jonathanbradley@ups.com</t>
  </si>
  <si>
    <t>kennethbradley@ups.com</t>
  </si>
  <si>
    <t>kbradley@ups.com</t>
  </si>
  <si>
    <t>lbradley@ups.com</t>
  </si>
  <si>
    <t>latoyabradley@ups.com</t>
  </si>
  <si>
    <t>lenisbradley@ups.com</t>
  </si>
  <si>
    <t>loanbradley@ups.com</t>
  </si>
  <si>
    <t>malcolmbradley@ups.com</t>
  </si>
  <si>
    <t>markbradley@ups.com</t>
  </si>
  <si>
    <t>mbradley@ups.com</t>
  </si>
  <si>
    <t>miabradley@ups.com</t>
  </si>
  <si>
    <t>mebradley@ups.com</t>
  </si>
  <si>
    <t>bradley.natashia@ups.com</t>
  </si>
  <si>
    <t>obradley@ups.com</t>
  </si>
  <si>
    <t>pierrebradley@ups.com</t>
  </si>
  <si>
    <t>rachelbradley@ups.com</t>
  </si>
  <si>
    <t>rachellebradley@ups.com</t>
  </si>
  <si>
    <t>rbradley@ups.com</t>
  </si>
  <si>
    <t>robertbradley@ups.com</t>
  </si>
  <si>
    <t>ronaldjbradley@ups.com</t>
  </si>
  <si>
    <t>rossbradley@ups.com</t>
  </si>
  <si>
    <t>scottbradley@ups.com</t>
  </si>
  <si>
    <t>sethbradley@ups.com</t>
  </si>
  <si>
    <t>shawndrabradley@ups.com</t>
  </si>
  <si>
    <t>sheliabradley@ups.com</t>
  </si>
  <si>
    <t>shereathabradley@ups.com</t>
  </si>
  <si>
    <t>sbradley@ups.com</t>
  </si>
  <si>
    <t>taiisbradley@ups.com</t>
  </si>
  <si>
    <t>traceybradley@ups.com</t>
  </si>
  <si>
    <t>tbradley@ups.com</t>
  </si>
  <si>
    <t>triciabradley@ups.com</t>
  </si>
  <si>
    <t>tyronebradley@ups.com</t>
  </si>
  <si>
    <t>vbradley@ups.com</t>
  </si>
  <si>
    <t>bradley.ward@pop.decisionone.com</t>
  </si>
  <si>
    <t>williambradley@ups.com</t>
  </si>
  <si>
    <t>tbradon@ups.com</t>
  </si>
  <si>
    <t>annettebradsell@ups.com</t>
  </si>
  <si>
    <t>beckeybradshaw@ups.com</t>
  </si>
  <si>
    <t>benjaminbradshaw@ups.com</t>
  </si>
  <si>
    <t>cbradshaw@ups.com</t>
  </si>
  <si>
    <t>christinabradshaw@ups.com</t>
  </si>
  <si>
    <t>dbradshaw@ups.com</t>
  </si>
  <si>
    <t>hughbradshaw@ups.com</t>
  </si>
  <si>
    <t>mbradshawjr@ups.com</t>
  </si>
  <si>
    <t>kbradshaw@ups.com</t>
  </si>
  <si>
    <t>kwashabradshaw@ups.com</t>
  </si>
  <si>
    <t>lbradshaw@ups.com</t>
  </si>
  <si>
    <t>lxbradshaw@ups.com</t>
  </si>
  <si>
    <t>lukasbradshaw@ups.com</t>
  </si>
  <si>
    <t>matthewbradshaw@ups.com</t>
  </si>
  <si>
    <t>mbradshaw@ups.com</t>
  </si>
  <si>
    <t>pamelabradshaw@ups.com</t>
  </si>
  <si>
    <t>pbradshaw@ups.com</t>
  </si>
  <si>
    <t>sbradshaw@ups.com</t>
  </si>
  <si>
    <t>steve.bradshaw@fwltech.com</t>
  </si>
  <si>
    <t>syerriabradshaw@ups.com</t>
  </si>
  <si>
    <t>tbradshaw@ups.com</t>
  </si>
  <si>
    <t>tylerbradshaw@ups.com</t>
  </si>
  <si>
    <t>mbradstreet@ups.com</t>
  </si>
  <si>
    <t>gbradtmueller@ups.com</t>
  </si>
  <si>
    <t>golfcarman@triad.rr.com</t>
  </si>
  <si>
    <t>aaronbrady@ups.com</t>
  </si>
  <si>
    <t>abrady@ups.com</t>
  </si>
  <si>
    <t>amberbrady@ups.com</t>
  </si>
  <si>
    <t>cbrady@ups.com</t>
  </si>
  <si>
    <t>cbrady1@ups.com</t>
  </si>
  <si>
    <t>colleenbrady@ups.com</t>
  </si>
  <si>
    <t>dbrady@ups.com</t>
  </si>
  <si>
    <t>gbrady@ups.com</t>
  </si>
  <si>
    <t>jamesbrady@ups.com</t>
  </si>
  <si>
    <t>jbrady2@ups.com</t>
  </si>
  <si>
    <t>jbrady1@ups.com</t>
  </si>
  <si>
    <t>joshuabrady@ups.com</t>
  </si>
  <si>
    <t>mbradyjr@ups.com</t>
  </si>
  <si>
    <t>kileybrady@ups.com</t>
  </si>
  <si>
    <t>markbrady@ups.com</t>
  </si>
  <si>
    <t>melainebrady@ups.com</t>
  </si>
  <si>
    <t>mbrady@ups.com</t>
  </si>
  <si>
    <t>mikaylabrady@ups.com</t>
  </si>
  <si>
    <t>nbrady@ups.com</t>
  </si>
  <si>
    <t>parrisbrady@ups.com</t>
  </si>
  <si>
    <t>reginabrady@ups.com</t>
  </si>
  <si>
    <t>richardbrady@ups.com</t>
  </si>
  <si>
    <t>rbrady@ups.com</t>
  </si>
  <si>
    <t>sandy.brady@ups.com</t>
  </si>
  <si>
    <t>tbrady@ups.com</t>
  </si>
  <si>
    <t>timothybrady@ups.com</t>
  </si>
  <si>
    <t>bradydivisions@ups.com</t>
  </si>
  <si>
    <t>serge.braen@ups.com</t>
  </si>
  <si>
    <t>pascal.braeunling@europe.ups.com</t>
  </si>
  <si>
    <t>cbrafford@ups.com</t>
  </si>
  <si>
    <t>fernandobraga@ups.com</t>
  </si>
  <si>
    <t>fbraga@ups.com</t>
  </si>
  <si>
    <t>jbraga@ups.com</t>
  </si>
  <si>
    <t>mbraga@ups.com</t>
  </si>
  <si>
    <t>dbragaconklin@ups.com</t>
  </si>
  <si>
    <t>abragado@ups.com</t>
  </si>
  <si>
    <t>mbragaglia@ups.com</t>
  </si>
  <si>
    <t>tbragat@ups.com</t>
  </si>
  <si>
    <t>kbragel@ups.com</t>
  </si>
  <si>
    <t>cbragg@ups.com</t>
  </si>
  <si>
    <t>jamesbragg@ups.com</t>
  </si>
  <si>
    <t>jbragg@ups.com</t>
  </si>
  <si>
    <t>kbragg@ups.com</t>
  </si>
  <si>
    <t>kylebragg@ups.com</t>
  </si>
  <si>
    <t>rbragg@ups.com</t>
  </si>
  <si>
    <t>jodibragman@ups.com</t>
  </si>
  <si>
    <t>sbragt@ups.com</t>
  </si>
  <si>
    <t>bbragton@ups.com</t>
  </si>
  <si>
    <t>nbraguzzi@ups.com</t>
  </si>
  <si>
    <t>eliberkley@aol.com</t>
  </si>
  <si>
    <t>christian.braham@europe.ups.com</t>
  </si>
  <si>
    <t>jbraham@ups.com</t>
  </si>
  <si>
    <t>joshuabraham@ups.com</t>
  </si>
  <si>
    <t>berkjeans@aol.com</t>
  </si>
  <si>
    <t>abdelaziz.brahim@europe.ups.com</t>
  </si>
  <si>
    <t>FRA1GXB@europe.ups.com</t>
  </si>
  <si>
    <t>mbrahim@ups.com</t>
  </si>
  <si>
    <t>mlbrahim@upslogistics.fr</t>
  </si>
  <si>
    <t>bwbrahler@ups.com</t>
  </si>
  <si>
    <t>jbrahler@ups.com</t>
  </si>
  <si>
    <t>bbrahm@ups.com</t>
  </si>
  <si>
    <t>hbrahma@ups.com</t>
  </si>
  <si>
    <t>mbrahmam@ups.com</t>
  </si>
  <si>
    <t>mbrahmbhatt@ups.com</t>
  </si>
  <si>
    <t>rbrahmbhatt@ups.com</t>
  </si>
  <si>
    <t>mbraich@ups.com</t>
  </si>
  <si>
    <t>gbraid@ups.com</t>
  </si>
  <si>
    <t>tbraide@ups.com</t>
  </si>
  <si>
    <t>IRE1KBB@europe.ups.com</t>
  </si>
  <si>
    <t>ebrailsford@ups.com</t>
  </si>
  <si>
    <t>sbraimoh@ups.com</t>
  </si>
  <si>
    <t>abrainvizcarra@ups.com</t>
  </si>
  <si>
    <t>mnbradmp@ups.com</t>
  </si>
  <si>
    <t>abraithwaite@ups.com</t>
  </si>
  <si>
    <t>dbraithwaite@ups.com</t>
  </si>
  <si>
    <t>lbraithwaite@ups.com</t>
  </si>
  <si>
    <t>tbrake@ups.com</t>
  </si>
  <si>
    <t>abrakebill@ups.com</t>
  </si>
  <si>
    <t>rbrakenhoff@ups.com</t>
  </si>
  <si>
    <t>mbralic@ups.com</t>
  </si>
  <si>
    <t>mbrall@ups.com</t>
  </si>
  <si>
    <t>bbrallier@ups.com</t>
  </si>
  <si>
    <t>bbram@ups.com</t>
  </si>
  <si>
    <t>mbram@ups.com</t>
  </si>
  <si>
    <t>Brambila.Paul@ups.com</t>
  </si>
  <si>
    <t>gbrambilla@ups.com</t>
  </si>
  <si>
    <t>bbramble@ups.com</t>
  </si>
  <si>
    <t>cbramble@ups.com</t>
  </si>
  <si>
    <t>hbramble@ups.com</t>
  </si>
  <si>
    <t>jbramblett@ups.com</t>
  </si>
  <si>
    <t>lbrambrut@ups.com</t>
  </si>
  <si>
    <t>jbrame@ups.com</t>
  </si>
  <si>
    <t>mhbrame@ups.com</t>
  </si>
  <si>
    <t>abramhall@ups.com</t>
  </si>
  <si>
    <t>melissabramlage@ups.com</t>
  </si>
  <si>
    <t>ebramlett@ups.com</t>
  </si>
  <si>
    <t>jbramlett@ups.com</t>
  </si>
  <si>
    <t>robinbramlett@ups.com</t>
  </si>
  <si>
    <t>rbramlett@ups.com</t>
  </si>
  <si>
    <t>sbramlett@ups.com</t>
  </si>
  <si>
    <t>rbramley@ups.com</t>
  </si>
  <si>
    <t>sbramley@ups.com</t>
  </si>
  <si>
    <t>ubrammen@ups.com</t>
  </si>
  <si>
    <t>dbrammer@ups.com</t>
  </si>
  <si>
    <t>jbrammer@ups.com</t>
  </si>
  <si>
    <t>mbrammer@ups.com</t>
  </si>
  <si>
    <t>pbrammer@ups.com</t>
  </si>
  <si>
    <t>jbrammertz@ups.com</t>
  </si>
  <si>
    <t>dbrampton@ups.com</t>
  </si>
  <si>
    <t>sbrampton@ups.com</t>
  </si>
  <si>
    <t>nbrams@ups.com</t>
  </si>
  <si>
    <t>cbramwell@ups.com</t>
  </si>
  <si>
    <t>abran@ups.com</t>
  </si>
  <si>
    <t>danielbran@ups.com</t>
  </si>
  <si>
    <t>mbran@ups.com</t>
  </si>
  <si>
    <t>jbranvelasquez@ups.com</t>
  </si>
  <si>
    <t>cbrancamp@ups.com</t>
  </si>
  <si>
    <t>gbrancato@ups.com</t>
  </si>
  <si>
    <t>abranch@ups.com</t>
  </si>
  <si>
    <t>bbranch@ups.com</t>
  </si>
  <si>
    <t>cassidybranch@ups.com</t>
  </si>
  <si>
    <t>cbranch@ups.com</t>
  </si>
  <si>
    <t>constancebranch@ups.com</t>
  </si>
  <si>
    <t>ebranch@ups.com</t>
  </si>
  <si>
    <t>fbranch@ups.com</t>
  </si>
  <si>
    <t>hbranch@ups.com</t>
  </si>
  <si>
    <t>jasonbranch@ups.com</t>
  </si>
  <si>
    <t>lbranch@ups.com</t>
  </si>
  <si>
    <t>melodybranch@ups.com</t>
  </si>
  <si>
    <t>michaelbranch@ups.com</t>
  </si>
  <si>
    <t>nathanbranch@ups.com</t>
  </si>
  <si>
    <t>rachelbranch@ups.com</t>
  </si>
  <si>
    <t>rbranch@ups.com</t>
  </si>
  <si>
    <t>rsbranch@ups.com</t>
  </si>
  <si>
    <t>tonybranch@ups.com</t>
  </si>
  <si>
    <t>vbranch@ups.com</t>
  </si>
  <si>
    <t>zbranch@ups.com</t>
  </si>
  <si>
    <t>fbrancheriau@ups.com</t>
  </si>
  <si>
    <t>nbranco@ups.com</t>
  </si>
  <si>
    <t>jbrancon@ups.com</t>
  </si>
  <si>
    <t>brand@ups.com</t>
  </si>
  <si>
    <t>alexbrand@ups.com</t>
  </si>
  <si>
    <t>barbara.brand@europe.ups.com</t>
  </si>
  <si>
    <t>bbrand@ups.com</t>
  </si>
  <si>
    <t>ebrand@ups.com</t>
  </si>
  <si>
    <t>ibrand@ups.com</t>
  </si>
  <si>
    <t>kbrand@ups.com</t>
  </si>
  <si>
    <t>brandlegal@ups.com</t>
  </si>
  <si>
    <t>brandrequest@ups.com</t>
  </si>
  <si>
    <t>brandrequests1@ups.com</t>
  </si>
  <si>
    <t>ronaldbrand@ups.com</t>
  </si>
  <si>
    <t>brandsupport@ups.com</t>
  </si>
  <si>
    <t>Brandan.Luckey@lsofinalmile.com</t>
  </si>
  <si>
    <t>bbrandeberry@ups.com</t>
  </si>
  <si>
    <t>cbrandeberry@ups.com</t>
  </si>
  <si>
    <t>abrandeburg@ups.com</t>
  </si>
  <si>
    <t>bvsupport@ups.com</t>
  </si>
  <si>
    <t>abrandel@ups.com</t>
  </si>
  <si>
    <t>ebrandemihl@ups.com</t>
  </si>
  <si>
    <t>bbrandenburg@ups.com</t>
  </si>
  <si>
    <t>jbrandenburg@ups.com</t>
  </si>
  <si>
    <t>nbrandenburg@ups.com</t>
  </si>
  <si>
    <t>rbrandenburger@ups.com</t>
  </si>
  <si>
    <t>hbrandenburgh@ups.com</t>
  </si>
  <si>
    <t>brandiparham@msn.com</t>
  </si>
  <si>
    <t>Brandi_Wagner@Dell.com</t>
  </si>
  <si>
    <t>jbrandner@ups.com</t>
  </si>
  <si>
    <t>mbrandodoro@ups.com</t>
  </si>
  <si>
    <t>brandon.botteron@orange-ftgroup.com</t>
  </si>
  <si>
    <t>bburger@shipccs.com</t>
  </si>
  <si>
    <t>colebrandon@ups.com</t>
  </si>
  <si>
    <t>danebrandon@ups.com</t>
  </si>
  <si>
    <t>jakobbrandon@ups.com</t>
  </si>
  <si>
    <t>jamonicabrandon@ups.com</t>
  </si>
  <si>
    <t>josebrandon@ups.com</t>
  </si>
  <si>
    <t>jbrandon@ups.com</t>
  </si>
  <si>
    <t>kbrandon@ups.com</t>
  </si>
  <si>
    <t>mbrandon@ups.com</t>
  </si>
  <si>
    <t>bmcneil@shipccs.com</t>
  </si>
  <si>
    <t>nbrandon@ups.com</t>
  </si>
  <si>
    <t>pbrandon@ups.com</t>
  </si>
  <si>
    <t>sbrandon@ups.com</t>
  </si>
  <si>
    <t>stevenbrandon@ups.com</t>
  </si>
  <si>
    <t>tbrandon@ups.com</t>
  </si>
  <si>
    <t>brandon@waypointlogistics.com</t>
  </si>
  <si>
    <t>brandpromise@ups.com</t>
  </si>
  <si>
    <t>hbrandreth@ups.com</t>
  </si>
  <si>
    <t>bbrands@ups.com</t>
  </si>
  <si>
    <t>erica.brands@europe.ups.com</t>
  </si>
  <si>
    <t>hbrandstaetter@ups.com</t>
  </si>
  <si>
    <t>Manuela.Brandstaetter@uni-data.at</t>
  </si>
  <si>
    <t>gbrandstrom@ups.com</t>
  </si>
  <si>
    <t>bbrandt@ups.com</t>
  </si>
  <si>
    <t>dbrandt1@ups.com</t>
  </si>
  <si>
    <t>danielbrandt@ups.com</t>
  </si>
  <si>
    <t>domenicabrandt@ups.com</t>
  </si>
  <si>
    <t>donnabrandt@ups.com</t>
  </si>
  <si>
    <t>hbrandt@ups.com</t>
  </si>
  <si>
    <t>josephbrandt@ups.com</t>
  </si>
  <si>
    <t>jbrandt@ups.com</t>
  </si>
  <si>
    <t>markbrandt@ups.com</t>
  </si>
  <si>
    <t>mxbrandt@ups.com</t>
  </si>
  <si>
    <t>matthiasbrandt@ups.com</t>
  </si>
  <si>
    <t>michael.brandt@europe.ups.com</t>
  </si>
  <si>
    <t>mbrandt@ups.com</t>
  </si>
  <si>
    <t>nbrandt@ups.com</t>
  </si>
  <si>
    <t>oliviabrandt@ups.com</t>
  </si>
  <si>
    <t>sbrandt@ups.com</t>
  </si>
  <si>
    <t>seanbrandt@ups.com</t>
  </si>
  <si>
    <t>dagmar.brandts@europe.ups.com</t>
  </si>
  <si>
    <t>mbrandts@ups.com</t>
  </si>
  <si>
    <t>kbrandvold@ups.com</t>
  </si>
  <si>
    <t>bfikes@gardenridge.com</t>
  </si>
  <si>
    <t>rbrandy@ups.com</t>
  </si>
  <si>
    <t>rbrangers@ups.com</t>
  </si>
  <si>
    <t>sarabrangers@ups.com</t>
  </si>
  <si>
    <t>ebranham@ups.com</t>
  </si>
  <si>
    <t>jbranham@ups.com</t>
  </si>
  <si>
    <t>mbranham@ups.com</t>
  </si>
  <si>
    <t>tbranham@ups.com</t>
  </si>
  <si>
    <t>mbranicki@ups.com</t>
  </si>
  <si>
    <t>jbranigan@ups.com</t>
  </si>
  <si>
    <t>jbranin@ups.com</t>
  </si>
  <si>
    <t>jbrannagan@ups.com</t>
  </si>
  <si>
    <t>jasonbrannen@ups.com</t>
  </si>
  <si>
    <t>bbrannigan@ups.com</t>
  </si>
  <si>
    <t>carissabrannon@ups.com</t>
  </si>
  <si>
    <t>cbrannon@ups.com</t>
  </si>
  <si>
    <t>christopherbrannon@ups.com</t>
  </si>
  <si>
    <t>kbrannon@ups.com</t>
  </si>
  <si>
    <t>lindseybrannon@ups.com</t>
  </si>
  <si>
    <t>mbrannon@ups.com</t>
  </si>
  <si>
    <t>wbrannon@ups.com</t>
  </si>
  <si>
    <t>mbrannstrom@ups.com</t>
  </si>
  <si>
    <t>jbranscom@ups.com</t>
  </si>
  <si>
    <t>cbransford@ups.com</t>
  </si>
  <si>
    <t>dbranson@ups.com</t>
  </si>
  <si>
    <t>kbranson@ups.com</t>
  </si>
  <si>
    <t>jbranstetter@ups.com</t>
  </si>
  <si>
    <t>guilhermebrant@ups.com</t>
  </si>
  <si>
    <t>kbrant@ups.com</t>
  </si>
  <si>
    <t>sbrante@ups.com</t>
  </si>
  <si>
    <t>jbranthoover@ups.com</t>
  </si>
  <si>
    <t>tbranting@ups.com</t>
  </si>
  <si>
    <t>BRANTLEY.COLEMAN@ERICSSON.COM</t>
  </si>
  <si>
    <t>dbrantley@ups.com</t>
  </si>
  <si>
    <t>jebrantley@ups.com</t>
  </si>
  <si>
    <t>jbrantley@ups.com</t>
  </si>
  <si>
    <t>josephbrantley@ups.com</t>
  </si>
  <si>
    <t>pbrantley@ups.com</t>
  </si>
  <si>
    <t>priscillabrantley@ups.com</t>
  </si>
  <si>
    <t>sbrantley@ups.com</t>
  </si>
  <si>
    <t>jbranton@ups.com</t>
  </si>
  <si>
    <t>abrar@ups.com</t>
  </si>
  <si>
    <t>dbrar@ups.com</t>
  </si>
  <si>
    <t>gurjitbrar@ups.com</t>
  </si>
  <si>
    <t>gbrar@ups.com</t>
  </si>
  <si>
    <t>pbrar@ups.com</t>
  </si>
  <si>
    <t>brarnold@cisco.com</t>
  </si>
  <si>
    <t>cbras@ups.com</t>
  </si>
  <si>
    <t>bbrase@ups.com</t>
  </si>
  <si>
    <t>jbrasel@ups.com</t>
  </si>
  <si>
    <t>abrasfield@ups.com</t>
  </si>
  <si>
    <t>bbrasfield@ups.com</t>
  </si>
  <si>
    <t>kbrashear@ups.com</t>
  </si>
  <si>
    <t>tbrashears@ups.com</t>
  </si>
  <si>
    <t>dbrasher@ups.com</t>
  </si>
  <si>
    <t>jbrasher@ups.com</t>
  </si>
  <si>
    <t>kmbrasher@ups.com</t>
  </si>
  <si>
    <t>sbrasic@ups.com</t>
  </si>
  <si>
    <t>rbrasil@ups.com</t>
  </si>
  <si>
    <t>tbrasil@ups.com</t>
  </si>
  <si>
    <t>kbrask@ups.com</t>
  </si>
  <si>
    <t>sbraslavsky@ups.com</t>
  </si>
  <si>
    <t>nbrasowski@ups.com</t>
  </si>
  <si>
    <t>abrass@ups.com</t>
  </si>
  <si>
    <t>jbrass@ups.com</t>
  </si>
  <si>
    <t>sbrass@ups.com</t>
  </si>
  <si>
    <t>ebrasseur@upslogistics.fr</t>
  </si>
  <si>
    <t>dbraswell@ups.com</t>
  </si>
  <si>
    <t>ebraswell@ups.com</t>
  </si>
  <si>
    <t>fbraswell@ups.com</t>
  </si>
  <si>
    <t>mbraswell@ups.com</t>
  </si>
  <si>
    <t>sbraswell@ups.com</t>
  </si>
  <si>
    <t>tbraswell@ups.com</t>
  </si>
  <si>
    <t>pbraszkiewicz@ups.com</t>
  </si>
  <si>
    <t>abratcher@ups.com</t>
  </si>
  <si>
    <t>annabratcher@ups.com</t>
  </si>
  <si>
    <t>abratcher1@ups.com</t>
  </si>
  <si>
    <t>brandiebratcher@ups.com</t>
  </si>
  <si>
    <t>dbratcher@ups.com</t>
  </si>
  <si>
    <t>dylanbratcher@ups.com</t>
  </si>
  <si>
    <t>tbratcher@ups.com</t>
  </si>
  <si>
    <t>teresabratcher@ups.com</t>
  </si>
  <si>
    <t>kbrateoneil@ups.com</t>
  </si>
  <si>
    <t>zbrathova@ups.com</t>
  </si>
  <si>
    <t>mbrathuhn@ups.com</t>
  </si>
  <si>
    <t>enriquebrathwaite@ups.com</t>
  </si>
  <si>
    <t>gbrathwaite@ups.com</t>
  </si>
  <si>
    <t>jalisabrathwaite@ups.com</t>
  </si>
  <si>
    <t>jbrathwaite@ups.com</t>
  </si>
  <si>
    <t>michellebrathwaite@ups.com</t>
  </si>
  <si>
    <t>rbrathwaite@ups.com</t>
  </si>
  <si>
    <t>RRBrathwaite@livingstoninc.com</t>
  </si>
  <si>
    <t>abrathwaithe@ups.com</t>
  </si>
  <si>
    <t>dbratkovics@ups.com</t>
  </si>
  <si>
    <t>sbratlien@ups.com</t>
  </si>
  <si>
    <t>pbratova@ups.com</t>
  </si>
  <si>
    <t>pbratschek@ups.com</t>
  </si>
  <si>
    <t>kbrattain@ups.com</t>
  </si>
  <si>
    <t>cbratton@ups.com</t>
  </si>
  <si>
    <t>jbratton@ups.com</t>
  </si>
  <si>
    <t>pbratz@ups.com</t>
  </si>
  <si>
    <t>jbrauckman@ups.com</t>
  </si>
  <si>
    <t>jbrauer@ups.com</t>
  </si>
  <si>
    <t>mbrauer@ups.com</t>
  </si>
  <si>
    <t>ebraughton@ups.com</t>
  </si>
  <si>
    <t>gbraughton@ups.com</t>
  </si>
  <si>
    <t>lancebraughton@ups.com</t>
  </si>
  <si>
    <t>sbrauks@ups.com</t>
  </si>
  <si>
    <t>kbraum@ups.com</t>
  </si>
  <si>
    <t>abraun@ups.com</t>
  </si>
  <si>
    <t>cbraun@ups.com</t>
  </si>
  <si>
    <t>dbraun@ups.com</t>
  </si>
  <si>
    <t>braun.david@ups.com</t>
  </si>
  <si>
    <t>ebraun@ups.com</t>
  </si>
  <si>
    <t>jamesbraun@ups.com</t>
  </si>
  <si>
    <t>jessicabraun@ups.com</t>
  </si>
  <si>
    <t>johnnybraun@ups.com</t>
  </si>
  <si>
    <t>manuela.braun@europe.ups.com</t>
  </si>
  <si>
    <t>mbraun@ups.com</t>
  </si>
  <si>
    <t>tbraun@ups.com</t>
  </si>
  <si>
    <t>wilhelmbraun@ups.com</t>
  </si>
  <si>
    <t>oliver.braune@europe.ups.com</t>
  </si>
  <si>
    <t>sbraune@ups.com</t>
  </si>
  <si>
    <t>abrauner@ups.com</t>
  </si>
  <si>
    <t>kbrauner@ups.com</t>
  </si>
  <si>
    <t>melissabrauner@ups.com</t>
  </si>
  <si>
    <t>sbraungardt@ups.com</t>
  </si>
  <si>
    <t>ebraunns@ups.com</t>
  </si>
  <si>
    <t>wbrauns@ups.com</t>
  </si>
  <si>
    <t>jmbraunscheidel@ups.com</t>
  </si>
  <si>
    <t>sbraunschweig@ups.com</t>
  </si>
  <si>
    <t>centerbraunschweig@ups.com</t>
  </si>
  <si>
    <t>abrausch@ups.com</t>
  </si>
  <si>
    <t>cbraver1@ups.com</t>
  </si>
  <si>
    <t>abravo@ups.com</t>
  </si>
  <si>
    <t>annabravo@ups.com</t>
  </si>
  <si>
    <t>bbravo@ups.com</t>
  </si>
  <si>
    <t>byronbravo@ups.com</t>
  </si>
  <si>
    <t>cbravo@ups.com</t>
  </si>
  <si>
    <t>fbravo@ups.com</t>
  </si>
  <si>
    <t>cbravogomez@ups.com</t>
  </si>
  <si>
    <t>jbravo@ups.com</t>
  </si>
  <si>
    <t>kbravo@ups.com</t>
  </si>
  <si>
    <t>blovelydianne@ups.com</t>
  </si>
  <si>
    <t>lbravo@ups.com</t>
  </si>
  <si>
    <t>mariabravo@ups.com</t>
  </si>
  <si>
    <t>mbravo@ups.com</t>
  </si>
  <si>
    <t>renzo.bravo@europe.ups.com</t>
  </si>
  <si>
    <t>sbravo@ups.com</t>
  </si>
  <si>
    <t>tbrawand@ups.com</t>
  </si>
  <si>
    <t>mbrawley@ups.com</t>
  </si>
  <si>
    <t>cbrawner@ups.com</t>
  </si>
  <si>
    <t>mbrawner@ups.com</t>
  </si>
  <si>
    <t>rwbrawner@ups.com</t>
  </si>
  <si>
    <t>rbrawner@ups.com</t>
  </si>
  <si>
    <t>jbraxton@ups.com</t>
  </si>
  <si>
    <t>braxton.julian@ups.com</t>
  </si>
  <si>
    <t>kbraxton@ups.com</t>
  </si>
  <si>
    <t>rbraxton@ups.com</t>
  </si>
  <si>
    <t>sbraxton@ups.com</t>
  </si>
  <si>
    <t>jamesbray@ups.com</t>
  </si>
  <si>
    <t>jkbray@ups.com</t>
  </si>
  <si>
    <t>lbray@ups.com</t>
  </si>
  <si>
    <t>mbray@ups.com</t>
  </si>
  <si>
    <t>nbray@ups.com</t>
  </si>
  <si>
    <t>pbray@ups.com</t>
  </si>
  <si>
    <t>sbray@ups.com</t>
  </si>
  <si>
    <t>tbray@ups.com</t>
  </si>
  <si>
    <t>tylerbray@ups.com</t>
  </si>
  <si>
    <t>vbray@ups.com</t>
  </si>
  <si>
    <t>rbrayan@ups.com</t>
  </si>
  <si>
    <t>jbraye@ups.com</t>
  </si>
  <si>
    <t>sandrobraz@ups.com</t>
  </si>
  <si>
    <t>rbrazauskas@ups.com</t>
  </si>
  <si>
    <t>cbrazeal@ups.com</t>
  </si>
  <si>
    <t>rbrazeal@ups.com</t>
  </si>
  <si>
    <t>sbrazeau@livingstoninc.com</t>
  </si>
  <si>
    <t>mbrazel@ups.com</t>
  </si>
  <si>
    <t>smbrazell@ups.com</t>
  </si>
  <si>
    <t>tatyana.brazgun@europe.ups.com</t>
  </si>
  <si>
    <t>kbraziel@ups.com</t>
  </si>
  <si>
    <t>lbrazier@ups.com</t>
  </si>
  <si>
    <t>bbrazil@ups.com</t>
  </si>
  <si>
    <t>brazillpfcontrol@ups.com</t>
  </si>
  <si>
    <t>mbrazil@ups.com</t>
  </si>
  <si>
    <t>abrazille@ups.com</t>
  </si>
  <si>
    <t>jbreaden@ups.com</t>
  </si>
  <si>
    <t>jbready@ups.com</t>
  </si>
  <si>
    <t>kbreakfield@ups.com</t>
  </si>
  <si>
    <t>win@ups.com</t>
  </si>
  <si>
    <t>dbream@ups.com</t>
  </si>
  <si>
    <t>dbreard@ups.com</t>
  </si>
  <si>
    <t>obreau@ups.com</t>
  </si>
  <si>
    <t>tanyabreau@ups.com</t>
  </si>
  <si>
    <t>cbreault@ups.com</t>
  </si>
  <si>
    <t>jbreault@ups.com</t>
  </si>
  <si>
    <t>gbreaux@ups.com</t>
  </si>
  <si>
    <t>kbreaux@ups.com</t>
  </si>
  <si>
    <t>vbreaux@ups.com</t>
  </si>
  <si>
    <t>sbreazeale@ups.com</t>
  </si>
  <si>
    <t>kbrebner@ups.com</t>
  </si>
  <si>
    <t>cbrebnor@ups.com</t>
  </si>
  <si>
    <t>sbrechon@ups.com</t>
  </si>
  <si>
    <t>abrecht@ups.com</t>
  </si>
  <si>
    <t>jbrechtelsbauer@ups.com</t>
  </si>
  <si>
    <t>zbrecic@ups.com</t>
  </si>
  <si>
    <t>cbreckenridge@ups.com</t>
  </si>
  <si>
    <t>hbreckenridge@ups.com</t>
  </si>
  <si>
    <t>kbreckenridge@ups.com</t>
  </si>
  <si>
    <t>pbreckenridge@ups.com</t>
  </si>
  <si>
    <t>rbreda@ups.com</t>
  </si>
  <si>
    <t>jbredbenner@ups.com</t>
  </si>
  <si>
    <t>dbredenpohl@ups.com</t>
  </si>
  <si>
    <t>bbredensteiner@ups.com</t>
  </si>
  <si>
    <t>cbreder@ups.com</t>
  </si>
  <si>
    <t>gbredeson@ups.com</t>
  </si>
  <si>
    <t>bredestege.deborah@ups.com</t>
  </si>
  <si>
    <t>fbredewold@ups.com</t>
  </si>
  <si>
    <t>nbredohl@ups.com</t>
  </si>
  <si>
    <t>sabrinabredon@upsstore.com</t>
  </si>
  <si>
    <t>lbreed@ups.com</t>
  </si>
  <si>
    <t>rbreed@ups.com</t>
  </si>
  <si>
    <t>allsize@verizon.net</t>
  </si>
  <si>
    <t>aprilbreeden@ups.com</t>
  </si>
  <si>
    <t>dbreeden@ups.com</t>
  </si>
  <si>
    <t>jbreeden@ups.com</t>
  </si>
  <si>
    <t>rbreeden@ups.com</t>
  </si>
  <si>
    <t>sandrabreeden@ups.com</t>
  </si>
  <si>
    <t>abreedenjacobs@ups.com</t>
  </si>
  <si>
    <t>ibreeding@ups.com</t>
  </si>
  <si>
    <t>wbreeding@ups.com</t>
  </si>
  <si>
    <t>jenniferbreedlove@ups.com</t>
  </si>
  <si>
    <t>tbreedlove@ups.com</t>
  </si>
  <si>
    <t>tbreeman@ups.com</t>
  </si>
  <si>
    <t>cbreen@ups.com</t>
  </si>
  <si>
    <t>fbreen@ups.com</t>
  </si>
  <si>
    <t>jbreen@ups.com</t>
  </si>
  <si>
    <t>kbreen@ups.com</t>
  </si>
  <si>
    <t>melissabreen@ups.com</t>
  </si>
  <si>
    <t>tbreen@ups.com</t>
  </si>
  <si>
    <t>abreese@ups.com</t>
  </si>
  <si>
    <t>abreest@ups.com</t>
  </si>
  <si>
    <t>dbrehm@ups.com</t>
  </si>
  <si>
    <t>dbrehmer@ups.com</t>
  </si>
  <si>
    <t>dbrehon@ups.com</t>
  </si>
  <si>
    <t>hbreiland@ups.com</t>
  </si>
  <si>
    <t>sbreit@ups.com</t>
  </si>
  <si>
    <t>nbreitenbucher@ups.com</t>
  </si>
  <si>
    <t>dbreitenkamp@ups.com</t>
  </si>
  <si>
    <t>cbreitinger@ups.com</t>
  </si>
  <si>
    <t>mbreitkopf@ups.com</t>
  </si>
  <si>
    <t>gbrejoin@upslogistics.fr</t>
  </si>
  <si>
    <t>sbrekke@ups.com</t>
  </si>
  <si>
    <t>cbreland@ups.com</t>
  </si>
  <si>
    <t>mbreland@ups.com</t>
  </si>
  <si>
    <t>jbrelesky@ups.com</t>
  </si>
  <si>
    <t>pbrellandjr@ups.com</t>
  </si>
  <si>
    <t>Michael.Bremecker@ups.com</t>
  </si>
  <si>
    <t>bremencenter@ups.com</t>
  </si>
  <si>
    <t>gbremenkamp@ups.com</t>
  </si>
  <si>
    <t>nbremer@ups.com</t>
  </si>
  <si>
    <t>sbremerman@ups.com</t>
  </si>
  <si>
    <t>mercedesbremermann@upsstore.com</t>
  </si>
  <si>
    <t>lbremmers@ups.com</t>
  </si>
  <si>
    <t>rbrena@ups.com</t>
  </si>
  <si>
    <t>dbrenaman@ups.com</t>
  </si>
  <si>
    <t>Brenda_armstrong@canadacartage.com</t>
  </si>
  <si>
    <t>brenda.babin@koerner-co.com</t>
  </si>
  <si>
    <t>bbenavides@karmaninc.com</t>
  </si>
  <si>
    <t>brenda.bly@sirva.com</t>
  </si>
  <si>
    <t>BRENDA@FLASHBAY.COM</t>
  </si>
  <si>
    <t>BRENDAC@THEFORTRESSCOMPANY.COM</t>
  </si>
  <si>
    <t>beisnaug@totes.com</t>
  </si>
  <si>
    <t>brenda.fischer@wiltel.com</t>
  </si>
  <si>
    <t>Brenda.harper@beemak.com</t>
  </si>
  <si>
    <t>Brenda.Kateluzos@Geodis.com</t>
  </si>
  <si>
    <t>brendak.allstorage@gmail.com</t>
  </si>
  <si>
    <t>bmoxley@ariens.com</t>
  </si>
  <si>
    <t>brenda_phillips@vfc.com</t>
  </si>
  <si>
    <t>hhoffice@homesteadstorage.com</t>
  </si>
  <si>
    <t>wbrenda@ups.com</t>
  </si>
  <si>
    <t>brenda.mayo@compaq.com</t>
  </si>
  <si>
    <t>Brenda@isgtec.com</t>
  </si>
  <si>
    <t>duttonb@relayexpress.com</t>
  </si>
  <si>
    <t>dawnbreneman@ups.com</t>
  </si>
  <si>
    <t>sbreneman@ups.com</t>
  </si>
  <si>
    <t>kbrener@ups.com</t>
  </si>
  <si>
    <t>pbrenes@ups.com</t>
  </si>
  <si>
    <t>fbrenguesmouly@ups.com</t>
  </si>
  <si>
    <t>bbreniser@ups.com</t>
  </si>
  <si>
    <t>CBrenk@ups.com</t>
  </si>
  <si>
    <t>hbrenkus@ups.com</t>
  </si>
  <si>
    <t>abrennan@ups.com</t>
  </si>
  <si>
    <t>davebrennan@ups.com</t>
  </si>
  <si>
    <t>dbrennan@ups.com</t>
  </si>
  <si>
    <t>jxbrennan@ups.com</t>
  </si>
  <si>
    <t>jeanettebrennan@ups.com</t>
  </si>
  <si>
    <t>jbrennan@ups.com</t>
  </si>
  <si>
    <t>mbrennanjr@ups.com</t>
  </si>
  <si>
    <t>justinbrennan@ups.com</t>
  </si>
  <si>
    <t>kbrennan@ups.com</t>
  </si>
  <si>
    <t>kennethbrennan@ups.com</t>
  </si>
  <si>
    <t>lawrencebrennan@ups.com</t>
  </si>
  <si>
    <t>lbrennan@ups.com</t>
  </si>
  <si>
    <t>mbrennan@ups.com</t>
  </si>
  <si>
    <t>pbrennan@ups.com</t>
  </si>
  <si>
    <t>pxbrennan@ups.com</t>
  </si>
  <si>
    <t>priscillabrennan@ups.com</t>
  </si>
  <si>
    <t>roxanebrennan@ups.com</t>
  </si>
  <si>
    <t>smbrennan@ups.com</t>
  </si>
  <si>
    <t>seanbrennan@ups.com</t>
  </si>
  <si>
    <t>abrennen@ups.com</t>
  </si>
  <si>
    <t>oliver.brennenstuhl@europe.ups.com</t>
  </si>
  <si>
    <t>cbrenner@ups.com</t>
  </si>
  <si>
    <t>joannbrenner@ups.com</t>
  </si>
  <si>
    <t>mbrenner@ups.com</t>
  </si>
  <si>
    <t>rbrenner@ups.com</t>
  </si>
  <si>
    <t>rbrennesholtz@ups.com</t>
  </si>
  <si>
    <t>tbrennick@ups.com</t>
  </si>
  <si>
    <t>anthonybrent@ups.com</t>
  </si>
  <si>
    <t>abrent@ups.com</t>
  </si>
  <si>
    <t>bbrent@ups.com</t>
  </si>
  <si>
    <t>kbrent@ups.com</t>
  </si>
  <si>
    <t>bkettle@apple.com</t>
  </si>
  <si>
    <t>bmaille@umcproducts</t>
  </si>
  <si>
    <t>rbrent@ups.com</t>
  </si>
  <si>
    <t>samuelbrent@ups.com</t>
  </si>
  <si>
    <t>vbrent@ups.com</t>
  </si>
  <si>
    <t>bbrentar@ups.com</t>
  </si>
  <si>
    <t>jbrentham@ups.com</t>
  </si>
  <si>
    <t>sbrentin@ups.com</t>
  </si>
  <si>
    <t>sbrentley@ups.com</t>
  </si>
  <si>
    <t>dbrentner@ups.com</t>
  </si>
  <si>
    <t>lbrentzel@ups.com</t>
  </si>
  <si>
    <t>jbrenzel@ups.com</t>
  </si>
  <si>
    <t>treybreon@ups.com</t>
  </si>
  <si>
    <t>cbrereton@ups.com</t>
  </si>
  <si>
    <t>sbresadola@ups.com</t>
  </si>
  <si>
    <t>bresciacenter@ups.com</t>
  </si>
  <si>
    <t>sbresee@ups.com</t>
  </si>
  <si>
    <t>cbreshears@ups.com</t>
  </si>
  <si>
    <t>mbreshears@ups.com</t>
  </si>
  <si>
    <t>sbreski@ups.com</t>
  </si>
  <si>
    <t>mbreslin@ups.com</t>
  </si>
  <si>
    <t>kbresnahan@ups.com</t>
  </si>
  <si>
    <t>tbresnahan@ups.com</t>
  </si>
  <si>
    <t>pbresnan@ups.com</t>
  </si>
  <si>
    <t>pbressi@ups.com</t>
  </si>
  <si>
    <t>cbressler@ups.com</t>
  </si>
  <si>
    <t>mbresteau@ups.com</t>
  </si>
  <si>
    <t>mbreszka@ups.com</t>
  </si>
  <si>
    <t>nbreszka@ups.com</t>
  </si>
  <si>
    <t>abretado@ups.com</t>
  </si>
  <si>
    <t>breynaldo@ups.com</t>
  </si>
  <si>
    <t>dbretschneider@ups.com</t>
  </si>
  <si>
    <t>bbishop@hogan1.com</t>
  </si>
  <si>
    <t>Brett.Butler@pomeroy.com</t>
  </si>
  <si>
    <t>bgiles@ostusa.com</t>
  </si>
  <si>
    <t>jbrett@ups.com</t>
  </si>
  <si>
    <t>Brett@gohdi.com</t>
  </si>
  <si>
    <t>brett_wine@jabil.com</t>
  </si>
  <si>
    <t>Brett.Krukewitt@dynamex.com</t>
  </si>
  <si>
    <t>ebretten@ups.com</t>
  </si>
  <si>
    <t>ebretthauer@ups.com</t>
  </si>
  <si>
    <t>ebretz@ups.com</t>
  </si>
  <si>
    <t>dbretzjr@ups.com</t>
  </si>
  <si>
    <t>rbretz@ups.com</t>
  </si>
  <si>
    <t>bbreuer@ups.com</t>
  </si>
  <si>
    <t>cbreuer@ups.com</t>
  </si>
  <si>
    <t>fbreuer@ups.com</t>
  </si>
  <si>
    <t>frankbreuer@ups.com</t>
  </si>
  <si>
    <t>sbreuer@ups.com</t>
  </si>
  <si>
    <t>pbreughelmans@ups.com</t>
  </si>
  <si>
    <t>phillipbreunigjr@ups.com</t>
  </si>
  <si>
    <t>abreviario@ups.com</t>
  </si>
  <si>
    <t>aliciabreviario@ups.com</t>
  </si>
  <si>
    <t>jbreviariomehuron@ups.com</t>
  </si>
  <si>
    <t>cbrew@ups.com</t>
  </si>
  <si>
    <t>kbrew@ups.com</t>
  </si>
  <si>
    <t>mbrew@ups.com</t>
  </si>
  <si>
    <t>pbrew@ups.com</t>
  </si>
  <si>
    <t>alexisbrewer@ups.com</t>
  </si>
  <si>
    <t>alyciabrewer@ups.com</t>
  </si>
  <si>
    <t>abrewer@ups.com</t>
  </si>
  <si>
    <t>audreybrewer@ups.com</t>
  </si>
  <si>
    <t>austinbrewer@ups.com</t>
  </si>
  <si>
    <t>abrewer1@ups.com</t>
  </si>
  <si>
    <t>bbrewer@ups.com</t>
  </si>
  <si>
    <t>brodiebrewer@ups.com</t>
  </si>
  <si>
    <t>cbrewer@ups.com</t>
  </si>
  <si>
    <t>chadbrewer@ups.com</t>
  </si>
  <si>
    <t>chantabrewer@ups.com</t>
  </si>
  <si>
    <t>chrisbrewer@ups.com</t>
  </si>
  <si>
    <t>cabrewer@ups.com</t>
  </si>
  <si>
    <t>Brewer.Christopher@ups.com</t>
  </si>
  <si>
    <t>christopherbrewer@ups.com</t>
  </si>
  <si>
    <t>dbrewer1@ups.com</t>
  </si>
  <si>
    <t>danielbrewer@ups.com</t>
  </si>
  <si>
    <t>dbrewer@ups.com</t>
  </si>
  <si>
    <t>demitrebrewer@ups.com</t>
  </si>
  <si>
    <t>dominiquebrewer@ups.com</t>
  </si>
  <si>
    <t>dorthybrewer@ups.com</t>
  </si>
  <si>
    <t>jbrewer2@ups.com</t>
  </si>
  <si>
    <t>brewer.jeff@ups.com</t>
  </si>
  <si>
    <t>jjbrewer@ups.com</t>
  </si>
  <si>
    <t>jeffreybrewer@ups.com</t>
  </si>
  <si>
    <t>jeribrewer@ups.com</t>
  </si>
  <si>
    <t>justinbrewer@ups.com</t>
  </si>
  <si>
    <t>kbrewer@ups.com</t>
  </si>
  <si>
    <t>matthewbrewer@ups.com</t>
  </si>
  <si>
    <t>michaelbrewer@ups.com</t>
  </si>
  <si>
    <t>mabrewer@ups.com</t>
  </si>
  <si>
    <t>mbrewer@ups.com</t>
  </si>
  <si>
    <t>rbrewer@ups.com</t>
  </si>
  <si>
    <t>sbrewer@ups.com</t>
  </si>
  <si>
    <t>tbrewer@ups.com</t>
  </si>
  <si>
    <t>triggbrewer@ups.com</t>
  </si>
  <si>
    <t>vbrewer@ups.com</t>
  </si>
  <si>
    <t>jacquelinebrewingtonbeyah@ups.com</t>
  </si>
  <si>
    <t>ciarrabrewster@ups.com</t>
  </si>
  <si>
    <t>cbrewster@ups.com</t>
  </si>
  <si>
    <t>clintonbrewster@ups.com</t>
  </si>
  <si>
    <t>gbrewster@ups.com</t>
  </si>
  <si>
    <t>kathleenbrewster@ups.com</t>
  </si>
  <si>
    <t>rbrewster@ups.com</t>
  </si>
  <si>
    <t>kbrewton@ups.com</t>
  </si>
  <si>
    <t>mbreyer@ups.com</t>
  </si>
  <si>
    <t>ebreyette@ups.com</t>
  </si>
  <si>
    <t>kbreyman@ups.com</t>
  </si>
  <si>
    <t>nbreytenbach@ups.com</t>
  </si>
  <si>
    <t>lbreza@ups.com</t>
  </si>
  <si>
    <t>dbrezall@ups.com</t>
  </si>
  <si>
    <t>jbrezenski@ups.com</t>
  </si>
  <si>
    <t>fbrezovsek1@ups.com</t>
  </si>
  <si>
    <t>fbrezovsek@upslogistics.fr</t>
  </si>
  <si>
    <t>brgcrecerbrussels@ups.com</t>
  </si>
  <si>
    <t>millennialsde@ups.com</t>
  </si>
  <si>
    <t>bri.hunt@courierexpress.net</t>
  </si>
  <si>
    <t>sbria@ups.com</t>
  </si>
  <si>
    <t>jagjeevan.briah@europe.ups.com</t>
  </si>
  <si>
    <t>bardon@lenovo.com</t>
  </si>
  <si>
    <t>batwood@sea.samsung.com</t>
  </si>
  <si>
    <t>brian.cowan@seagate.com</t>
  </si>
  <si>
    <t>brian.e@rushmore.com</t>
  </si>
  <si>
    <t>heatherbrian@ups.com</t>
  </si>
  <si>
    <t>golfcartokc@gmail.com</t>
  </si>
  <si>
    <t>brian@a1portables.com</t>
  </si>
  <si>
    <t>BRIAN.ROTH@SELECTCOMFORT.COM</t>
  </si>
  <si>
    <t>bsteele@hadleydevelopment.com</t>
  </si>
  <si>
    <t>brian.suba@oneida.com</t>
  </si>
  <si>
    <t>brian@pmastey.com</t>
  </si>
  <si>
    <t>brian.viergutz@reynoldsbrands.com</t>
  </si>
  <si>
    <t>bwebb@carhartt.com</t>
  </si>
  <si>
    <t>Brian.Haslip@CFMTech.com</t>
  </si>
  <si>
    <t>brian.kane@hp.com</t>
  </si>
  <si>
    <t>brian.kreitzer@aspect.com</t>
  </si>
  <si>
    <t>Brian.Krieger@CFMTech.com</t>
  </si>
  <si>
    <t>Brian.Ross@CFMTech.com</t>
  </si>
  <si>
    <t>Brian.Schadhauser@creo.com</t>
  </si>
  <si>
    <t>brian_tully@int-color.com</t>
  </si>
  <si>
    <t>brian.horn@atandsonline.com</t>
  </si>
  <si>
    <t>bwilson@bigtimeproducts.net</t>
  </si>
  <si>
    <t>FRA1OXB@europe.ups.com</t>
  </si>
  <si>
    <t>dbribiesca@ups.com</t>
  </si>
  <si>
    <t>dbribiescas@ups.com</t>
  </si>
  <si>
    <t>bbricco@ups.com</t>
  </si>
  <si>
    <t>cbrice@ups.com</t>
  </si>
  <si>
    <t>careybrice@ups.com</t>
  </si>
  <si>
    <t>jbrice@ups.com</t>
  </si>
  <si>
    <t>tbricejr@ups.com</t>
  </si>
  <si>
    <t>lbrice@ups.com</t>
  </si>
  <si>
    <t>mbriceno@ups.com</t>
  </si>
  <si>
    <t>ebricenoretana@ups.com</t>
  </si>
  <si>
    <t>tbriceroy@ups.com</t>
  </si>
  <si>
    <t>sbrick@ups.com</t>
  </si>
  <si>
    <t>wbrick@ups.com</t>
  </si>
  <si>
    <t>lbricker@ups.com</t>
  </si>
  <si>
    <t>sbricker@ups.com</t>
  </si>
  <si>
    <t>cbrickey@ups.com</t>
  </si>
  <si>
    <t>kbrickey@ups.com</t>
  </si>
  <si>
    <t>michellebrickey@ups.com</t>
  </si>
  <si>
    <t>mbrickey@ups.com</t>
  </si>
  <si>
    <t>sbrickey@ups.com</t>
  </si>
  <si>
    <t>jbrickhouse@ups.com</t>
  </si>
  <si>
    <t>kbrickhouse@ups.com</t>
  </si>
  <si>
    <t>jbrickleyiii@ups.com</t>
  </si>
  <si>
    <t>rbrickman@ups.com</t>
  </si>
  <si>
    <t>dbrickner@ups.com</t>
  </si>
  <si>
    <t>mbrickner@ups.com</t>
  </si>
  <si>
    <t>kbricks@ups.com</t>
  </si>
  <si>
    <t>ibricman@ups.com</t>
  </si>
  <si>
    <t>tbridenbaker@ups.com</t>
  </si>
  <si>
    <t>jbridge@ups.com</t>
  </si>
  <si>
    <t>mbridge@ups.com</t>
  </si>
  <si>
    <t>bbridgeman@ups.com</t>
  </si>
  <si>
    <t>gbridgeman@ups.com</t>
  </si>
  <si>
    <t>sbridgeman@ups.com</t>
  </si>
  <si>
    <t>tbridgeman@ups.com</t>
  </si>
  <si>
    <t>dbridger@ups.com</t>
  </si>
  <si>
    <t>jbridger@ups.com</t>
  </si>
  <si>
    <t>sbridger@ups.com</t>
  </si>
  <si>
    <t>rbridgers@ups.com</t>
  </si>
  <si>
    <t>abridges@ups.com</t>
  </si>
  <si>
    <t>bbridges@ups.com</t>
  </si>
  <si>
    <t>brittanybridges@ups.com</t>
  </si>
  <si>
    <t>carol@centraldistributing.com</t>
  </si>
  <si>
    <t>cbridges@ups.com</t>
  </si>
  <si>
    <t>cindybridges@ups.com</t>
  </si>
  <si>
    <t>corderabridges@ups.com</t>
  </si>
  <si>
    <t>dbridges@ups.com</t>
  </si>
  <si>
    <t>edmundbridges@ups.com</t>
  </si>
  <si>
    <t>ebridges@ups.com</t>
  </si>
  <si>
    <t>lbridgesjr@ups.com</t>
  </si>
  <si>
    <t>julianbridges@ups.com</t>
  </si>
  <si>
    <t>katrinabridges@ups.com</t>
  </si>
  <si>
    <t>kbridges@ups.com</t>
  </si>
  <si>
    <t>larabridges@ups.com</t>
  </si>
  <si>
    <t>lbridges@ups.com</t>
  </si>
  <si>
    <t>miabridges@ups.com</t>
  </si>
  <si>
    <t>mbridges@ups.com</t>
  </si>
  <si>
    <t>nbridges@ups.com</t>
  </si>
  <si>
    <t>rashidabridges@ups.com</t>
  </si>
  <si>
    <t>scottbridges@ups.com</t>
  </si>
  <si>
    <t>cbridgessr@ups.com</t>
  </si>
  <si>
    <t>sbridges@ups.com</t>
  </si>
  <si>
    <t>tbridges@ups.com</t>
  </si>
  <si>
    <t>BLARE@STEREN.COM</t>
  </si>
  <si>
    <t>wbridgett@ups.com</t>
  </si>
  <si>
    <t>cbridgewater@ups.com</t>
  </si>
  <si>
    <t>mbridgewater@ups.com</t>
  </si>
  <si>
    <t>ben.omar.bridi@europe.ups.com</t>
  </si>
  <si>
    <t>rbridtter@ups.com</t>
  </si>
  <si>
    <t>cbridwell1@ups.com</t>
  </si>
  <si>
    <t>cbridwell@ups.com</t>
  </si>
  <si>
    <t>jbridwell@ups.com</t>
  </si>
  <si>
    <t>obridwell@ups.com</t>
  </si>
  <si>
    <t>bdadof5@yahoo.com</t>
  </si>
  <si>
    <t>amandabrier@ups.com</t>
  </si>
  <si>
    <t>christinebrierley@ups.com</t>
  </si>
  <si>
    <t>dbrierley@ups.com</t>
  </si>
  <si>
    <t>jbrierly@ups.com</t>
  </si>
  <si>
    <t>jbriers@ups.com</t>
  </si>
  <si>
    <t>hbrieva@ups.com</t>
  </si>
  <si>
    <t>brigadegbsmde@ups.com</t>
  </si>
  <si>
    <t>jbrigadier@ups.com</t>
  </si>
  <si>
    <t>rbrigati@ups.com</t>
  </si>
  <si>
    <t>dbrigden@ups.com</t>
  </si>
  <si>
    <t>cbriggman@ups.com</t>
  </si>
  <si>
    <t>adambriggs@ups.com</t>
  </si>
  <si>
    <t>alisabriggs@ups.com</t>
  </si>
  <si>
    <t>abriggs@ups.com</t>
  </si>
  <si>
    <t>cbriggs@ups.com</t>
  </si>
  <si>
    <t>hbriggs@ups.com</t>
  </si>
  <si>
    <t>jasonbriggs@ups.com</t>
  </si>
  <si>
    <t>jrbriggs@ups.com</t>
  </si>
  <si>
    <t>jbriggs@ups.com</t>
  </si>
  <si>
    <t>jbriggsjr@ups.com</t>
  </si>
  <si>
    <t>tbriggsjr@ups.com</t>
  </si>
  <si>
    <t>kenyabriggs@ups.com</t>
  </si>
  <si>
    <t>kbriggs@ups.com</t>
  </si>
  <si>
    <t>laurabriggs@ups.com</t>
  </si>
  <si>
    <t>mbriggs@ups.com</t>
  </si>
  <si>
    <t>michealbriggs@ups.com</t>
  </si>
  <si>
    <t>michelle@elianeusa.com</t>
  </si>
  <si>
    <t>rlbriggs@ups.com</t>
  </si>
  <si>
    <t>rjbriggs@ups.com</t>
  </si>
  <si>
    <t>rbriggs@ups.com</t>
  </si>
  <si>
    <t>ryeneshabriggs@ups.com</t>
  </si>
  <si>
    <t>sbriggs@ups.com</t>
  </si>
  <si>
    <t>seanbriggs@ups.com</t>
  </si>
  <si>
    <t>shirleybriggs@ups.com</t>
  </si>
  <si>
    <t>stuartbriggs@ups.com</t>
  </si>
  <si>
    <t>timothybriggs@ups.com</t>
  </si>
  <si>
    <t>vbriggs@ups.com</t>
  </si>
  <si>
    <t>wbriggs@ups.com</t>
  </si>
  <si>
    <t>dbrigham@ups.com</t>
  </si>
  <si>
    <t>nbrigham@ups.com</t>
  </si>
  <si>
    <t>sbrigham@ups.com</t>
  </si>
  <si>
    <t>tbrigham@ups.com</t>
  </si>
  <si>
    <t>abright@ups.com</t>
  </si>
  <si>
    <t>bxbright@ups.com</t>
  </si>
  <si>
    <t>bbright@ups.com</t>
  </si>
  <si>
    <t>dawnbright@ups.com</t>
  </si>
  <si>
    <t>dbright@ups.com</t>
  </si>
  <si>
    <t>hbright@ups.com</t>
  </si>
  <si>
    <t>jabright@ups.com</t>
  </si>
  <si>
    <t>jbright@ups.com</t>
  </si>
  <si>
    <t>jmbright@ups.com</t>
  </si>
  <si>
    <t>kbright@ups.com</t>
  </si>
  <si>
    <t>lbright@ups.com</t>
  </si>
  <si>
    <t>bright.mark@ups.com</t>
  </si>
  <si>
    <t>mbright@ups.com</t>
  </si>
  <si>
    <t>jbrighton@ups.com</t>
  </si>
  <si>
    <t>operations@brightstar.com</t>
  </si>
  <si>
    <t>mbrigith@ups.com</t>
  </si>
  <si>
    <t>mbrigliadoro@ups.com</t>
  </si>
  <si>
    <t>jbrigowatz@ups.com</t>
  </si>
  <si>
    <t>gbrikho@ups.com</t>
  </si>
  <si>
    <t>sbriks@ups.com</t>
  </si>
  <si>
    <t>ciarabriley@ups.com</t>
  </si>
  <si>
    <t>abrileythurlow@ups.com</t>
  </si>
  <si>
    <t>cbrill@ups.com</t>
  </si>
  <si>
    <t>jbrill@ups.com</t>
  </si>
  <si>
    <t>lebrill@ups.com</t>
  </si>
  <si>
    <t>samanthabrill@ups.com</t>
  </si>
  <si>
    <t>sbrill@ups.com</t>
  </si>
  <si>
    <t>brillanteschristopher@ups.com</t>
  </si>
  <si>
    <t>roswithabrillen@ups.com</t>
  </si>
  <si>
    <t>sbrilliant@ups.com</t>
  </si>
  <si>
    <t>bmariajoy@ups.com</t>
  </si>
  <si>
    <t>bbrim@ups.com</t>
  </si>
  <si>
    <t>dbrimhall@ups.com</t>
  </si>
  <si>
    <t>kbrimm@ups.com</t>
  </si>
  <si>
    <t>ebrimont@ups.com</t>
  </si>
  <si>
    <t>sbrims@ups.com</t>
  </si>
  <si>
    <t>sbrimson@ups.com</t>
  </si>
  <si>
    <t>mbrinca@ups.com</t>
  </si>
  <si>
    <t>sbrincefield@ups.com</t>
  </si>
  <si>
    <t>jasper.brinckman@europe.ups.com</t>
  </si>
  <si>
    <t>tbrinckman@ups.com</t>
  </si>
  <si>
    <t>mbrindusa@ups.com</t>
  </si>
  <si>
    <t>gbrineman@ups.com</t>
  </si>
  <si>
    <t>dbriney@ups.com</t>
  </si>
  <si>
    <t>rbriney@ups.com</t>
  </si>
  <si>
    <t>obringas@ups.com</t>
  </si>
  <si>
    <t>ebringe@ups.com</t>
  </si>
  <si>
    <t>jbringhurst@ups.com</t>
  </si>
  <si>
    <t>jbringia@ups.com</t>
  </si>
  <si>
    <t>danielbringle@ups.com</t>
  </si>
  <si>
    <t>tbringle@ups.com</t>
  </si>
  <si>
    <t>gbringman@ups.com</t>
  </si>
  <si>
    <t>jessicabrining@ups.com</t>
  </si>
  <si>
    <t>abrink@ups.com</t>
  </si>
  <si>
    <t>davebrink@ups.com</t>
  </si>
  <si>
    <t>dbrink@ups.com</t>
  </si>
  <si>
    <t>mbrink@ups.com</t>
  </si>
  <si>
    <t>pamela.brink@ups.com</t>
  </si>
  <si>
    <t>darianbrinkley@ups.com</t>
  </si>
  <si>
    <t>DBrinkley@ups.com</t>
  </si>
  <si>
    <t>jbrinkley@ups.com</t>
  </si>
  <si>
    <t>lbrinkley@ups.com</t>
  </si>
  <si>
    <t>nbrinkley@ups.com</t>
  </si>
  <si>
    <t>stephenbrinkley@ups.com</t>
  </si>
  <si>
    <t>gbrinkman@ups.com</t>
  </si>
  <si>
    <t>jbrinkman@ups.com</t>
  </si>
  <si>
    <t>johnbrinkman@ups.com</t>
  </si>
  <si>
    <t>pbrinkman@ups.com</t>
  </si>
  <si>
    <t>ebrinkmann@ups.com</t>
  </si>
  <si>
    <t>mbrinkmann@ups.com</t>
  </si>
  <si>
    <t>pbrinkmann@ups.com</t>
  </si>
  <si>
    <t>saschabrinkmann@ups.com</t>
  </si>
  <si>
    <t>dbrinkmeier@ups.com</t>
  </si>
  <si>
    <t>mbrinley@ups.com</t>
  </si>
  <si>
    <t>gbrinser@ups.com</t>
  </si>
  <si>
    <t>jabrinson@ups.com</t>
  </si>
  <si>
    <t>jbrinton@ups.com</t>
  </si>
  <si>
    <t>lbrion@ups.com</t>
  </si>
  <si>
    <t>bbenedictricci@ups.com</t>
  </si>
  <si>
    <t>cbriones@ups.com</t>
  </si>
  <si>
    <t>efrenbriones@ups.com</t>
  </si>
  <si>
    <t>ebriones@ups.com</t>
  </si>
  <si>
    <t>gxbriones@ups.com</t>
  </si>
  <si>
    <t>jbriones@ups.com</t>
  </si>
  <si>
    <t>jesusbriones@ups.com</t>
  </si>
  <si>
    <t>jbriones1@ups.com</t>
  </si>
  <si>
    <t>blovelynrose@ups.com</t>
  </si>
  <si>
    <t>lbriones@ups.com</t>
  </si>
  <si>
    <t>mnbriones@ups.com</t>
  </si>
  <si>
    <t>rbriones@ups.com</t>
  </si>
  <si>
    <t>vbriones@ups.com</t>
  </si>
  <si>
    <t>brobert@ups.com</t>
  </si>
  <si>
    <t>tbrisbin@ups.com</t>
  </si>
  <si>
    <t>rbrisby@ups.com</t>
  </si>
  <si>
    <t>ryanbrisco@ups.com</t>
  </si>
  <si>
    <t>abriscoe@ups.com</t>
  </si>
  <si>
    <t>cbriscoe@ups.com</t>
  </si>
  <si>
    <t>jessebriscoe@ups.com</t>
  </si>
  <si>
    <t>lbriscoe@ups.com</t>
  </si>
  <si>
    <t>latashabriscoe@ups.com</t>
  </si>
  <si>
    <t>sbriscoe@ups.com</t>
  </si>
  <si>
    <t>abriscombe@ups.com</t>
  </si>
  <si>
    <t>jbriscombe@parcelpro.com</t>
  </si>
  <si>
    <t>dbriscova@ups.com</t>
  </si>
  <si>
    <t>sbrisebois@ups.com</t>
  </si>
  <si>
    <t>jbrisendine@ups.com</t>
  </si>
  <si>
    <t>jbriseno@ups.com</t>
  </si>
  <si>
    <t>lbriseno@parcelpro.com</t>
  </si>
  <si>
    <t>tbriseno@ups.com</t>
  </si>
  <si>
    <t>tbrisgone@ups.com</t>
  </si>
  <si>
    <t>tbrishaber@ups.com</t>
  </si>
  <si>
    <t>pbrisse@ups.com</t>
  </si>
  <si>
    <t>pbrisset@upslogistics.fr</t>
  </si>
  <si>
    <t>fbrissettsr@ups.com</t>
  </si>
  <si>
    <t>nbrissette@ups.com</t>
  </si>
  <si>
    <t>mbrisson@ups.com</t>
  </si>
  <si>
    <t>pbrister@ups.com</t>
  </si>
  <si>
    <t>sbrister@ups.com</t>
  </si>
  <si>
    <t>genbristol_a@livingstoninc.com</t>
  </si>
  <si>
    <t>nikkibristoe@ups.com</t>
  </si>
  <si>
    <t>fbristol@ups.com</t>
  </si>
  <si>
    <t>GBristolb@livingstoninc.com</t>
  </si>
  <si>
    <t>lbristolslade@ups.com</t>
  </si>
  <si>
    <t>mbristow@ups.com</t>
  </si>
  <si>
    <t>rbriswalder@ups.com</t>
  </si>
  <si>
    <t>dbrite@ups.com</t>
  </si>
  <si>
    <t>kbrite@ups.com</t>
  </si>
  <si>
    <t>brite.lee@anixusa.com</t>
  </si>
  <si>
    <t>jbritko@ups.com</t>
  </si>
  <si>
    <t>cbritner@ups.com</t>
  </si>
  <si>
    <t>bmartin@spearkercraft.com</t>
  </si>
  <si>
    <t>abrito@ups.com</t>
  </si>
  <si>
    <t>jbrito@ups.com</t>
  </si>
  <si>
    <t>kbrito@ups.com</t>
  </si>
  <si>
    <t>mbrito@ups.com</t>
  </si>
  <si>
    <t>obrito@ups.com</t>
  </si>
  <si>
    <t>oliviabrito@ups.com</t>
  </si>
  <si>
    <t>rafaelabrito@ups.com</t>
  </si>
  <si>
    <t>rbrito@ups.com</t>
  </si>
  <si>
    <t>vbrito@ups.com</t>
  </si>
  <si>
    <t>baljohnpaul@ups.com</t>
  </si>
  <si>
    <t>hbrits@ups.com</t>
  </si>
  <si>
    <t>cbritt@ups.com</t>
  </si>
  <si>
    <t>dbritt@ups.com</t>
  </si>
  <si>
    <t>dpbritt@ups.com</t>
  </si>
  <si>
    <t>derekbritt@ups.com</t>
  </si>
  <si>
    <t>jenniferbritt@ups.com</t>
  </si>
  <si>
    <t>jeremybritt@ups.com</t>
  </si>
  <si>
    <t>jbritt@ups.com</t>
  </si>
  <si>
    <t>mbritt@ups.com</t>
  </si>
  <si>
    <t>michaelbritt@ups.com</t>
  </si>
  <si>
    <t>rbritt@ups.com</t>
  </si>
  <si>
    <t>wbritt@ups.com</t>
  </si>
  <si>
    <t>abrittain@ups.com</t>
  </si>
  <si>
    <t>daltonbrittain@ups.com</t>
  </si>
  <si>
    <t>dbrittain@ups.com</t>
  </si>
  <si>
    <t>eileen.brittain@ups.com</t>
  </si>
  <si>
    <t>hayleybrittain@ups.com</t>
  </si>
  <si>
    <t>jbrittain@ups.com</t>
  </si>
  <si>
    <t>tbrittain@ups.com</t>
  </si>
  <si>
    <t>trevorbrittain@ups.com</t>
  </si>
  <si>
    <t>vbrittain@ups.com</t>
  </si>
  <si>
    <t>Brittany.Biggs@dell.com</t>
  </si>
  <si>
    <t>sherribrittbromell@ups.com</t>
  </si>
  <si>
    <t>sbritten@ups.com</t>
  </si>
  <si>
    <t>hbrittingham@ups.com</t>
  </si>
  <si>
    <t>accountspayable@speakercraft.com</t>
  </si>
  <si>
    <t>joebritto@ups.com</t>
  </si>
  <si>
    <t>jbritto@ups.com</t>
  </si>
  <si>
    <t>rbritto@ups.com</t>
  </si>
  <si>
    <t>abritton@ups.com</t>
  </si>
  <si>
    <t>ebritton@ups.com</t>
  </si>
  <si>
    <t>gbritton@ups.com</t>
  </si>
  <si>
    <t>fbrittonjr@ups.com</t>
  </si>
  <si>
    <t>kbbritton@ups.com</t>
  </si>
  <si>
    <t>matthewbritton@ups.com</t>
  </si>
  <si>
    <t>michaelbritton@ups.com</t>
  </si>
  <si>
    <t>pmbritton@ups.com</t>
  </si>
  <si>
    <t>prbritton@ups.com</t>
  </si>
  <si>
    <t>scottbritton@ups.com</t>
  </si>
  <si>
    <t>sbritton@ups.com</t>
  </si>
  <si>
    <t>tiffineybritton@ups.com</t>
  </si>
  <si>
    <t>tbritton@ups.com</t>
  </si>
  <si>
    <t>cbritton@microsoft.com</t>
  </si>
  <si>
    <t>lbritz@ups.com</t>
  </si>
  <si>
    <t>cbrix@ups.com</t>
  </si>
  <si>
    <t>sbrixey@ups.com</t>
  </si>
  <si>
    <t>bbrizendine@ups.com</t>
  </si>
  <si>
    <t>vbrizendine@ups.com</t>
  </si>
  <si>
    <t>nbrizuela@ups.com</t>
  </si>
  <si>
    <t>dbrizzi@ups.com</t>
  </si>
  <si>
    <t>wbrizzi@ups.com</t>
  </si>
  <si>
    <t>mbrkic@ups.com</t>
  </si>
  <si>
    <t>michaelbrkljach@ups.com</t>
  </si>
  <si>
    <t>brlects@ups.com</t>
  </si>
  <si>
    <t>brlcustomercaresolutionsteam@ups.com</t>
  </si>
  <si>
    <t>rbrletich@ups.com</t>
  </si>
  <si>
    <t>brmshippingsupport@ups.com</t>
  </si>
  <si>
    <t>abroach@ups.com</t>
  </si>
  <si>
    <t>ybroadbent@ups.com</t>
  </si>
  <si>
    <t>BSN-GS-URGENTRMAORDERDESK.pdl@broadcom.com</t>
  </si>
  <si>
    <t>sbroaders@ups.com</t>
  </si>
  <si>
    <t>jrbroadhead@ups.com</t>
  </si>
  <si>
    <t>gbroadhurst@ups.com</t>
  </si>
  <si>
    <t>john.broadhurst@europe.ups.com</t>
  </si>
  <si>
    <t>lbroadhurst@ups.com</t>
  </si>
  <si>
    <t>pbroadhurst@ups.com</t>
  </si>
  <si>
    <t>robinbroadhurst@ups.com</t>
  </si>
  <si>
    <t>bbroadie@ups.com</t>
  </si>
  <si>
    <t>jbroadie@ups.com</t>
  </si>
  <si>
    <t>broadlane@ups.com</t>
  </si>
  <si>
    <t>zbroadmeadow@ups.com</t>
  </si>
  <si>
    <t>abroadnax@ups.com</t>
  </si>
  <si>
    <t>jbroadsword@ups.com</t>
  </si>
  <si>
    <t>jbroadus@ups.com</t>
  </si>
  <si>
    <t>catinabroadwater@ups.com</t>
  </si>
  <si>
    <t>abroadway@ups.com</t>
  </si>
  <si>
    <t>ebroadway@ups.com</t>
  </si>
  <si>
    <t>kbroadway@ups.com</t>
  </si>
  <si>
    <t>rbroadway@ups.com</t>
  </si>
  <si>
    <t>tysonbroadway@ups.com</t>
  </si>
  <si>
    <t>tbroady@ups.com</t>
  </si>
  <si>
    <t>fbrobbey@ups.com</t>
  </si>
  <si>
    <t>abrobbeyjr@ups.com</t>
  </si>
  <si>
    <t>ebrobeck@ups.com</t>
  </si>
  <si>
    <t>cbroberg@ups.com</t>
  </si>
  <si>
    <t>mbroberg@ups.com</t>
  </si>
  <si>
    <t>ebrocato@ups.com</t>
  </si>
  <si>
    <t>jenniferbrocato@ups.com</t>
  </si>
  <si>
    <t>sabrina.brocca@europe.ups.com</t>
  </si>
  <si>
    <t>sbroccolato@ups.com</t>
  </si>
  <si>
    <t>mbroch@ups.com</t>
  </si>
  <si>
    <t>cbroche@ups.com</t>
  </si>
  <si>
    <t>jbrochero@ups.com</t>
  </si>
  <si>
    <t>abrochu@ups.com</t>
  </si>
  <si>
    <t>bbrocious@ups.com</t>
  </si>
  <si>
    <t>aishabrock@ups.com</t>
  </si>
  <si>
    <t>angelabrock@ups.com</t>
  </si>
  <si>
    <t>brianbrock@ups.com</t>
  </si>
  <si>
    <t>carmenbrock@ups.com</t>
  </si>
  <si>
    <t>caseybrock@ups.com</t>
  </si>
  <si>
    <t>chandlerbrock@ups.com</t>
  </si>
  <si>
    <t>cbrock@ups.com</t>
  </si>
  <si>
    <t>hbrock@ups.com</t>
  </si>
  <si>
    <t>jlbrock@ups.com</t>
  </si>
  <si>
    <t>kaitlynbrock@ups.com</t>
  </si>
  <si>
    <t>kamenbrock@ups.com</t>
  </si>
  <si>
    <t>kbrock@ups.com</t>
  </si>
  <si>
    <t>kabrock@ups.com</t>
  </si>
  <si>
    <t>lbrock@ups.com</t>
  </si>
  <si>
    <t>mbrock@ups.com</t>
  </si>
  <si>
    <t>mbrock1@ups.com</t>
  </si>
  <si>
    <t>matthewbrock@ups.com</t>
  </si>
  <si>
    <t>reginabrock@ups.com</t>
  </si>
  <si>
    <t>rbrock@ups.com</t>
  </si>
  <si>
    <t>hbrockington@ups.com</t>
  </si>
  <si>
    <t>lbrockington@ups.com</t>
  </si>
  <si>
    <t>sbrockington@ups.com</t>
  </si>
  <si>
    <t>abrockman@ups.com</t>
  </si>
  <si>
    <t>gbrockman@ups.com</t>
  </si>
  <si>
    <t>hbrockman@ups.com</t>
  </si>
  <si>
    <t>jbrockman@ups.com</t>
  </si>
  <si>
    <t>sbrockman@ups.com</t>
  </si>
  <si>
    <t>stevenbrockman@ups.com</t>
  </si>
  <si>
    <t>tbrocks@ups.com</t>
  </si>
  <si>
    <t>lbrockway@ups.com</t>
  </si>
  <si>
    <t>abroda@ups.com</t>
  </si>
  <si>
    <t>pbrodawka@ups.com</t>
  </si>
  <si>
    <t>dwaynebroderick@ups.com</t>
  </si>
  <si>
    <t>ebroderick@ups.com</t>
  </si>
  <si>
    <t>jbroderick@ups.com</t>
  </si>
  <si>
    <t>pbroderick@ups.com</t>
  </si>
  <si>
    <t>broderick.rebecca@ups.com</t>
  </si>
  <si>
    <t>sbroderick1@ups.com</t>
  </si>
  <si>
    <t>ebrodersen@ups.com</t>
  </si>
  <si>
    <t>jenniferbrodersen@ups.com</t>
  </si>
  <si>
    <t>mbrodesser@ups.com</t>
  </si>
  <si>
    <t>thomas.brodesser@europe.ups.com</t>
  </si>
  <si>
    <t>mbrodeur@ups.com</t>
  </si>
  <si>
    <t>bbrodie@ups.com</t>
  </si>
  <si>
    <t>lorraine.brodie@ups.com</t>
  </si>
  <si>
    <t>qbrodie@ups.com</t>
  </si>
  <si>
    <t>tbrodie@ups.com</t>
  </si>
  <si>
    <t>kayingobrodmeier@ups.com</t>
  </si>
  <si>
    <t>Sandra.Brodowski@uni-data.de</t>
  </si>
  <si>
    <t>tbrodziak@ups.com</t>
  </si>
  <si>
    <t>abroedel@ups.com</t>
  </si>
  <si>
    <t>gerhard.broegelmann@europe.ups.com</t>
  </si>
  <si>
    <t>nbroeggerjensen@ups.com</t>
  </si>
  <si>
    <t>cbroejohnson@ups.com</t>
  </si>
  <si>
    <t>mbroek@ups.com</t>
  </si>
  <si>
    <t>kbroeker@ups.com</t>
  </si>
  <si>
    <t>dbroell@ups.com</t>
  </si>
  <si>
    <t>labroell@ups.com</t>
  </si>
  <si>
    <t>nbroessel@ups.com</t>
  </si>
  <si>
    <t>mbroexkes@ups.com</t>
  </si>
  <si>
    <t>tbrofka@ups.com</t>
  </si>
  <si>
    <t>dbrogan@ups.com</t>
  </si>
  <si>
    <t>ebrogan@ups.com</t>
  </si>
  <si>
    <t>jbrogan@ups.com</t>
  </si>
  <si>
    <t>brogan.joan@ups.com</t>
  </si>
  <si>
    <t>jpbrogan@ups.com</t>
  </si>
  <si>
    <t>brogan.marlene@ups.com</t>
  </si>
  <si>
    <t>Brogan.William@ups.com</t>
  </si>
  <si>
    <t>zbrogan@ups.com</t>
  </si>
  <si>
    <t>kbroganpatridge@ups.com</t>
  </si>
  <si>
    <t>kbrogdon@ups.com</t>
  </si>
  <si>
    <t>sbrogdon@ups.com</t>
  </si>
  <si>
    <t>tbrohl@ups.com</t>
  </si>
  <si>
    <t>cbrohm@ups.com</t>
  </si>
  <si>
    <t>claudia.broisch@europe.ups.com</t>
  </si>
  <si>
    <t>jbrok@ups.com</t>
  </si>
  <si>
    <t>broker.bills@livingstonintl.com</t>
  </si>
  <si>
    <t>Broker.Report.PMS@snapon.com</t>
  </si>
  <si>
    <t>brokacctupdate@ups.com</t>
  </si>
  <si>
    <t>audatamgmt1@ups.com</t>
  </si>
  <si>
    <t>belgiumbrokerageedi@ups.com</t>
  </si>
  <si>
    <t>brokerage.belgium@europe.ups.com</t>
  </si>
  <si>
    <t>liberacao@ups.com</t>
  </si>
  <si>
    <t>brokeragebriefing@ups.com</t>
  </si>
  <si>
    <t>frcdgtransit@ups.com</t>
  </si>
  <si>
    <t>brokeragecommunications@ups.com</t>
  </si>
  <si>
    <t>brokeragecsru@ups.com</t>
  </si>
  <si>
    <t>sgbca@ups.com</t>
  </si>
  <si>
    <t>cctnavigator@ups.com</t>
  </si>
  <si>
    <t>stellungnahmen@ups.com</t>
  </si>
  <si>
    <t>debrokspecial@ups.com</t>
  </si>
  <si>
    <t>armycgn@ups.com</t>
  </si>
  <si>
    <t>importinfo@ups.com</t>
  </si>
  <si>
    <t>importde@ups.com</t>
  </si>
  <si>
    <t>brokeragedecgnratingfax@ups.com</t>
  </si>
  <si>
    <t>ratreclamation@ups.com</t>
  </si>
  <si>
    <t>brokeragesi@ups.com</t>
  </si>
  <si>
    <t>broexportpt@ups.com</t>
  </si>
  <si>
    <t>brokeragefinancewebsupport@ups.com</t>
  </si>
  <si>
    <t>frbrokerage@ups.com</t>
  </si>
  <si>
    <t>bro.01.5779.uk@europe.ups.com</t>
  </si>
  <si>
    <t>grbrokerage@ups.com</t>
  </si>
  <si>
    <t>bhrc@ups.com</t>
  </si>
  <si>
    <t>bisrfred@ups.com</t>
  </si>
  <si>
    <t>brke@ups.com</t>
  </si>
  <si>
    <t>kixexport@ups.com</t>
  </si>
  <si>
    <t>kiximport@ups.com</t>
  </si>
  <si>
    <t>kiximportid@ups.com</t>
  </si>
  <si>
    <t>brokerageperu@ups.com</t>
  </si>
  <si>
    <t>brokretention@ups.com</t>
  </si>
  <si>
    <t>sebrokcin@ups.com</t>
  </si>
  <si>
    <t>sebroknight@ups.com</t>
  </si>
  <si>
    <t>sebroktdoc@ups.com</t>
  </si>
  <si>
    <t>sebroketrainer@ups.com</t>
  </si>
  <si>
    <t>sebrokexport@ups.com</t>
  </si>
  <si>
    <t>sebrokimp1@ups.com</t>
  </si>
  <si>
    <t>bro.02.5209.se@europe.ups.com</t>
  </si>
  <si>
    <t>sebolscs@ups.com</t>
  </si>
  <si>
    <t>kojin@ups.com</t>
  </si>
  <si>
    <t>brkshincs@ups.com</t>
  </si>
  <si>
    <t>shinkibavlm@ups.com</t>
  </si>
  <si>
    <t>brkshnexport@ups.com</t>
  </si>
  <si>
    <t>brkshnnight@ups.com</t>
  </si>
  <si>
    <t>userrep@ups.com</t>
  </si>
  <si>
    <t>userrepfrt@ups.com</t>
  </si>
  <si>
    <t>brokeragetipsoftheday@ups.com</t>
  </si>
  <si>
    <t>brokeragetraining@ups.com</t>
  </si>
  <si>
    <t>brokeragema@ups.com</t>
  </si>
  <si>
    <t>importpyr@ups.com</t>
  </si>
  <si>
    <t>brokerageno@ups.com</t>
  </si>
  <si>
    <t>brokeragepb@ups.com</t>
  </si>
  <si>
    <t>brokeragept@ups.com</t>
  </si>
  <si>
    <t>brokeragescspl@ups.com</t>
  </si>
  <si>
    <t>pbrokes@ups.com</t>
  </si>
  <si>
    <t>tbrokop@ups.com</t>
  </si>
  <si>
    <t>tbrokos@ups.com</t>
  </si>
  <si>
    <t>vbrokvist@ups.com</t>
  </si>
  <si>
    <t>abroll@ups.com</t>
  </si>
  <si>
    <t>sbrom@ups.com</t>
  </si>
  <si>
    <t>abromley@ups.com</t>
  </si>
  <si>
    <t>dbromley@ups.com</t>
  </si>
  <si>
    <t>kevinbromley@ups.com</t>
  </si>
  <si>
    <t>kbromley@ups.com</t>
  </si>
  <si>
    <t>joanbromm@ups.com</t>
  </si>
  <si>
    <t>kbrommer@ups.com</t>
  </si>
  <si>
    <t>bron.walis@motorola.com</t>
  </si>
  <si>
    <t>cbronander@ups.com</t>
  </si>
  <si>
    <t>dbronecke@ups.com</t>
  </si>
  <si>
    <t>rbronicki@ups.com</t>
  </si>
  <si>
    <t>sbronikowski@ups.com</t>
  </si>
  <si>
    <t>cariebronnenberg@ups.com</t>
  </si>
  <si>
    <t>mbronnenberg@ups.com</t>
  </si>
  <si>
    <t>jbronner@ups.com</t>
  </si>
  <si>
    <t>bbronson@ups.com</t>
  </si>
  <si>
    <t>ebronson@ups.com</t>
  </si>
  <si>
    <t>mbronstad@ups.com</t>
  </si>
  <si>
    <t>ibrooke@ups.com</t>
  </si>
  <si>
    <t>cabelas_brokerage_group@cabelas.com</t>
  </si>
  <si>
    <t>dbrooker@ups.com</t>
  </si>
  <si>
    <t>ibrooker@ups.com</t>
  </si>
  <si>
    <t>jbrooker@ups.com</t>
  </si>
  <si>
    <t>lbrooker@ups.com</t>
  </si>
  <si>
    <t>nbrooker@ups.com</t>
  </si>
  <si>
    <t>debbie.brookes@ups.com</t>
  </si>
  <si>
    <t>lbrookes@ups.com</t>
  </si>
  <si>
    <t>dbrookfield@ups.com</t>
  </si>
  <si>
    <t>dbrookins@ups.com</t>
  </si>
  <si>
    <t>rbrookins@ups.com</t>
  </si>
  <si>
    <t>dbrookman@ups.com</t>
  </si>
  <si>
    <t>affordablerentalcorp@yahoo.com</t>
  </si>
  <si>
    <t>allen.brooks@europe.ups.com</t>
  </si>
  <si>
    <t>abrooks@ups.com</t>
  </si>
  <si>
    <t>andrebrooks@ups.com</t>
  </si>
  <si>
    <t>andreasbrooks@ups.com</t>
  </si>
  <si>
    <t>ashleybrooks@ups.com</t>
  </si>
  <si>
    <t>asiabrooks@ups.com</t>
  </si>
  <si>
    <t>austinbrooks@ups.com</t>
  </si>
  <si>
    <t>benjaminbrooks@ups.com</t>
  </si>
  <si>
    <t>bradleybrooks@ups.com</t>
  </si>
  <si>
    <t>bbrooks@ups.com</t>
  </si>
  <si>
    <t>brionnabrooks@ups.com</t>
  </si>
  <si>
    <t>brittneybrooks@ups.com</t>
  </si>
  <si>
    <t>brooklynbrooks@ups.com</t>
  </si>
  <si>
    <t>cabrooks@ups.com</t>
  </si>
  <si>
    <t>caseybrooks@ups.com</t>
  </si>
  <si>
    <t>cbrooks1@ups.com</t>
  </si>
  <si>
    <t>clbrooks@ups.com</t>
  </si>
  <si>
    <t>craigbrooks@ups.com</t>
  </si>
  <si>
    <t>cbrooks2@ups.com</t>
  </si>
  <si>
    <t>cynthiabrooks@ups.com</t>
  </si>
  <si>
    <t>davidbrooks@ups.com</t>
  </si>
  <si>
    <t>dlbrooks@ups.com</t>
  </si>
  <si>
    <t>dbrooks2@ups.com</t>
  </si>
  <si>
    <t>elizabethbrooks@ups.com</t>
  </si>
  <si>
    <t>ebrooks@ups.com</t>
  </si>
  <si>
    <t>gbrooks@ups.com</t>
  </si>
  <si>
    <t>gbbrooks@ups.com</t>
  </si>
  <si>
    <t>gregorybrooks@ups.com</t>
  </si>
  <si>
    <t>haleybrooks@ups.com</t>
  </si>
  <si>
    <t>hbrooks@ups.com</t>
  </si>
  <si>
    <t>hbrooksii@ups.com</t>
  </si>
  <si>
    <t>jacobbrooks@ups.com</t>
  </si>
  <si>
    <t>jebrooks@ups.com</t>
  </si>
  <si>
    <t>jbrooks@ups.com</t>
  </si>
  <si>
    <t>jearoldbrooks@ups.com</t>
  </si>
  <si>
    <t>jessebrooks@ups.com</t>
  </si>
  <si>
    <t>jbrooks1@ups.com</t>
  </si>
  <si>
    <t>joshuabrooks@ups.com</t>
  </si>
  <si>
    <t>kjbrooks@ups.com</t>
  </si>
  <si>
    <t>kemronbrooks@ups.com</t>
  </si>
  <si>
    <t>kylebrooks@ups.com</t>
  </si>
  <si>
    <t>laroshiabrooks@ups.com</t>
  </si>
  <si>
    <t>laruthbrooks@ups.com</t>
  </si>
  <si>
    <t>laurenbrooks@ups.com</t>
  </si>
  <si>
    <t>lauriebrooks@ups.com</t>
  </si>
  <si>
    <t>lwbrooks@ups.com</t>
  </si>
  <si>
    <t>leobrooks@ups.com</t>
  </si>
  <si>
    <t>lbrooks@ups.com</t>
  </si>
  <si>
    <t>marilynbrooks@ups.com</t>
  </si>
  <si>
    <t>maureen.brooks@ups.com</t>
  </si>
  <si>
    <t>melaniebrooks@ups.com</t>
  </si>
  <si>
    <t>michaelbrooks@ups.com</t>
  </si>
  <si>
    <t>michelebrooks@ups.com</t>
  </si>
  <si>
    <t>mbrooks@ups.com</t>
  </si>
  <si>
    <t>militabrooks@ups.com</t>
  </si>
  <si>
    <t>nbrooks@ups.com</t>
  </si>
  <si>
    <t>paliksrubrooks@ups.com</t>
  </si>
  <si>
    <t>patriciabrooks@ups.com</t>
  </si>
  <si>
    <t>ppbrooks@ups.com</t>
  </si>
  <si>
    <t>rannettabrooks@ups.com</t>
  </si>
  <si>
    <t>renebrooks@ups.com</t>
  </si>
  <si>
    <t>robertbrooks@ups.com</t>
  </si>
  <si>
    <t>ronitabrooks@ups.com</t>
  </si>
  <si>
    <t>williambrooks@ups.com</t>
  </si>
  <si>
    <t>sambrooks@ups.com</t>
  </si>
  <si>
    <t>samanthabrooks@ups.com</t>
  </si>
  <si>
    <t>SEANBROOKS@WINDRIVERCLOTHING.COM</t>
  </si>
  <si>
    <t>shamekabrooks@ups.com</t>
  </si>
  <si>
    <t>shawnbrooks@ups.com</t>
  </si>
  <si>
    <t>sheribrooks@ups.com</t>
  </si>
  <si>
    <t>sonyabrooks@ups.com</t>
  </si>
  <si>
    <t>staceybrooks@ups.com</t>
  </si>
  <si>
    <t>sbrooks@ups.com</t>
  </si>
  <si>
    <t>sbrooks1@ups.com</t>
  </si>
  <si>
    <t>tamekabrooks@ups.com</t>
  </si>
  <si>
    <t>tbrooks@ups.com</t>
  </si>
  <si>
    <t>terrinabrooks@ups.com</t>
  </si>
  <si>
    <t>tbrooks1@ups.com</t>
  </si>
  <si>
    <t>terrybrooks@ups.com</t>
  </si>
  <si>
    <t>verenabrooks@ups.com</t>
  </si>
  <si>
    <t>waynebrooks@ups.com</t>
  </si>
  <si>
    <t>wesleybrooks@ups.com</t>
  </si>
  <si>
    <t>wbrooks@ups.com</t>
  </si>
  <si>
    <t>ybrooks@ups.com</t>
  </si>
  <si>
    <t>zbrooks@ups.com</t>
  </si>
  <si>
    <t>jbrookshier@ups.com</t>
  </si>
  <si>
    <t>rbrookshirejr@ups.com</t>
  </si>
  <si>
    <t>rbrookshire@connectship.com</t>
  </si>
  <si>
    <t>tbrooksodwyer@ups.com</t>
  </si>
  <si>
    <t>cbroom@ups.com</t>
  </si>
  <si>
    <t>dbroom@ups.com</t>
  </si>
  <si>
    <t>adairbroome@ups.com</t>
  </si>
  <si>
    <t>ajbroome@ups.com</t>
  </si>
  <si>
    <t>dbroome@ups.com</t>
  </si>
  <si>
    <t>josephbroome@ups.com</t>
  </si>
  <si>
    <t>broome.mike@ups.com</t>
  </si>
  <si>
    <t>rbroome@ups.com</t>
  </si>
  <si>
    <t>cbroomes@ups.com</t>
  </si>
  <si>
    <t>ibroomfieldkeys@ups.com</t>
  </si>
  <si>
    <t>cbroos@ups.com</t>
  </si>
  <si>
    <t>rbroos@ups.com</t>
  </si>
  <si>
    <t>francisbrophy@ups.com</t>
  </si>
  <si>
    <t>lbrophy@ups.com</t>
  </si>
  <si>
    <t>nbrophy@ups.com</t>
  </si>
  <si>
    <t>pbrophy@ups.com</t>
  </si>
  <si>
    <t>lbros@ups.com</t>
  </si>
  <si>
    <t>kbrose@ups.com</t>
  </si>
  <si>
    <t>mbrose@ups.com</t>
  </si>
  <si>
    <t>sbrosge@ups.com</t>
  </si>
  <si>
    <t>abrosh@ups.com</t>
  </si>
  <si>
    <t>bbrosmer1@ups.com</t>
  </si>
  <si>
    <t>mbross@ups.com</t>
  </si>
  <si>
    <t>jbrossack@ups.com</t>
  </si>
  <si>
    <t>dbrosseau@ups.com</t>
  </si>
  <si>
    <t>mbrosseau@ups.com</t>
  </si>
  <si>
    <t>kbrost@ups.com</t>
  </si>
  <si>
    <t>sbrostrom@ups.com</t>
  </si>
  <si>
    <t>ebrotherhood@ups.com</t>
  </si>
  <si>
    <t>abrothers@ups.com</t>
  </si>
  <si>
    <t>arielbrothers@ups.com</t>
  </si>
  <si>
    <t>kbrothers@ups.com</t>
  </si>
  <si>
    <t>lbrothers@ups.com</t>
  </si>
  <si>
    <t>nakitabrothers@ups.com</t>
  </si>
  <si>
    <t>nbrothers@ups.com</t>
  </si>
  <si>
    <t>jbrotherton@ups.com</t>
  </si>
  <si>
    <t>annettebrothwell@ups.com</t>
  </si>
  <si>
    <t>jbrotteaux@ups.com</t>
  </si>
  <si>
    <t>cbrouard@ups.com</t>
  </si>
  <si>
    <t>ybrouard@ups.com</t>
  </si>
  <si>
    <t>lbroughey@ups.com</t>
  </si>
  <si>
    <t>cbroughton@ups.com</t>
  </si>
  <si>
    <t>dbroughton@ups.com</t>
  </si>
  <si>
    <t>fbroughton@ups.com</t>
  </si>
  <si>
    <t>kbroughton@ups.com</t>
  </si>
  <si>
    <t>kristylbroughton@ups.com</t>
  </si>
  <si>
    <t>rodneybroughton@ups.com</t>
  </si>
  <si>
    <t>rbroughton@ups.com</t>
  </si>
  <si>
    <t>ebrouilette@ups.com</t>
  </si>
  <si>
    <t>jbrouillet@ups.com</t>
  </si>
  <si>
    <t>catherinebrouillette@ups.com</t>
  </si>
  <si>
    <t>cbrouillette@ups.com</t>
  </si>
  <si>
    <t>yannick.brouns@europe.ups.com</t>
  </si>
  <si>
    <t>harrietbrountie@ups.com</t>
  </si>
  <si>
    <t>abroussard@ups.com</t>
  </si>
  <si>
    <t>anthonybroussard@ups.com</t>
  </si>
  <si>
    <t>ebroussard@ups.com</t>
  </si>
  <si>
    <t>ibroussard@ups.com</t>
  </si>
  <si>
    <t>michaelbroussard@ups.com</t>
  </si>
  <si>
    <t>pbroussard@ups.com</t>
  </si>
  <si>
    <t>paulbroussard@ups.com</t>
  </si>
  <si>
    <t>wbroussard@ups.com</t>
  </si>
  <si>
    <t>sbrousseau@ups.com</t>
  </si>
  <si>
    <t>abroussillon@ups.com</t>
  </si>
  <si>
    <t>peterbrouwers@ups.com</t>
  </si>
  <si>
    <t>ebrouwersbrands@ups.com</t>
  </si>
  <si>
    <t>ebrovko@ups.com</t>
  </si>
  <si>
    <t>mbrowall@ups.com</t>
  </si>
  <si>
    <t>dashonbrowder@ups.com</t>
  </si>
  <si>
    <t>fbrowderiii@ups.com</t>
  </si>
  <si>
    <t>pbrower@ups.com</t>
  </si>
  <si>
    <t>rebeccabrower@ups.com</t>
  </si>
  <si>
    <t>rbrower@ups.com</t>
  </si>
  <si>
    <t>tbrower@ups.com</t>
  </si>
  <si>
    <t>tbrowes@ups.com</t>
  </si>
  <si>
    <t>abrown1@ups.com</t>
  </si>
  <si>
    <t>adonnabrown@ups.com</t>
  </si>
  <si>
    <t>aimeebrown@ups.com</t>
  </si>
  <si>
    <t>alanbrown@ups.com</t>
  </si>
  <si>
    <t>alexandriabrown@ups.com</t>
  </si>
  <si>
    <t>alicebrown@ups.com</t>
  </si>
  <si>
    <t>aliciabrown@ups.com</t>
  </si>
  <si>
    <t>allenbrown@ups.com</t>
  </si>
  <si>
    <t>allisonbrown@ups.com</t>
  </si>
  <si>
    <t>ahbrown@ups.com</t>
  </si>
  <si>
    <t>amberbrown@ups.com</t>
  </si>
  <si>
    <t>abrown4@ups.com</t>
  </si>
  <si>
    <t>abrown@ups.com</t>
  </si>
  <si>
    <t>andreabrown@ups.com</t>
  </si>
  <si>
    <t>andrewbrown@ups.com</t>
  </si>
  <si>
    <t>abrown8@ups.com</t>
  </si>
  <si>
    <t>adbrown@ups.com</t>
  </si>
  <si>
    <t>angelbrown@ups.com</t>
  </si>
  <si>
    <t>angelabrown@ups.com</t>
  </si>
  <si>
    <t>anjillianbrown@ups.com</t>
  </si>
  <si>
    <t>annbrown@ups.com</t>
  </si>
  <si>
    <t>awbrown@ups.com</t>
  </si>
  <si>
    <t>abrown7@ups.com</t>
  </si>
  <si>
    <t>abrown3@ups.com</t>
  </si>
  <si>
    <t>abrown2@ups.com</t>
  </si>
  <si>
    <t>antoinettebrown@ups.com</t>
  </si>
  <si>
    <t>antonebrown@ups.com</t>
  </si>
  <si>
    <t>antwannbrown@ups.com</t>
  </si>
  <si>
    <t>abrown5@ups.com</t>
  </si>
  <si>
    <t>aprilbrown@ups.com</t>
  </si>
  <si>
    <t>ariannabrown@ups.com</t>
  </si>
  <si>
    <t>arielbrown@ups.com</t>
  </si>
  <si>
    <t>arseniobrown@ups.com</t>
  </si>
  <si>
    <t>ashleybrown@ups.com</t>
  </si>
  <si>
    <t>abrown9@ups.com</t>
  </si>
  <si>
    <t>asiabrown@ups.com</t>
  </si>
  <si>
    <t>aubreybrown@ups.com</t>
  </si>
  <si>
    <t>audrickbrown@ups.com</t>
  </si>
  <si>
    <t>benjaminbrown@ups.com</t>
  </si>
  <si>
    <t>bbrown5@ups.com</t>
  </si>
  <si>
    <t>bettinabrown@ups.com</t>
  </si>
  <si>
    <t>beverleybrown@ups.com</t>
  </si>
  <si>
    <t>billybrown@ups.com</t>
  </si>
  <si>
    <t>bob.brown@ups.com</t>
  </si>
  <si>
    <t>bbrown2@ups.com</t>
  </si>
  <si>
    <t>bonnibrown@ups.com</t>
  </si>
  <si>
    <t>bostonbrown@ups.com</t>
  </si>
  <si>
    <t>bradleybrown@ups.com</t>
  </si>
  <si>
    <t>brandibrown@ups.com</t>
  </si>
  <si>
    <t>brandiebrown@ups.com</t>
  </si>
  <si>
    <t>blbrown@ups.com</t>
  </si>
  <si>
    <t>brandonbrown@ups.com</t>
  </si>
  <si>
    <t>bbrown7@ups.com</t>
  </si>
  <si>
    <t>bbrown8@ups.com</t>
  </si>
  <si>
    <t>brandtonbrown@ups.com</t>
  </si>
  <si>
    <t>breannabrown@ups.com</t>
  </si>
  <si>
    <t>brown.brenda@ups.com</t>
  </si>
  <si>
    <t>breonnabrown@ups.com</t>
  </si>
  <si>
    <t>brianbrown@ups.com</t>
  </si>
  <si>
    <t>babrown@ups.com</t>
  </si>
  <si>
    <t>bbrown3@ups.com</t>
  </si>
  <si>
    <t>brianabrown@ups.com</t>
  </si>
  <si>
    <t>brittanybrown@ups.com</t>
  </si>
  <si>
    <t>brookebrown@ups.com</t>
  </si>
  <si>
    <t>bbrown6@ups.com</t>
  </si>
  <si>
    <t>bbrown4@ups.com</t>
  </si>
  <si>
    <t>bbrown1@ups.com</t>
  </si>
  <si>
    <t>candacebrown@ups.com</t>
  </si>
  <si>
    <t>cbrown11@ups.com</t>
  </si>
  <si>
    <t>carlashebrown@ups.com</t>
  </si>
  <si>
    <t>carmen.brown@ups.com</t>
  </si>
  <si>
    <t>carolbrown@ups.com</t>
  </si>
  <si>
    <t>carolynbrown@ups.com</t>
  </si>
  <si>
    <t>kbrowncartwright@ups.com</t>
  </si>
  <si>
    <t>cbrown14@ups.com</t>
  </si>
  <si>
    <t>cassidybrown@ups.com</t>
  </si>
  <si>
    <t>cecilybrown@ups.com</t>
  </si>
  <si>
    <t>celestebrown@ups.com</t>
  </si>
  <si>
    <t>chadbrown@ups.com</t>
  </si>
  <si>
    <t>chamariabrown@ups.com</t>
  </si>
  <si>
    <t>chanesiabrown@ups.com</t>
  </si>
  <si>
    <t>channellebrown@ups.com</t>
  </si>
  <si>
    <t>charembrown@ups.com</t>
  </si>
  <si>
    <t>charlenebrown@ups.com</t>
  </si>
  <si>
    <t>cbrown5@ups.com</t>
  </si>
  <si>
    <t>cbrown1@ups.com</t>
  </si>
  <si>
    <t>chazbrown@ups.com</t>
  </si>
  <si>
    <t>chelseabrown@ups.com</t>
  </si>
  <si>
    <t>chereebrown@ups.com</t>
  </si>
  <si>
    <t>cheribrown@ups.com</t>
  </si>
  <si>
    <t>cbrown17@ups.com</t>
  </si>
  <si>
    <t>cbrown9@ups.com</t>
  </si>
  <si>
    <t>cherylbrown@ups.com</t>
  </si>
  <si>
    <t>chesterbrown@ups.com</t>
  </si>
  <si>
    <t>chevlanbrown@ups.com</t>
  </si>
  <si>
    <t>cmbrown@ups.com</t>
  </si>
  <si>
    <t>cbrown3@ups.com</t>
  </si>
  <si>
    <t>chrisbrown@ups.com</t>
  </si>
  <si>
    <t>christianbrown@ups.com</t>
  </si>
  <si>
    <t>christinabrown@ups.com</t>
  </si>
  <si>
    <t>cbrown16@ups.com</t>
  </si>
  <si>
    <t>christinebrown@ups.com</t>
  </si>
  <si>
    <t>cbrown8@ups.com</t>
  </si>
  <si>
    <t>christopherbrown@ups.com</t>
  </si>
  <si>
    <t>cbrown4@ups.com</t>
  </si>
  <si>
    <t>cbrown2@ups.com</t>
  </si>
  <si>
    <t>cbrown7@ups.com</t>
  </si>
  <si>
    <t>christybrown@ups.com</t>
  </si>
  <si>
    <t>clivebrown@ups.com</t>
  </si>
  <si>
    <t>conniebrown@ups.com</t>
  </si>
  <si>
    <t>cbrown6@ups.com</t>
  </si>
  <si>
    <t>cybrown@ups.com</t>
  </si>
  <si>
    <t>coreybrown@ups.com</t>
  </si>
  <si>
    <t>cbrown13@ups.com</t>
  </si>
  <si>
    <t>cbrown10@ups.com</t>
  </si>
  <si>
    <t>cbrown@ups.com</t>
  </si>
  <si>
    <t>corybrown@ups.com</t>
  </si>
  <si>
    <t>crystalbrown@ups.com</t>
  </si>
  <si>
    <t>cynthiabrown@ups.com</t>
  </si>
  <si>
    <t>daisybrown@ups.com</t>
  </si>
  <si>
    <t>dbrown8@ups.com</t>
  </si>
  <si>
    <t>danielbrown@ups.com</t>
  </si>
  <si>
    <t>dbrown2@ups.com</t>
  </si>
  <si>
    <t>dbrown3@ups.com</t>
  </si>
  <si>
    <t>dbrown11@ups.com</t>
  </si>
  <si>
    <t>daniellebrown@ups.com</t>
  </si>
  <si>
    <t>djobrown@ups.com</t>
  </si>
  <si>
    <t>danyellabrown@ups.com</t>
  </si>
  <si>
    <t>daphnebrown@ups.com</t>
  </si>
  <si>
    <t>darcybrown@ups.com</t>
  </si>
  <si>
    <t>darnelbrown@ups.com</t>
  </si>
  <si>
    <t>darnellbrown@ups.com</t>
  </si>
  <si>
    <t>daronbrown@ups.com</t>
  </si>
  <si>
    <t>darrinbrown@ups.com</t>
  </si>
  <si>
    <t>dnbrown@ups.com</t>
  </si>
  <si>
    <t>davetonbrown@ups.com</t>
  </si>
  <si>
    <t>dbrown10@ups.com</t>
  </si>
  <si>
    <t>davidbrown@ups.com</t>
  </si>
  <si>
    <t>dbrown7@ups.com</t>
  </si>
  <si>
    <t>dbrown12@ups.com</t>
  </si>
  <si>
    <t>dbrown1@ups.com</t>
  </si>
  <si>
    <t>dbrown@ups.com</t>
  </si>
  <si>
    <t>davionbrown@ups.com</t>
  </si>
  <si>
    <t>deaijahbrown@ups.com</t>
  </si>
  <si>
    <t>dkbrown@ups.com</t>
  </si>
  <si>
    <t>dbrown5@ups.com</t>
  </si>
  <si>
    <t>dedebrown@ups.com</t>
  </si>
  <si>
    <t>dejabrown@ups.com</t>
  </si>
  <si>
    <t>delisabrown@ups.com</t>
  </si>
  <si>
    <t>deloresbrown@ups.com</t>
  </si>
  <si>
    <t>denellebrown@ups.com</t>
  </si>
  <si>
    <t>dbrown9@ups.com</t>
  </si>
  <si>
    <t>denisebrown@ups.com</t>
  </si>
  <si>
    <t>derekbrown@ups.com</t>
  </si>
  <si>
    <t>desireebrown@ups.com</t>
  </si>
  <si>
    <t>destinybrown@ups.com</t>
  </si>
  <si>
    <t>drbrown@ups.com</t>
  </si>
  <si>
    <t>devonbrown@ups.com</t>
  </si>
  <si>
    <t>dianabrown@ups.com</t>
  </si>
  <si>
    <t>djbrown@ups.com</t>
  </si>
  <si>
    <t>dionbrown@ups.com</t>
  </si>
  <si>
    <t>diondrabrown@ups.com</t>
  </si>
  <si>
    <t>dsbrown@ups.com</t>
  </si>
  <si>
    <t>dbrown4@ups.com</t>
  </si>
  <si>
    <t>donnabrown@ups.com</t>
  </si>
  <si>
    <t>dorisbrown@ups.com</t>
  </si>
  <si>
    <t>dorothybrown@ups.com</t>
  </si>
  <si>
    <t>dougbrown@ups.com</t>
  </si>
  <si>
    <t>dylanbrown@ups.com</t>
  </si>
  <si>
    <t>eddiebrown@ups.com</t>
  </si>
  <si>
    <t>edmondbrown@ups.com</t>
  </si>
  <si>
    <t>edwardbrown@ups.com</t>
  </si>
  <si>
    <t>elainebrown@ups.com</t>
  </si>
  <si>
    <t>ejbrown@ups.com</t>
  </si>
  <si>
    <t>elisabrown@ups.com</t>
  </si>
  <si>
    <t>elizabethbrown@ups.com</t>
  </si>
  <si>
    <t>elyssabrown@ups.com</t>
  </si>
  <si>
    <t>emojoybrown@ups.com</t>
  </si>
  <si>
    <t>ebrown@ups.com</t>
  </si>
  <si>
    <t>ehbrown@ups.com</t>
  </si>
  <si>
    <t>erinbrown@ups.com</t>
  </si>
  <si>
    <t>ethanbrown@ups.com</t>
  </si>
  <si>
    <t>evanbrown@ups.com</t>
  </si>
  <si>
    <t>fbrown@ups.com</t>
  </si>
  <si>
    <t>franchonbrown@ups.com</t>
  </si>
  <si>
    <t>frankbrown@ups.com</t>
  </si>
  <si>
    <t>frederickbrown@ups.com</t>
  </si>
  <si>
    <t>garrettbrown@ups.com</t>
  </si>
  <si>
    <t>gcbrown@ups.com</t>
  </si>
  <si>
    <t>gaylebrown@ups.com</t>
  </si>
  <si>
    <t>geoffreybrown@ups.com</t>
  </si>
  <si>
    <t>georgebrown@ups.com</t>
  </si>
  <si>
    <t>geraldinebrown@ups.com</t>
  </si>
  <si>
    <t>glendabrown@ups.com</t>
  </si>
  <si>
    <t>gregbrown@ups.com</t>
  </si>
  <si>
    <t>gbrown4@ups.com</t>
  </si>
  <si>
    <t>greggbrown@ups.com</t>
  </si>
  <si>
    <t>gregorybrown@ups.com</t>
  </si>
  <si>
    <t>gbrown1@ups.com</t>
  </si>
  <si>
    <t>gbrown2@ups.com</t>
  </si>
  <si>
    <t>gbrown@ups.com</t>
  </si>
  <si>
    <t>gbrown5@ups.com</t>
  </si>
  <si>
    <t>gbrown3@ups.com</t>
  </si>
  <si>
    <t>gretchenbrown@ups.com</t>
  </si>
  <si>
    <t>haleybrown@ups.com</t>
  </si>
  <si>
    <t>henriettabrown@ups.com</t>
  </si>
  <si>
    <t>hentonbrown@ups.com</t>
  </si>
  <si>
    <t>hbrown@ups.com</t>
  </si>
  <si>
    <t>dbrownii@ups.com</t>
  </si>
  <si>
    <t>jbrownii@ups.com</t>
  </si>
  <si>
    <t>gbrowniii@ups.com</t>
  </si>
  <si>
    <t>lbrowniii@ups.com</t>
  </si>
  <si>
    <t>rbrowniii@ups.com</t>
  </si>
  <si>
    <t>wbrowniv@ups.com</t>
  </si>
  <si>
    <t>ibrown@ups.com</t>
  </si>
  <si>
    <t>bjacey@ups.com</t>
  </si>
  <si>
    <t>jbrown9@ups.com</t>
  </si>
  <si>
    <t>jbrown14@ups.com</t>
  </si>
  <si>
    <t>jadenbrown@ups.com</t>
  </si>
  <si>
    <t>jbbrown@ups.com</t>
  </si>
  <si>
    <t>jnbrown@ups.com</t>
  </si>
  <si>
    <t>jbrown3@ups.com</t>
  </si>
  <si>
    <t>jbrown8@ups.com</t>
  </si>
  <si>
    <t>jbrown7@ups.com</t>
  </si>
  <si>
    <t>janicebrown@ups.com</t>
  </si>
  <si>
    <t>jarrodbrown@ups.com</t>
  </si>
  <si>
    <t>jasmainebrown@ups.com</t>
  </si>
  <si>
    <t>jbrown6@ups.com</t>
  </si>
  <si>
    <t>jeannebrown@ups.com</t>
  </si>
  <si>
    <t>jbrown4@ups.com</t>
  </si>
  <si>
    <t>jeannettebrown@ups.com</t>
  </si>
  <si>
    <t>jbrown13@ups.com</t>
  </si>
  <si>
    <t>jeffreybrown@ups.com</t>
  </si>
  <si>
    <t>jbrown1@ups.com</t>
  </si>
  <si>
    <t>jenniferbrown@ups.com</t>
  </si>
  <si>
    <t>jbrown16@ups.com</t>
  </si>
  <si>
    <t>jbrown12@ups.com</t>
  </si>
  <si>
    <t>jennybrown@ups.com</t>
  </si>
  <si>
    <t>jerellbrown@ups.com</t>
  </si>
  <si>
    <t>jessacabrown@ups.com</t>
  </si>
  <si>
    <t>jessebrown@ups.com</t>
  </si>
  <si>
    <t>jessicabrown@ups.com</t>
  </si>
  <si>
    <t>jxbrown@ups.com</t>
  </si>
  <si>
    <t>joebrown@ups.com</t>
  </si>
  <si>
    <t>j.brown@ups.com</t>
  </si>
  <si>
    <t>johnbrown@ups.com</t>
  </si>
  <si>
    <t>johnathanbrown@ups.com</t>
  </si>
  <si>
    <t>jibrown@ups.com</t>
  </si>
  <si>
    <t>jbrown15@ups.com</t>
  </si>
  <si>
    <t>jonathanbrown@ups.com</t>
  </si>
  <si>
    <t>jonathonbrown@ups.com</t>
  </si>
  <si>
    <t>jonibrown@ups.com</t>
  </si>
  <si>
    <t>jordanbrown@ups.com</t>
  </si>
  <si>
    <t>jbrown10@ups.com</t>
  </si>
  <si>
    <t>jbrown11@ups.com</t>
  </si>
  <si>
    <t>joshuabrown@ups.com</t>
  </si>
  <si>
    <t>jbrown2@ups.com</t>
  </si>
  <si>
    <t>joybrown@ups.com</t>
  </si>
  <si>
    <t>fbrownjr@ups.com</t>
  </si>
  <si>
    <t>hbrownjr@ups.com</t>
  </si>
  <si>
    <t>kbrownjr@ups.com</t>
  </si>
  <si>
    <t>marlonbrownjr@ups.com</t>
  </si>
  <si>
    <t>mbrownjr@ups.com</t>
  </si>
  <si>
    <t>richardbrownjr@ups.com</t>
  </si>
  <si>
    <t>rbrownjr@ups.com</t>
  </si>
  <si>
    <t>jbrown5@ups.com</t>
  </si>
  <si>
    <t>juuliabrown@ups.com</t>
  </si>
  <si>
    <t>kadebrown@ups.com</t>
  </si>
  <si>
    <t>karahbrown@ups.com</t>
  </si>
  <si>
    <t>kbrown1@ups.com</t>
  </si>
  <si>
    <t>kbrown3@ups.com</t>
  </si>
  <si>
    <t>karenbrown@ups.com</t>
  </si>
  <si>
    <t>katherinebrown@ups.com</t>
  </si>
  <si>
    <t>kathrynbrown@ups.com</t>
  </si>
  <si>
    <t>kmbrown@ups.com</t>
  </si>
  <si>
    <t>katoynabrown@ups.com</t>
  </si>
  <si>
    <t>kayahbrown@ups.com</t>
  </si>
  <si>
    <t>kaylabrown@ups.com</t>
  </si>
  <si>
    <t>keariabrown@ups.com</t>
  </si>
  <si>
    <t>keenanbrown@ups.com</t>
  </si>
  <si>
    <t>keishabrown@ups.com</t>
  </si>
  <si>
    <t>kbrown5@ups.com</t>
  </si>
  <si>
    <t>kenbrown@ups.com</t>
  </si>
  <si>
    <t>kendalbrown@ups.com</t>
  </si>
  <si>
    <t>kenishabrown@ups.com</t>
  </si>
  <si>
    <t>kbrown8@ups.com</t>
  </si>
  <si>
    <t>kbbrown@ups.com</t>
  </si>
  <si>
    <t>kennethbrown@ups.com</t>
  </si>
  <si>
    <t>kenyabrown@ups.com</t>
  </si>
  <si>
    <t>keonabrown@ups.com</t>
  </si>
  <si>
    <t>kerronbrown@ups.com</t>
  </si>
  <si>
    <t>kbrown7@ups.com</t>
  </si>
  <si>
    <t>kevinbrown@ups.com</t>
  </si>
  <si>
    <t>kbrown6@ups.com</t>
  </si>
  <si>
    <t>kbrown2@ups.com</t>
  </si>
  <si>
    <t>kbrown10@ups.com</t>
  </si>
  <si>
    <t>kbrown@ups.com</t>
  </si>
  <si>
    <t>kbrown4@ups.com</t>
  </si>
  <si>
    <t>kimberlybrown@ups.com</t>
  </si>
  <si>
    <t>kbrown11@ups.com</t>
  </si>
  <si>
    <t>kbrown14@ups.com</t>
  </si>
  <si>
    <t>kinseybrown@ups.com</t>
  </si>
  <si>
    <t>kitobrown@ups.com</t>
  </si>
  <si>
    <t>kristianbrown@ups.com</t>
  </si>
  <si>
    <t>kbrown9@ups.com</t>
  </si>
  <si>
    <t>kbrown12@ups.com</t>
  </si>
  <si>
    <t>kabrown@ups.com</t>
  </si>
  <si>
    <t>kylebrown@ups.com</t>
  </si>
  <si>
    <t>lacandacebrown@ups.com</t>
  </si>
  <si>
    <t>lacindabrown@ups.com</t>
  </si>
  <si>
    <t>lametriabrown@ups.com</t>
  </si>
  <si>
    <t>lashondrabrown@ups.com</t>
  </si>
  <si>
    <t>lbrown1@ups.com</t>
  </si>
  <si>
    <t>lbrown2@ups.com</t>
  </si>
  <si>
    <t>laurabrown@ups.com</t>
  </si>
  <si>
    <t>laurenbrown@ups.com</t>
  </si>
  <si>
    <t>leebrown@ups.com</t>
  </si>
  <si>
    <t>lbrown@ups.com</t>
  </si>
  <si>
    <t>lbbrown@ups.com</t>
  </si>
  <si>
    <t>leonardobrown@ups.com</t>
  </si>
  <si>
    <t>lesleighbrown@ups.com</t>
  </si>
  <si>
    <t>lindabrown@ups.com</t>
  </si>
  <si>
    <t>loganbrown@ups.com</t>
  </si>
  <si>
    <t>loneatabrown@ups.com</t>
  </si>
  <si>
    <t>lorenzobrown@ups.com</t>
  </si>
  <si>
    <t>lbrown4@ups.com</t>
  </si>
  <si>
    <t>lorrainebrown@ups.com</t>
  </si>
  <si>
    <t>loubrown@ups.com</t>
  </si>
  <si>
    <t>lbrown3@ups.com</t>
  </si>
  <si>
    <t>madelainebrown@ups.com</t>
  </si>
  <si>
    <t>magadalenebrown@ups.com</t>
  </si>
  <si>
    <t>maiziebrown@ups.com</t>
  </si>
  <si>
    <t>malachibrown@ups.com</t>
  </si>
  <si>
    <t>malikbrown@ups.com</t>
  </si>
  <si>
    <t>marcellusbrown@ups.com</t>
  </si>
  <si>
    <t>marciabrown@ups.com</t>
  </si>
  <si>
    <t>mariobrown@ups.com</t>
  </si>
  <si>
    <t>mbrown6@ups.com</t>
  </si>
  <si>
    <t>markbrown@ups.com</t>
  </si>
  <si>
    <t>mbrown1@ups.com</t>
  </si>
  <si>
    <t>mbrown17@ups.com</t>
  </si>
  <si>
    <t>matthewbrown@ups.com</t>
  </si>
  <si>
    <t>mbrown8@ups.com</t>
  </si>
  <si>
    <t>maureenbrown@ups.com</t>
  </si>
  <si>
    <t>melissabrown@ups.com</t>
  </si>
  <si>
    <t>mengewaybrown@ups.com</t>
  </si>
  <si>
    <t>merichiabrown@ups.com</t>
  </si>
  <si>
    <t>micahbrown@ups.com</t>
  </si>
  <si>
    <t>mbrown4@ups.com</t>
  </si>
  <si>
    <t>mpbrown@ups.com</t>
  </si>
  <si>
    <t>mbrown15@ups.com</t>
  </si>
  <si>
    <t>mbrown3@ups.com</t>
  </si>
  <si>
    <t>mbrown5@ups.com</t>
  </si>
  <si>
    <t>mbrown9@ups.com</t>
  </si>
  <si>
    <t>mbrown11@ups.com</t>
  </si>
  <si>
    <t>mbrown10@ups.com</t>
  </si>
  <si>
    <t>mbrown2@ups.com</t>
  </si>
  <si>
    <t>michaelbrown@ups.com</t>
  </si>
  <si>
    <t>mbrown7@ups.com</t>
  </si>
  <si>
    <t>michaelrbrown@ups.com</t>
  </si>
  <si>
    <t>michaqulinbrown@ups.com</t>
  </si>
  <si>
    <t>mikebrown@ups.com</t>
  </si>
  <si>
    <t>mbrown@ups.com</t>
  </si>
  <si>
    <t>mistybrown@ups.com</t>
  </si>
  <si>
    <t>mitchbrown@ups.com</t>
  </si>
  <si>
    <t>brownmitchell@ups.com</t>
  </si>
  <si>
    <t>monicabrown@ups.com</t>
  </si>
  <si>
    <t>montaziabrown@ups.com</t>
  </si>
  <si>
    <t>moveliabrown@ups.com</t>
  </si>
  <si>
    <t>nbrown1@ups.com</t>
  </si>
  <si>
    <t>nastashabrown@ups.com</t>
  </si>
  <si>
    <t>nathanbrown@ups.com</t>
  </si>
  <si>
    <t>nbrown4@ups.com</t>
  </si>
  <si>
    <t>nathanielbrown@ups.com</t>
  </si>
  <si>
    <t>natoshabrown@ups.com</t>
  </si>
  <si>
    <t>nbrown2@ups.com</t>
  </si>
  <si>
    <t>nbrown3@ups.com</t>
  </si>
  <si>
    <t>nxbrown@ups.com</t>
  </si>
  <si>
    <t>nicolebrown@ups.com</t>
  </si>
  <si>
    <t>nikitabrown@ups.com</t>
  </si>
  <si>
    <t>niyogibrown@ups.com</t>
  </si>
  <si>
    <t>nbrown@ups.com</t>
  </si>
  <si>
    <t>norrisbrown@ups.com</t>
  </si>
  <si>
    <t>nyokabrown@ups.com</t>
  </si>
  <si>
    <t>obrown@ups.com</t>
  </si>
  <si>
    <t>omarbrown@ups.com</t>
  </si>
  <si>
    <t>orvillebrown@ups.com</t>
  </si>
  <si>
    <t>paigebrown@ups.com</t>
  </si>
  <si>
    <t>pbrown@ups.com</t>
  </si>
  <si>
    <t>patriciabrown@ups.com</t>
  </si>
  <si>
    <t>patrickbrown@ups.com</t>
  </si>
  <si>
    <t>peggybrown@ups.com</t>
  </si>
  <si>
    <t>pernellbrown@ups.com</t>
  </si>
  <si>
    <t>pjbrown@ups.com</t>
  </si>
  <si>
    <t>peterbrown@ups.com</t>
  </si>
  <si>
    <t>phillipbrown@ups.com</t>
  </si>
  <si>
    <t>princebrown@ups.com</t>
  </si>
  <si>
    <t>pnbrown@ups.com</t>
  </si>
  <si>
    <t>rachelbrown@ups.com</t>
  </si>
  <si>
    <t>rashadbrown@ups.com</t>
  </si>
  <si>
    <t>rbrown5@ups.com</t>
  </si>
  <si>
    <t>rbrown3@ups.com</t>
  </si>
  <si>
    <t>reannabrown@ups.com</t>
  </si>
  <si>
    <t>reginabrown@ups.com</t>
  </si>
  <si>
    <t>reginaldbrown@ups.com</t>
  </si>
  <si>
    <t>rbrown11@ups.com</t>
  </si>
  <si>
    <t>rbrown17@ups.com</t>
  </si>
  <si>
    <t>richardbrown@ups.com</t>
  </si>
  <si>
    <t>rickbrown@ups.com</t>
  </si>
  <si>
    <t>rickeybrown@ups.com</t>
  </si>
  <si>
    <t>ritabrown@ups.com</t>
  </si>
  <si>
    <t>robbrown@ups.com</t>
  </si>
  <si>
    <t>rbrown12@ups.com</t>
  </si>
  <si>
    <t>brownrobert@ups.com</t>
  </si>
  <si>
    <t>robert.f.brown@ups.com</t>
  </si>
  <si>
    <t>rbrown6@ups.com</t>
  </si>
  <si>
    <t>rbrown7@ups.com</t>
  </si>
  <si>
    <t>rbrown10@ups.com</t>
  </si>
  <si>
    <t>rbrown2@ups.com</t>
  </si>
  <si>
    <t>rbrown4@ups.com</t>
  </si>
  <si>
    <t>rbrown16@ups.com</t>
  </si>
  <si>
    <t>rbrown1@ups.com</t>
  </si>
  <si>
    <t>rbrown8@ups.com</t>
  </si>
  <si>
    <t>robinbrown@ups.com</t>
  </si>
  <si>
    <t>roderickbrown@ups.com</t>
  </si>
  <si>
    <t>rodneybrown@ups.com</t>
  </si>
  <si>
    <t>rogerbrown@ups.com</t>
  </si>
  <si>
    <t>rbrown9@ups.com</t>
  </si>
  <si>
    <t>rosannabrown@ups.com</t>
  </si>
  <si>
    <t>rossbrown@ups.com</t>
  </si>
  <si>
    <t>rbrown14@ups.com</t>
  </si>
  <si>
    <t>rbrown@ups.com</t>
  </si>
  <si>
    <t>rbrown13@ups.com</t>
  </si>
  <si>
    <t>rbrown18@ups.com</t>
  </si>
  <si>
    <t>samarabrown@ups.com</t>
  </si>
  <si>
    <t>samuelbrown@ups.com</t>
  </si>
  <si>
    <t>sandrabrown@ups.com</t>
  </si>
  <si>
    <t>sandybrown@ups.com</t>
  </si>
  <si>
    <t>saundrabrown@ups.com</t>
  </si>
  <si>
    <t>sabrown@ups.com</t>
  </si>
  <si>
    <t>sbrown9@ups.com</t>
  </si>
  <si>
    <t>sbrown10@ups.com</t>
  </si>
  <si>
    <t>sbrown3@ups.com</t>
  </si>
  <si>
    <t>seanbrown@ups.com</t>
  </si>
  <si>
    <t>sbrown7@ups.com</t>
  </si>
  <si>
    <t>shakirabrown@ups.com</t>
  </si>
  <si>
    <t>shakitabrown@ups.com</t>
  </si>
  <si>
    <t>shanebrown@ups.com</t>
  </si>
  <si>
    <t>shanekabrown@ups.com</t>
  </si>
  <si>
    <t>shaqualabrown@ups.com</t>
  </si>
  <si>
    <t>sharmainebrown@ups.com</t>
  </si>
  <si>
    <t>sbrown6@ups.com</t>
  </si>
  <si>
    <t>sbrown1@ups.com</t>
  </si>
  <si>
    <t>sbrown11@ups.com</t>
  </si>
  <si>
    <t>sharondabrown@ups.com</t>
  </si>
  <si>
    <t>sharribrown@ups.com</t>
  </si>
  <si>
    <t>shavorisbrown@ups.com</t>
  </si>
  <si>
    <t>shawnbrown@ups.com</t>
  </si>
  <si>
    <t>shawnettebrown@ups.com</t>
  </si>
  <si>
    <t>sheresebrown@ups.com</t>
  </si>
  <si>
    <t>sherritabrown@ups.com</t>
  </si>
  <si>
    <t>shontaebrown@ups.com</t>
  </si>
  <si>
    <t>simonabrown@ups.com</t>
  </si>
  <si>
    <t>sonyabrown@ups.com</t>
  </si>
  <si>
    <t>ebrownspriggs@ups.com</t>
  </si>
  <si>
    <t>staceybrown@ups.com</t>
  </si>
  <si>
    <t>sbrown4@ups.com</t>
  </si>
  <si>
    <t>smbrown@ups.com</t>
  </si>
  <si>
    <t>sbrown14@ups.com</t>
  </si>
  <si>
    <t>stefanbrown@ups.com</t>
  </si>
  <si>
    <t>sbrown@ups.com</t>
  </si>
  <si>
    <t>stephaniebrown@ups.com</t>
  </si>
  <si>
    <t>stephanybrown@ups.com</t>
  </si>
  <si>
    <t>stephenbrown@ups.com</t>
  </si>
  <si>
    <t>sbrown5@ups.com</t>
  </si>
  <si>
    <t>sbrown8@ups.com</t>
  </si>
  <si>
    <t>stevebrown@ups.com</t>
  </si>
  <si>
    <t>sbrown13@ups.com</t>
  </si>
  <si>
    <t>stevenbrown@ups.com</t>
  </si>
  <si>
    <t>stuartbrown@ups.com</t>
  </si>
  <si>
    <t>susanbrown@ups.com</t>
  </si>
  <si>
    <t>sbrown2@ups.com</t>
  </si>
  <si>
    <t>susannebrown@ups.com</t>
  </si>
  <si>
    <t>suzettebrown@ups.com</t>
  </si>
  <si>
    <t>tajenbrown@ups.com</t>
  </si>
  <si>
    <t>tammiebrown@ups.com</t>
  </si>
  <si>
    <t>tbrown4@ups.com</t>
  </si>
  <si>
    <t>tanyabrown@ups.com</t>
  </si>
  <si>
    <t>tasharabrown@ups.com</t>
  </si>
  <si>
    <t>taylorbrown@ups.com</t>
  </si>
  <si>
    <t>tbrown5@ups.com</t>
  </si>
  <si>
    <t>teandrabrown@ups.com</t>
  </si>
  <si>
    <t>tedbrown@ups.com</t>
  </si>
  <si>
    <t>terencebrown@ups.com</t>
  </si>
  <si>
    <t>tjbrown@ups.com</t>
  </si>
  <si>
    <t>teresabrown@ups.com</t>
  </si>
  <si>
    <t>tbrown2@ups.com</t>
  </si>
  <si>
    <t>terrellbrown@ups.com</t>
  </si>
  <si>
    <t>terrencebrown@ups.com</t>
  </si>
  <si>
    <t>terronbrown@ups.com</t>
  </si>
  <si>
    <t>terrybrown@ups.com</t>
  </si>
  <si>
    <t>tbrown1@ups.com</t>
  </si>
  <si>
    <t>tbrown6@ups.com</t>
  </si>
  <si>
    <t>thomasbrown@ups.com</t>
  </si>
  <si>
    <t>tiemeyiabrown@ups.com</t>
  </si>
  <si>
    <t>tiffanybrown@ups.com</t>
  </si>
  <si>
    <t>tbrown7@ups.com</t>
  </si>
  <si>
    <t>timothybrown@ups.com</t>
  </si>
  <si>
    <t>tbrown12@ups.com</t>
  </si>
  <si>
    <t>tbrown10@ups.com</t>
  </si>
  <si>
    <t>tinabrown@ups.com</t>
  </si>
  <si>
    <t>tbrown3@ups.com</t>
  </si>
  <si>
    <t>TBrown@ups.com</t>
  </si>
  <si>
    <t>toddgbrown@ups.com</t>
  </si>
  <si>
    <t>tomibrown@ups.com</t>
  </si>
  <si>
    <t>tommiciniabrown@ups.com</t>
  </si>
  <si>
    <t>tommybrown@ups.com</t>
  </si>
  <si>
    <t>toribrown@ups.com</t>
  </si>
  <si>
    <t>torybrown@ups.com</t>
  </si>
  <si>
    <t>tracybrown@ups.com</t>
  </si>
  <si>
    <t>tbrown8@ups.com</t>
  </si>
  <si>
    <t>treverbrown@ups.com</t>
  </si>
  <si>
    <t>trevonbrown@ups.com</t>
  </si>
  <si>
    <t>trevorbrown@ups.com</t>
  </si>
  <si>
    <t>triciabrown@ups.com</t>
  </si>
  <si>
    <t>tyleshabrown@ups.com</t>
  </si>
  <si>
    <t>tyreebrown@ups.com</t>
  </si>
  <si>
    <t>tyshiabrown@ups.com</t>
  </si>
  <si>
    <t>ubrown@ups.com</t>
  </si>
  <si>
    <t>valenciabrown@ups.com</t>
  </si>
  <si>
    <t>vbrown1@ups.com</t>
  </si>
  <si>
    <t>vdbrown@ups.com</t>
  </si>
  <si>
    <t>velmabrown@ups.com</t>
  </si>
  <si>
    <t>vbrown@ups.com</t>
  </si>
  <si>
    <t>vernonbrown@ups.com</t>
  </si>
  <si>
    <t>vickiebrown@ups.com</t>
  </si>
  <si>
    <t>vbrown2@ups.com</t>
  </si>
  <si>
    <t>victoriabrown@ups.com</t>
  </si>
  <si>
    <t>wakeelahbrown@ups.com</t>
  </si>
  <si>
    <t>wbrown@ups.com</t>
  </si>
  <si>
    <t>wandabrown@ups.com</t>
  </si>
  <si>
    <t>wanniebrown@ups.com</t>
  </si>
  <si>
    <t>wbrown1@ups.com</t>
  </si>
  <si>
    <t>wbrown3@ups.com</t>
  </si>
  <si>
    <t>wabrown@ups.com</t>
  </si>
  <si>
    <t>wbrown4@ups.com</t>
  </si>
  <si>
    <t>williambrown@ups.com</t>
  </si>
  <si>
    <t>wbrown2@ups.com</t>
  </si>
  <si>
    <t>wrbrown@ups.com</t>
  </si>
  <si>
    <t>wfbrown@ups.com</t>
  </si>
  <si>
    <t>ybrown@ups.com</t>
  </si>
  <si>
    <t>zacharybrown@ups.com</t>
  </si>
  <si>
    <t>zyromebrown@ups.com</t>
  </si>
  <si>
    <t>gbrown@livingstoninc.com</t>
  </si>
  <si>
    <t>sue.brown@ps.ge.com</t>
  </si>
  <si>
    <t>brown_dave@emc.com</t>
  </si>
  <si>
    <t>mbrownd@ups.com</t>
  </si>
  <si>
    <t>abrowne@ups.com</t>
  </si>
  <si>
    <t>bbrowne@ups.com</t>
  </si>
  <si>
    <t>dbrowne@ups.com</t>
  </si>
  <si>
    <t>dalebrowne@ups.com</t>
  </si>
  <si>
    <t>jbrowne@ups.com</t>
  </si>
  <si>
    <t>jeremybrowne@ups.com</t>
  </si>
  <si>
    <t>browne.kay@ups.com</t>
  </si>
  <si>
    <t>kbrowne@ups.com</t>
  </si>
  <si>
    <t>pbrowne@ups.com</t>
  </si>
  <si>
    <t>sbrowne@ups.com</t>
  </si>
  <si>
    <t>toddbrowne@ups.com</t>
  </si>
  <si>
    <t>ebrownell@ups.com</t>
  </si>
  <si>
    <t>jbrownell@ups.com</t>
  </si>
  <si>
    <t>justinbrownell@ups.com</t>
  </si>
  <si>
    <t>kbrowner@ups.com</t>
  </si>
  <si>
    <t>dbrownfield@ups.com</t>
  </si>
  <si>
    <t>tbrownfield@ups.com</t>
  </si>
  <si>
    <t>abrowning@ups.com</t>
  </si>
  <si>
    <t>benjaminbrowning@ups.com</t>
  </si>
  <si>
    <t>bradleybrowning@ups.com</t>
  </si>
  <si>
    <t>bbrowning@ups.com</t>
  </si>
  <si>
    <t>constanzabrowning@ups.com</t>
  </si>
  <si>
    <t>cbrowning@ups.com</t>
  </si>
  <si>
    <t>hvbrowning@ups.com</t>
  </si>
  <si>
    <t>jbrowning@ups.com</t>
  </si>
  <si>
    <t>mbrowning@ups.com</t>
  </si>
  <si>
    <t>pbrowning@ups.com</t>
  </si>
  <si>
    <t>rwbrowning@ups.com</t>
  </si>
  <si>
    <t>sbrowning@ups.com</t>
  </si>
  <si>
    <t>tylerbrowning@ups.com</t>
  </si>
  <si>
    <t>tbrowning@ups.com</t>
  </si>
  <si>
    <t>rbrownjohnson@ups.com</t>
  </si>
  <si>
    <t>jbrownleebramer@ups.com</t>
  </si>
  <si>
    <t>mbrownnee@ups.com</t>
  </si>
  <si>
    <t>sandrabrownrigg@ups.com</t>
  </si>
  <si>
    <t>txbwndmp@ups.com</t>
  </si>
  <si>
    <t>txbrodmp@ups.com</t>
  </si>
  <si>
    <t>lbrowske@ups.com</t>
  </si>
  <si>
    <t>rbrowske@ups.com</t>
  </si>
  <si>
    <t>bonny.broyan@ups.com</t>
  </si>
  <si>
    <t>cbroyles@ups.com</t>
  </si>
  <si>
    <t>dbroyles@ups.com</t>
  </si>
  <si>
    <t>jbroyles@ups.com</t>
  </si>
  <si>
    <t>lbroyles@ups.com</t>
  </si>
  <si>
    <t>pbroyles@ups.com</t>
  </si>
  <si>
    <t>tbroyles@ups.com</t>
  </si>
  <si>
    <t>IBROYTMAN@ups.com</t>
  </si>
  <si>
    <t>mbrozek@ups.com</t>
  </si>
  <si>
    <t>dbrozoski@ups.com</t>
  </si>
  <si>
    <t>jbrozowski@ups.com</t>
  </si>
  <si>
    <t>brr@ups.com</t>
  </si>
  <si>
    <t>brsexports@ups.com</t>
  </si>
  <si>
    <t>brsimports@ups.com</t>
  </si>
  <si>
    <t>GNR2PCG@ups.com</t>
  </si>
  <si>
    <t>XHW2JKG@ups.com</t>
  </si>
  <si>
    <t>ZDS2HXG@ups.com</t>
  </si>
  <si>
    <t>BJW2KTF@ups.com</t>
  </si>
  <si>
    <t>bruexportcsv@ups.com</t>
  </si>
  <si>
    <t>bruexporthc@ups.com</t>
  </si>
  <si>
    <t>bruimportcsv@ups.com</t>
  </si>
  <si>
    <t>jbru@ups.com</t>
  </si>
  <si>
    <t>rbrubach@ups.com</t>
  </si>
  <si>
    <t>abrubaker@ups.com</t>
  </si>
  <si>
    <t>jbrubaker@ups.com</t>
  </si>
  <si>
    <t>kbrubaker@ups.com</t>
  </si>
  <si>
    <t>rbrubaker@ups.com</t>
  </si>
  <si>
    <t>brucargo@ups.com</t>
  </si>
  <si>
    <t>jbrucato@ups.com</t>
  </si>
  <si>
    <t>kbrucato@ups.com</t>
  </si>
  <si>
    <t>alanbruce@ups.com</t>
  </si>
  <si>
    <t>abruce@ups.com</t>
  </si>
  <si>
    <t>ashleybruce@ups.com</t>
  </si>
  <si>
    <t>bbruce@ups.com</t>
  </si>
  <si>
    <t>bruce.bertha@ups.com</t>
  </si>
  <si>
    <t>bjbruce@ups.com</t>
  </si>
  <si>
    <t>bruce@tehamainc.com</t>
  </si>
  <si>
    <t>connorbruce@ups.com</t>
  </si>
  <si>
    <t>bdamopoli-i@ups-spl.com</t>
  </si>
  <si>
    <t>dorindabruce@ups.com</t>
  </si>
  <si>
    <t>ebruce@ups.com</t>
  </si>
  <si>
    <t>bfarwell@ostusa.com</t>
  </si>
  <si>
    <t>abcsystems@optonline.net</t>
  </si>
  <si>
    <t>jbruce@ups.com</t>
  </si>
  <si>
    <t>jimbruce@ups.com</t>
  </si>
  <si>
    <t>bruce.kane@quest.com</t>
  </si>
  <si>
    <t>kbruce@ups.com</t>
  </si>
  <si>
    <t>kimberlybruce@ups.com</t>
  </si>
  <si>
    <t>kbruce1@ups.com</t>
  </si>
  <si>
    <t>bruce@wpmv.com</t>
  </si>
  <si>
    <t>Bruce.mcdaniel@vanderlande.com</t>
  </si>
  <si>
    <t>mbruce@ups.com</t>
  </si>
  <si>
    <t>michaelbruce@ups.com</t>
  </si>
  <si>
    <t>nbruce@ups.com</t>
  </si>
  <si>
    <t>rbruce@ups.com</t>
  </si>
  <si>
    <t>rogerbruce@ups.com</t>
  </si>
  <si>
    <t>samanthabruce@ups.com</t>
  </si>
  <si>
    <t>sbruce@ups.com</t>
  </si>
  <si>
    <t>stephenbruce@ups.com</t>
  </si>
  <si>
    <t>terencebruce@ups.com</t>
  </si>
  <si>
    <t>thomasbruce@ups.com</t>
  </si>
  <si>
    <t>toddbruce@ups.com</t>
  </si>
  <si>
    <t>tbruce@ups.com</t>
  </si>
  <si>
    <t>Bruce.Johnson@aspect.com</t>
  </si>
  <si>
    <t>cbruch@ups.com</t>
  </si>
  <si>
    <t>jbruch@ups.com</t>
  </si>
  <si>
    <t>mbruchey@ups.com</t>
  </si>
  <si>
    <t>juergen.bruchhagen@europe.ups.com</t>
  </si>
  <si>
    <t>roland.bruchner@europe.ups.com</t>
  </si>
  <si>
    <t>rbruck@ups.com</t>
  </si>
  <si>
    <t>mbruckenstein@ups.com</t>
  </si>
  <si>
    <t>abrucker@ups.com</t>
  </si>
  <si>
    <t>patrick.brucker@europe.ups.com</t>
  </si>
  <si>
    <t>ibruckes@ups.com</t>
  </si>
  <si>
    <t>karenbruckmoser@ups.com</t>
  </si>
  <si>
    <t>sbruckner@ups.com</t>
  </si>
  <si>
    <t>gbruckschen@ups.com</t>
  </si>
  <si>
    <t>pbruder@ups.com</t>
  </si>
  <si>
    <t>rbruder@ups.com</t>
  </si>
  <si>
    <t>ebrudeseth@ups.com</t>
  </si>
  <si>
    <t>bbrudy@ups.com</t>
  </si>
  <si>
    <t>bentonbrudy@ups.com</t>
  </si>
  <si>
    <t>kbrudzinski@ups.com</t>
  </si>
  <si>
    <t>michaelbrudzinski@ups.com</t>
  </si>
  <si>
    <t>abruecken@ups.com</t>
  </si>
  <si>
    <t>mjbruederle@ups.com</t>
  </si>
  <si>
    <t>danbrueggemann@ups.com</t>
  </si>
  <si>
    <t>dbrueggemann@ups.com</t>
  </si>
  <si>
    <t>nbruelin@ups.com</t>
  </si>
  <si>
    <t>dbruening@ups.com</t>
  </si>
  <si>
    <t>abruer@ups.com</t>
  </si>
  <si>
    <t>Archiv.Bruessel@uni-data.de</t>
  </si>
  <si>
    <t>lbruflat@ups.com</t>
  </si>
  <si>
    <t>mbruger@ups.com</t>
  </si>
  <si>
    <t>jbrughmans@ups.com</t>
  </si>
  <si>
    <t>cbrugmann@ups.com</t>
  </si>
  <si>
    <t>jbrugna@ups.com</t>
  </si>
  <si>
    <t>jbruijsten@ups.com</t>
  </si>
  <si>
    <t>mbruington@ups.com</t>
  </si>
  <si>
    <t>wilco.bruinsma@europe.ups.com</t>
  </si>
  <si>
    <t>sbrulc@ups.com</t>
  </si>
  <si>
    <t>nbrule@ups.com</t>
  </si>
  <si>
    <t>ebrulic@ups.com</t>
  </si>
  <si>
    <t>bbrull@ups.com</t>
  </si>
  <si>
    <t>geert.bruls@europe.ups.com</t>
  </si>
  <si>
    <t>bbrum@ups.com</t>
  </si>
  <si>
    <t>brumbach@us.ibm.com</t>
  </si>
  <si>
    <t>bbrumback@ups.com</t>
  </si>
  <si>
    <t>rbrumby@ups.com</t>
  </si>
  <si>
    <t>carlybrumfield@ups.com</t>
  </si>
  <si>
    <t>cbrumfield@ups.com</t>
  </si>
  <si>
    <t>kbrumfield@ups.com</t>
  </si>
  <si>
    <t>sbrumfield@ups.com</t>
  </si>
  <si>
    <t>sbrumfield1@ups.com</t>
  </si>
  <si>
    <t>donnabrumlevebeaufait@ups.com</t>
  </si>
  <si>
    <t>dbrumley@ups.com</t>
  </si>
  <si>
    <t>mbrumme@ups.com</t>
  </si>
  <si>
    <t>gbrummell@ups.com</t>
  </si>
  <si>
    <t>abrummett@ups.com</t>
  </si>
  <si>
    <t>becky.brummett@ups.com</t>
  </si>
  <si>
    <t>jbrummett@ups.com</t>
  </si>
  <si>
    <t>kennethbrummett@ups.com</t>
  </si>
  <si>
    <t>abrummitt@ups.com</t>
  </si>
  <si>
    <t>wbrummond@ups.com</t>
  </si>
  <si>
    <t>cbrun@ups.com</t>
  </si>
  <si>
    <t>kbrunperez@ups.com</t>
  </si>
  <si>
    <t>sbrunachejr@ups.com</t>
  </si>
  <si>
    <t>ebrundidge@ups.com</t>
  </si>
  <si>
    <t>tbrundidge@ups.com</t>
  </si>
  <si>
    <t>gbrundo@ups.com</t>
  </si>
  <si>
    <t>mbrundritt@ups.com</t>
  </si>
  <si>
    <t>ebrundu@ups.com</t>
  </si>
  <si>
    <t>klaudia.braune@europe.ups.com</t>
  </si>
  <si>
    <t>FRA6MBP@europe.ups.com</t>
  </si>
  <si>
    <t>jeffrey.brunell@ups.com</t>
  </si>
  <si>
    <t>aivybruner@ups.com</t>
  </si>
  <si>
    <t>abruner@ups.com</t>
  </si>
  <si>
    <t>bethbruner@ups.com</t>
  </si>
  <si>
    <t>camrynbruner@ups.com</t>
  </si>
  <si>
    <t>cbruner@ups.com</t>
  </si>
  <si>
    <t>dbruner@ups.com</t>
  </si>
  <si>
    <t>jbruner@ups.com</t>
  </si>
  <si>
    <t>jonathanbruner@ups.com</t>
  </si>
  <si>
    <t>justinbruner@ups.com</t>
  </si>
  <si>
    <t>kbruner@ups.com</t>
  </si>
  <si>
    <t>bbrunersmith@ups.com</t>
  </si>
  <si>
    <t>sjbruner@ups.com</t>
  </si>
  <si>
    <t>tbruner@ups.com</t>
  </si>
  <si>
    <t>zbruner@ups.com</t>
  </si>
  <si>
    <t>cbrunet@ups.com</t>
  </si>
  <si>
    <t>jbrunet@ups.com</t>
  </si>
  <si>
    <t>nathalie.brunet@ups.com</t>
  </si>
  <si>
    <t>jbrunette@ups.com</t>
  </si>
  <si>
    <t>obrunetto@ups.com</t>
  </si>
  <si>
    <t>rbrungard@ups.com</t>
  </si>
  <si>
    <t>jbrungs@ups.com</t>
  </si>
  <si>
    <t>BRUNI.CAESAR@SENSIENT.COM</t>
  </si>
  <si>
    <t>fbrunia@ups.com</t>
  </si>
  <si>
    <t>wbruningii@ups.com</t>
  </si>
  <si>
    <t>kbrunk@ups.com</t>
  </si>
  <si>
    <t>mbrunke@ups.com</t>
  </si>
  <si>
    <t>dbrunmeier@ups.com</t>
  </si>
  <si>
    <t>kellybrunn@ups.com</t>
  </si>
  <si>
    <t>sbrunn@ups.com</t>
  </si>
  <si>
    <t>dbrunnemer@ups.com</t>
  </si>
  <si>
    <t>cbrunner@ups.com</t>
  </si>
  <si>
    <t>jbrunner@ups.com</t>
  </si>
  <si>
    <t>kbrunner@ups.com</t>
  </si>
  <si>
    <t>manfred.brunner@europe.ups.com</t>
  </si>
  <si>
    <t>marco.brunner@europe.ups.com</t>
  </si>
  <si>
    <t>nbrunner@ups.com</t>
  </si>
  <si>
    <t>kbrunnert@ups.com</t>
  </si>
  <si>
    <t>ebruno@ups.com</t>
  </si>
  <si>
    <t>kbruno@ups.com</t>
  </si>
  <si>
    <t>lbruno@ups.com</t>
  </si>
  <si>
    <t>mbruno1@ups.com</t>
  </si>
  <si>
    <t>michaelbruno@ups.com</t>
  </si>
  <si>
    <t>mbruno@ups.com</t>
  </si>
  <si>
    <t>nicholasbruno@ups.com</t>
  </si>
  <si>
    <t>rbruno@ups.com</t>
  </si>
  <si>
    <t>wmotionbrunoramos@ups.com</t>
  </si>
  <si>
    <t>rosiabruno@ups.com</t>
  </si>
  <si>
    <t>sbruno@ups.com</t>
  </si>
  <si>
    <t>stefaniebruno@ups.com</t>
  </si>
  <si>
    <t>abruns@ups.com</t>
  </si>
  <si>
    <t>gbruns@ups.com</t>
  </si>
  <si>
    <t>jbruns@ups.com</t>
  </si>
  <si>
    <t>mpbruns@ups.com</t>
  </si>
  <si>
    <t>mbruns@ups.com</t>
  </si>
  <si>
    <t>nickbruns@ups.com</t>
  </si>
  <si>
    <t>jbrunskill@ups.com</t>
  </si>
  <si>
    <t>brunsky.jeaniene@ups.com</t>
  </si>
  <si>
    <t>aimeebrunson@ups.com</t>
  </si>
  <si>
    <t>chanelbrunson@ups.com</t>
  </si>
  <si>
    <t>cbrunson@ups.com</t>
  </si>
  <si>
    <t>kbrunson@ups.com</t>
  </si>
  <si>
    <t>kimberlybrunson@ups.com</t>
  </si>
  <si>
    <t>lbrunson@ups.com</t>
  </si>
  <si>
    <t>pbrunson@ups.com</t>
  </si>
  <si>
    <t>shalondaglenn@ups.com</t>
  </si>
  <si>
    <t>travisbrunson@ups.com</t>
  </si>
  <si>
    <t>ybrunson@ups.com</t>
  </si>
  <si>
    <t>tbrunswig@ups.com</t>
  </si>
  <si>
    <t>bbrunt@ups.com</t>
  </si>
  <si>
    <t>jbrunt@ups.com</t>
  </si>
  <si>
    <t>charlesbrunton@ups.com</t>
  </si>
  <si>
    <t>nbruntz@ups.com</t>
  </si>
  <si>
    <t>jorge.brunyo@europe.ups.com</t>
  </si>
  <si>
    <t>jbruscia@ups.com</t>
  </si>
  <si>
    <t>pbrusell@ups.com</t>
  </si>
  <si>
    <t>brushdmp@ups.com</t>
  </si>
  <si>
    <t>tbrush@ups.com</t>
  </si>
  <si>
    <t>cbrussell@ups.com</t>
  </si>
  <si>
    <t>jbrussell@ups.com</t>
  </si>
  <si>
    <t>kaitlynbrussell@ups.com</t>
  </si>
  <si>
    <t>brusselsbulletin@ups.com</t>
  </si>
  <si>
    <t>brusselshubconveyorroom@ups.com</t>
  </si>
  <si>
    <t>jbrust@ups.com</t>
  </si>
  <si>
    <t>rbrutley@ups.com</t>
  </si>
  <si>
    <t>sbruton@ups.com</t>
  </si>
  <si>
    <t>ericabrutsch@ups.com</t>
  </si>
  <si>
    <t>pkbrutscher@ups.com</t>
  </si>
  <si>
    <t>tbruttomesso@ups.com</t>
  </si>
  <si>
    <t>ebrutus@ups.com</t>
  </si>
  <si>
    <t>guypsbrutus@ups.com</t>
  </si>
  <si>
    <t>eric.bruurs@europe.ups.com</t>
  </si>
  <si>
    <t>mbruvik@ups.com</t>
  </si>
  <si>
    <t>rbruyant@ups.com</t>
  </si>
  <si>
    <t>dbruzgis@ups.com</t>
  </si>
  <si>
    <t>bbruziak@ups.com</t>
  </si>
  <si>
    <t>abruzzese@ups.com</t>
  </si>
  <si>
    <t>bbruzzini@ups.com</t>
  </si>
  <si>
    <t>FRA2VVB@europe.ups.com</t>
  </si>
  <si>
    <t>abryan@ups.com</t>
  </si>
  <si>
    <t>austinbryan@ups.com</t>
  </si>
  <si>
    <t>UKG2BCB@europe.ups.com</t>
  </si>
  <si>
    <t>bryan.corrigan@ae.ge.com</t>
  </si>
  <si>
    <t>dtbryan@ups.com</t>
  </si>
  <si>
    <t>ebryan@ups.com</t>
  </si>
  <si>
    <t>jamesbryan@ups.com</t>
  </si>
  <si>
    <t>jamiebryan@ups.com</t>
  </si>
  <si>
    <t>jordaynebryan@ups.com</t>
  </si>
  <si>
    <t>josephbryan@ups.com</t>
  </si>
  <si>
    <t>jlbryan@ups.com</t>
  </si>
  <si>
    <t>juliabryan@ups.com</t>
  </si>
  <si>
    <t>justinbryan@ups.com</t>
  </si>
  <si>
    <t>bryan_l'esperance@samsonite.com</t>
  </si>
  <si>
    <t>maebryan@ups.com</t>
  </si>
  <si>
    <t>michaelbryan@ups.com</t>
  </si>
  <si>
    <t>mbryan1@ups.com</t>
  </si>
  <si>
    <t>mbryan@ups.com</t>
  </si>
  <si>
    <t>nbryan@ups.com</t>
  </si>
  <si>
    <t>Bryan.Neumeyer@courierexpress.net</t>
  </si>
  <si>
    <t>Brydberg@carhartt.com</t>
  </si>
  <si>
    <t>bryan94928@yahoo.com</t>
  </si>
  <si>
    <t>shannonbryan@ups.com</t>
  </si>
  <si>
    <t>sbryan@ups.com</t>
  </si>
  <si>
    <t>tbryan1@ups.com</t>
  </si>
  <si>
    <t>tbryan@ups.com</t>
  </si>
  <si>
    <t>jbryan@livingstoninc.com</t>
  </si>
  <si>
    <t>allysonbryant@ups.com</t>
  </si>
  <si>
    <t>andreabryant@ups.com</t>
  </si>
  <si>
    <t>abryant@ups.com</t>
  </si>
  <si>
    <t>antoniobryant@ups.com</t>
  </si>
  <si>
    <t>abryant1@ups.com</t>
  </si>
  <si>
    <t>arianbryant@ups.com</t>
  </si>
  <si>
    <t>armourbryant@ups.com</t>
  </si>
  <si>
    <t>ashleybryant@ups.com</t>
  </si>
  <si>
    <t>billiebryant@ups.com</t>
  </si>
  <si>
    <t>brianbryant@ups.com</t>
  </si>
  <si>
    <t>bbryant@ups.com</t>
  </si>
  <si>
    <t>carlosbryant@ups.com</t>
  </si>
  <si>
    <t>crbryant@ups.com</t>
  </si>
  <si>
    <t>cmbryant@ups.com</t>
  </si>
  <si>
    <t>codybryant@ups.com</t>
  </si>
  <si>
    <t>cbryant@ups.com</t>
  </si>
  <si>
    <t>dbryant@ups.com</t>
  </si>
  <si>
    <t>daquanbryant@ups.com</t>
  </si>
  <si>
    <t>dbryant2@ups.com</t>
  </si>
  <si>
    <t>dbryant1@ups.com</t>
  </si>
  <si>
    <t>davidbryant@ups.com</t>
  </si>
  <si>
    <t>dontaebryant@ups.com</t>
  </si>
  <si>
    <t>ebryant@ups.com</t>
  </si>
  <si>
    <t>henrybryant@ups.com</t>
  </si>
  <si>
    <t>hebryant@ups.com</t>
  </si>
  <si>
    <t>abryantiii@ups.com</t>
  </si>
  <si>
    <t>jamesbryant@ups.com</t>
  </si>
  <si>
    <t>jeromebryant@ups.com</t>
  </si>
  <si>
    <t>jerriebryant@ups.com</t>
  </si>
  <si>
    <t>jbryant@ups.com</t>
  </si>
  <si>
    <t>johnniebryant@ups.com</t>
  </si>
  <si>
    <t>jbryant1@ups.com</t>
  </si>
  <si>
    <t>justinbryant@ups.com</t>
  </si>
  <si>
    <t>kennethbryant@ups.com</t>
  </si>
  <si>
    <t>keonbryant@ups.com</t>
  </si>
  <si>
    <t>kbryant@ups.com</t>
  </si>
  <si>
    <t>kregbryant@ups.com</t>
  </si>
  <si>
    <t>kmbryant@ups.com</t>
  </si>
  <si>
    <t>lbryant@ups.com</t>
  </si>
  <si>
    <t>lnbryant@ups.com</t>
  </si>
  <si>
    <t>lenolabryant@ups.com</t>
  </si>
  <si>
    <t>loganbryant@ups.com</t>
  </si>
  <si>
    <t>ltiller@ups.com</t>
  </si>
  <si>
    <t>lynnbryant@ups.com</t>
  </si>
  <si>
    <t>mariabryant@ups.com</t>
  </si>
  <si>
    <t>mbryant@ups.com</t>
  </si>
  <si>
    <t>nancybryant@ups.com</t>
  </si>
  <si>
    <t>nathanbryant@ups.com</t>
  </si>
  <si>
    <t>nbryant@ups.com</t>
  </si>
  <si>
    <t>normabryant@ups.com</t>
  </si>
  <si>
    <t>pbryant@ups.com</t>
  </si>
  <si>
    <t>romanbryant@ups.com</t>
  </si>
  <si>
    <t>ronnecabryant@ups.com</t>
  </si>
  <si>
    <t>rbryant@ups.com</t>
  </si>
  <si>
    <t>sbryant@ups.com</t>
  </si>
  <si>
    <t>savannahbryant@ups.com</t>
  </si>
  <si>
    <t>ttbryant@ups.com</t>
  </si>
  <si>
    <t>tameriobryant@ups.com</t>
  </si>
  <si>
    <t>tammybryant@ups.com</t>
  </si>
  <si>
    <t>timothybryant@ups.com</t>
  </si>
  <si>
    <t>tbbryant@ups.com</t>
  </si>
  <si>
    <t>tonyabryant@ups.com</t>
  </si>
  <si>
    <t>tdbryant@ups.com</t>
  </si>
  <si>
    <t>tyaunbryant@ups.com</t>
  </si>
  <si>
    <t>tbryant@ups.com</t>
  </si>
  <si>
    <t>wesleybryant@ups.com</t>
  </si>
  <si>
    <t>mark.bryant@vauxhall.co.uk</t>
  </si>
  <si>
    <t>ybryantlabombard@ups.com</t>
  </si>
  <si>
    <t>kellybrybag@ups.com</t>
  </si>
  <si>
    <t>Bryce.Esses@PACCAR.com</t>
  </si>
  <si>
    <t>tjbryce@ups.com</t>
  </si>
  <si>
    <t>pbryczkowski@ups.com</t>
  </si>
  <si>
    <t>kbrydie@connectship.com</t>
  </si>
  <si>
    <t>ebrydson@ups.com</t>
  </si>
  <si>
    <t>cbryer@ups.com</t>
  </si>
  <si>
    <t>tracybrymer@ups.com</t>
  </si>
  <si>
    <t>mbrynczka@ups.com</t>
  </si>
  <si>
    <t>rbryndza@ups.com</t>
  </si>
  <si>
    <t>willbryner@ups.com</t>
  </si>
  <si>
    <t>wbryner@ups.com</t>
  </si>
  <si>
    <t>pbrynielsson@ups.com</t>
  </si>
  <si>
    <t>dbrys@ups.com</t>
  </si>
  <si>
    <t>cbryson@ups.com</t>
  </si>
  <si>
    <t>dbryson@ups.com</t>
  </si>
  <si>
    <t>jbryson@ups.com</t>
  </si>
  <si>
    <t>mbryson@ups.com</t>
  </si>
  <si>
    <t>rbryson@ups.com</t>
  </si>
  <si>
    <t>sbryson@ups.com</t>
  </si>
  <si>
    <t>tbryson1@ups.com</t>
  </si>
  <si>
    <t>stanislavbryzgalov@ups.com</t>
  </si>
  <si>
    <t>sbrzenk@ups.com</t>
  </si>
  <si>
    <t>jbrzezicki@ups.com</t>
  </si>
  <si>
    <t>lbrzezniak@ups.com</t>
  </si>
  <si>
    <t>jbrzozowska@ups.com</t>
  </si>
  <si>
    <t>mbrzozowski@ups.com</t>
  </si>
  <si>
    <t>szymonbrzozowski@ups.com</t>
  </si>
  <si>
    <t>jbrzozowy@ups.com</t>
  </si>
  <si>
    <t>jbrzuskiewicz@ups.com</t>
  </si>
  <si>
    <t>EMEA-CIT-DELL@transcom.com</t>
  </si>
  <si>
    <t>EMEA-CIT-SPLUS@transcom.com</t>
  </si>
  <si>
    <t>fbshara@ups.com</t>
  </si>
  <si>
    <t>bsisupport@ups.com</t>
  </si>
  <si>
    <t>BSISMbx@ups.com</t>
  </si>
  <si>
    <t>bsninvoices@ups.com</t>
  </si>
  <si>
    <t>bssabi@ups.com</t>
  </si>
  <si>
    <t>bssticketresolution@ups.com</t>
  </si>
  <si>
    <t>bupikmasryanni@ups.com</t>
  </si>
  <si>
    <t>biliana@ups.com</t>
  </si>
  <si>
    <t>btsystems@ups.com</t>
  </si>
  <si>
    <t>nbteibrahim@ups.com</t>
  </si>
  <si>
    <t>BTOMbx@ups.com</t>
  </si>
  <si>
    <t>bhuiyuan@ups.com</t>
  </si>
  <si>
    <t>bnawanut@ups.com</t>
  </si>
  <si>
    <t>bnatthayanee@ups.com</t>
  </si>
  <si>
    <t>blikkhasit@ups.com</t>
  </si>
  <si>
    <t>baekkawan@ups.com</t>
  </si>
  <si>
    <t>kbub@ups.com</t>
  </si>
  <si>
    <t>fbubbico@ups.com</t>
  </si>
  <si>
    <t>lbube@ups.com</t>
  </si>
  <si>
    <t>vbublikov@ups.com</t>
  </si>
  <si>
    <t>abublitz@ups.com</t>
  </si>
  <si>
    <t>katkabubnikova@volny.cz</t>
  </si>
  <si>
    <t>bsirlewbbior@ups.com</t>
  </si>
  <si>
    <t>sbucan@ups.com</t>
  </si>
  <si>
    <t>sbuccellato@ups.com</t>
  </si>
  <si>
    <t>melaniebucceri@ups.com</t>
  </si>
  <si>
    <t>cbucci@ups.com</t>
  </si>
  <si>
    <t>claudiobucci@ups.com</t>
  </si>
  <si>
    <t>gbucci@ups.com</t>
  </si>
  <si>
    <t>markbucci@ups.com</t>
  </si>
  <si>
    <t>rbucci@ups.com</t>
  </si>
  <si>
    <t>jbuccieri@ups.com</t>
  </si>
  <si>
    <t>bbucde@ups.com</t>
  </si>
  <si>
    <t>mbucey@ups.com</t>
  </si>
  <si>
    <t>bsachin@ups.com</t>
  </si>
  <si>
    <t>mbuchalski@ups.com</t>
  </si>
  <si>
    <t>bbuchanan@ups.com</t>
  </si>
  <si>
    <t>abuchanan@ups.com</t>
  </si>
  <si>
    <t>blbuchanan@ups.com</t>
  </si>
  <si>
    <t>bpbuchanan@ups.com</t>
  </si>
  <si>
    <t>cbuchanan@ups.com</t>
  </si>
  <si>
    <t>cherylbuchanan@ups.com</t>
  </si>
  <si>
    <t>cbuchanan1@ups.com</t>
  </si>
  <si>
    <t>dbuchanan@ups.com</t>
  </si>
  <si>
    <t>hollybuchanan@ups.com</t>
  </si>
  <si>
    <t>jacobbuchanan@ups.com</t>
  </si>
  <si>
    <t>jbuchanan@ups.com</t>
  </si>
  <si>
    <t>jeffbuchanan@ups.com</t>
  </si>
  <si>
    <t>tbuchananjr@ups.com</t>
  </si>
  <si>
    <t>kabuchanan@ups.com</t>
  </si>
  <si>
    <t>kbuchanan@ups.com</t>
  </si>
  <si>
    <t>lbuchanan@ups.com</t>
  </si>
  <si>
    <t>leonbuchanan@ups.com</t>
  </si>
  <si>
    <t>mbuchanan@ups.com</t>
  </si>
  <si>
    <t>markbuchanan@ups.com</t>
  </si>
  <si>
    <t>mattiebuchanan@ups.com</t>
  </si>
  <si>
    <t>michaelbuchanan@ups.com</t>
  </si>
  <si>
    <t>mindybuchanan@ups.com</t>
  </si>
  <si>
    <t>nbuchanan@ups.com</t>
  </si>
  <si>
    <t>rbuchanan@ups.com</t>
  </si>
  <si>
    <t>rhbuchanan@ups.com</t>
  </si>
  <si>
    <t>robertbuchanan@ups.com</t>
  </si>
  <si>
    <t>sbuchanan@ups.com</t>
  </si>
  <si>
    <t>tbuchanan1@ups.com</t>
  </si>
  <si>
    <t>tbuchanan@ups.com</t>
  </si>
  <si>
    <t>cbucher@ups.com</t>
  </si>
  <si>
    <t>mbucher@ups.com</t>
  </si>
  <si>
    <t>EUR8TAB@europe.ups.com</t>
  </si>
  <si>
    <t>cbuchholz@ups.com</t>
  </si>
  <si>
    <t>harald.buchholz@europe.ups.com</t>
  </si>
  <si>
    <t>jbuchholz@ups.com</t>
  </si>
  <si>
    <t>jeremybuchholz@ups.com</t>
  </si>
  <si>
    <t>kbuchholz@ups.com</t>
  </si>
  <si>
    <t>mbuchholz@ups.com</t>
  </si>
  <si>
    <t>nbuchl@ups.com</t>
  </si>
  <si>
    <t>bbuchler@ups.com</t>
  </si>
  <si>
    <t>pbuchler@ups.com</t>
  </si>
  <si>
    <t>lbuchmaier@ups.com</t>
  </si>
  <si>
    <t>philipbuchman@ups.com</t>
  </si>
  <si>
    <t>jbuchmann@ups.com</t>
  </si>
  <si>
    <t>bbuchmayer@ups.com</t>
  </si>
  <si>
    <t>ebuchner@ups.com</t>
  </si>
  <si>
    <t>jennibucholc@ups.com</t>
  </si>
  <si>
    <t>ebucholtz@ups.com</t>
  </si>
  <si>
    <t>kbuchowiecka@ups.com</t>
  </si>
  <si>
    <t>sbuchtmann@ups.com</t>
  </si>
  <si>
    <t>christinebuchwald@ups.com</t>
  </si>
  <si>
    <t>rbuchweitz@ups.com</t>
  </si>
  <si>
    <t>abuck@ups.com</t>
  </si>
  <si>
    <t>bbuck@ups.com</t>
  </si>
  <si>
    <t>cbuck@ups.com</t>
  </si>
  <si>
    <t>ebuck@ups.com</t>
  </si>
  <si>
    <t>ibuck@ups.com</t>
  </si>
  <si>
    <t>jbuck@ups.com</t>
  </si>
  <si>
    <t>justinbuck@ups.com</t>
  </si>
  <si>
    <t>mbuck@ups.com</t>
  </si>
  <si>
    <t>myquiabuck@ups.com</t>
  </si>
  <si>
    <t>vbuck@ups.com</t>
  </si>
  <si>
    <t>tbuckaloo@ups.com</t>
  </si>
  <si>
    <t>brandybuckel@ups.com</t>
  </si>
  <si>
    <t>timbuckel@ups.com</t>
  </si>
  <si>
    <t>ryanbuckert@ups.com</t>
  </si>
  <si>
    <t>tbuckham@ups.com</t>
  </si>
  <si>
    <t>jbuckhanajr@ups.com</t>
  </si>
  <si>
    <t>hbuckingham@ups.com</t>
  </si>
  <si>
    <t>mbuckingham@ups.com</t>
  </si>
  <si>
    <t>kbuckis@ups.com</t>
  </si>
  <si>
    <t>jbuckland@ups.com</t>
  </si>
  <si>
    <t>kimberlybuckland@ups.com</t>
  </si>
  <si>
    <t>lbuckland@ups.com</t>
  </si>
  <si>
    <t>cbuckles@ups.com</t>
  </si>
  <si>
    <t>jbuckles@ups.com</t>
  </si>
  <si>
    <t>rbucklesjr@ups.com</t>
  </si>
  <si>
    <t>kristinbuckles@ups.com</t>
  </si>
  <si>
    <t>kbuckles@ups.com</t>
  </si>
  <si>
    <t>mbuckles@ups.com</t>
  </si>
  <si>
    <t>sbuckles@ups.com</t>
  </si>
  <si>
    <t>rbucklew@ups.com</t>
  </si>
  <si>
    <t>cbuckley@ups.com</t>
  </si>
  <si>
    <t>gyroneicebuckley@ups.com</t>
  </si>
  <si>
    <t>jerelbuckley@ups.com</t>
  </si>
  <si>
    <t>jessicabuckley@ups.com</t>
  </si>
  <si>
    <t>johnbuckley@ups.com</t>
  </si>
  <si>
    <t>kathrynbuckley@ups.com</t>
  </si>
  <si>
    <t>kbuckleyridge@ups.com</t>
  </si>
  <si>
    <t>rbuckley@ups.com</t>
  </si>
  <si>
    <t>rbuckley1@ups.com</t>
  </si>
  <si>
    <t>ryanbuckley@ups.com</t>
  </si>
  <si>
    <t>sbuckley@ups.com</t>
  </si>
  <si>
    <t>stephenbuckley@ups.com</t>
  </si>
  <si>
    <t>trevorbuckley@ups.com</t>
  </si>
  <si>
    <t>tylerbuckley@ups.com</t>
  </si>
  <si>
    <t>wbuckley@ups.com</t>
  </si>
  <si>
    <t>cbuckman@ups.com</t>
  </si>
  <si>
    <t>tbuckman@ups.com</t>
  </si>
  <si>
    <t>timothybuckman@ups.com</t>
  </si>
  <si>
    <t>cbuckmon@ups.com</t>
  </si>
  <si>
    <t>courtneybuckmon@ups.com</t>
  </si>
  <si>
    <t>ebucknall@ups.com</t>
  </si>
  <si>
    <t>bbuckner@ups.com</t>
  </si>
  <si>
    <t>cbuckner@ups.com</t>
  </si>
  <si>
    <t>krbuckner@ups.com</t>
  </si>
  <si>
    <t>lbuckner@ups.com</t>
  </si>
  <si>
    <t>lorabuckner@ups.com</t>
  </si>
  <si>
    <t>mbuckner@ups.com</t>
  </si>
  <si>
    <t>matthewbuckner@ups.com</t>
  </si>
  <si>
    <t>smbuckner@ups.com</t>
  </si>
  <si>
    <t>abuckowitzjr@ups.com</t>
  </si>
  <si>
    <t>ybuckpesch@ups.com</t>
  </si>
  <si>
    <t>jbuckridgeii@ups.com</t>
  </si>
  <si>
    <t>ebuckwalter@ups.com</t>
  </si>
  <si>
    <t>bchristine@ups.com</t>
  </si>
  <si>
    <t>mbucur@ups.com</t>
  </si>
  <si>
    <t>tbucy@ups.com</t>
  </si>
  <si>
    <t>mbuczacka@ups.com</t>
  </si>
  <si>
    <t>kbuczek@ups.com</t>
  </si>
  <si>
    <t>mbuczynska@ups.com</t>
  </si>
  <si>
    <t>ebuczynskawozniak@ups.com</t>
  </si>
  <si>
    <t>rbuczynski@ups.com</t>
  </si>
  <si>
    <t>obud@ups.com</t>
  </si>
  <si>
    <t>tbuda@ups.com</t>
  </si>
  <si>
    <t>budacshienamarie@ups.com</t>
  </si>
  <si>
    <t>cbuday@ups.com</t>
  </si>
  <si>
    <t>buday.jeffrey@ups.com</t>
  </si>
  <si>
    <t>abudd@ups.com</t>
  </si>
  <si>
    <t>danielbudd@ups.com</t>
  </si>
  <si>
    <t>dbudd@ups.com</t>
  </si>
  <si>
    <t>mbudde@ups.com</t>
  </si>
  <si>
    <t>meridethbudde@ups.com</t>
  </si>
  <si>
    <t>bseksan@ups.com</t>
  </si>
  <si>
    <t>dbudden@ups.com</t>
  </si>
  <si>
    <t>meaganbuddenhagen@ups.com</t>
  </si>
  <si>
    <t>mbuddenhagen@ups.com</t>
  </si>
  <si>
    <t>buddy.foley@hp.com</t>
  </si>
  <si>
    <t>michael.bude@europe.ups.com</t>
  </si>
  <si>
    <t>dave.budell@ups.com</t>
  </si>
  <si>
    <t>jbudenaers@ups.com</t>
  </si>
  <si>
    <t>gbudenbender@ups.com</t>
  </si>
  <si>
    <t>mbudewitz@ups.com</t>
  </si>
  <si>
    <t>abudha@ups.com</t>
  </si>
  <si>
    <t>kamie@powwowusa.com</t>
  </si>
  <si>
    <t>dbudhathoki@ups.com</t>
  </si>
  <si>
    <t>kbudhavarapu@ups.com</t>
  </si>
  <si>
    <t>obudimir@ups.com</t>
  </si>
  <si>
    <t>jbudina@ups.com</t>
  </si>
  <si>
    <t>tbudke@ups.com</t>
  </si>
  <si>
    <t>mbudney@ups.com</t>
  </si>
  <si>
    <t>abudnicka@ups.com</t>
  </si>
  <si>
    <t>pbudnicki@ups.com</t>
  </si>
  <si>
    <t>jbudny@ups.com</t>
  </si>
  <si>
    <t>pbudpoothorn@ups.com</t>
  </si>
  <si>
    <t>bnuchtida@ups.com</t>
  </si>
  <si>
    <t>abudvytyte@ups.com</t>
  </si>
  <si>
    <t>kbudwick@ups.com</t>
  </si>
  <si>
    <t>lbudz@ups.com</t>
  </si>
  <si>
    <t>kbudzhev@ups.com</t>
  </si>
  <si>
    <t>davidbudzicz@ups.com</t>
  </si>
  <si>
    <t>rbudzisz@ups.com</t>
  </si>
  <si>
    <t>annabudzynska@ups.com</t>
  </si>
  <si>
    <t>hbueche@ups.com</t>
  </si>
  <si>
    <t>dbuechel@ups.com</t>
  </si>
  <si>
    <t>fbuecheler@ups.com</t>
  </si>
  <si>
    <t>markusbuecher@ups.com</t>
  </si>
  <si>
    <t>sbuechler@ups.com</t>
  </si>
  <si>
    <t>jbuechsel@ups.com</t>
  </si>
  <si>
    <t>rbuechsenschuetz@ups.com</t>
  </si>
  <si>
    <t>gbuehler@ups.com</t>
  </si>
  <si>
    <t>sbuehler@ups.com</t>
  </si>
  <si>
    <t>dbuehne@ups.com</t>
  </si>
  <si>
    <t>abuehner@ups.com</t>
  </si>
  <si>
    <t>cbuehner@ups.com</t>
  </si>
  <si>
    <t>kbuehner@ups.com</t>
  </si>
  <si>
    <t>bbueker@ups.com</t>
  </si>
  <si>
    <t>jbuell@ups.com</t>
  </si>
  <si>
    <t>sbuell@ups.com</t>
  </si>
  <si>
    <t>tbuell@ups.com</t>
  </si>
  <si>
    <t>vbuell@ups.com</t>
  </si>
  <si>
    <t>jbuellesbach@ups.com</t>
  </si>
  <si>
    <t>jbuelvas@ups.com</t>
  </si>
  <si>
    <t>bsydney@ups.com</t>
  </si>
  <si>
    <t>buenaventuragail@ups.com</t>
  </si>
  <si>
    <t>luis.buenaventura@europe.ups.com</t>
  </si>
  <si>
    <t>normitab@ups.com</t>
  </si>
  <si>
    <t>richard.buenaventura@ups.com</t>
  </si>
  <si>
    <t>pbuendia@ups.com</t>
  </si>
  <si>
    <t>abuendiapozos@ups.com</t>
  </si>
  <si>
    <t>pbuengener@ups.com</t>
  </si>
  <si>
    <t>abuening@ups.com</t>
  </si>
  <si>
    <t>kbuenker@ups.com</t>
  </si>
  <si>
    <t>fbuenobernal@ups.com</t>
  </si>
  <si>
    <t>cbueno@ups.com</t>
  </si>
  <si>
    <t>gbueno@ups.com</t>
  </si>
  <si>
    <t>jbueno@ups.com</t>
  </si>
  <si>
    <t>mbueno@ups.com</t>
  </si>
  <si>
    <t>maricelabueno@ups.com</t>
  </si>
  <si>
    <t>rmbueno@ups.com</t>
  </si>
  <si>
    <t>rbueno@ups.com</t>
  </si>
  <si>
    <t>wbueno@ups.com</t>
  </si>
  <si>
    <t>xbueno@ups.com</t>
  </si>
  <si>
    <t>dbuenrostro@ups.com</t>
  </si>
  <si>
    <t>gbuenrostro@ups.com</t>
  </si>
  <si>
    <t>ibuenrostro@ups.com</t>
  </si>
  <si>
    <t>jbuenrostrolopez@ups.com</t>
  </si>
  <si>
    <t>rbuensuceso@ups.com</t>
  </si>
  <si>
    <t>sbuerger@ups.com</t>
  </si>
  <si>
    <t>mbuerkley@ups.com</t>
  </si>
  <si>
    <t>cbueschel@ups.com</t>
  </si>
  <si>
    <t>ingo.buescher@europe.ups.com</t>
  </si>
  <si>
    <t>sbuescher@ups.com</t>
  </si>
  <si>
    <t>heike.buescher-francis@europe.ups.com</t>
  </si>
  <si>
    <t>mbueso@ups.com</t>
  </si>
  <si>
    <t>tbueter@ups.com</t>
  </si>
  <si>
    <t>daniel.buethe@europe.ups.com</t>
  </si>
  <si>
    <t>mbuettgen@ups.com</t>
  </si>
  <si>
    <t>fbuettner@ups.com</t>
  </si>
  <si>
    <t>thomas.buexe@europe.ups.com</t>
  </si>
  <si>
    <t>sbueyuekacar@ups.com</t>
  </si>
  <si>
    <t>bjonald@ups.com</t>
  </si>
  <si>
    <t>mbuffa@ups.com</t>
  </si>
  <si>
    <t>buffalopayablesdmc@ups.com</t>
  </si>
  <si>
    <t>FRA0MCB@europe.ups.com</t>
  </si>
  <si>
    <t>mgbuffington@ups.com</t>
  </si>
  <si>
    <t>mbuffington@ups.com</t>
  </si>
  <si>
    <t>rustybuffington@ups.com</t>
  </si>
  <si>
    <t>mbuffo@ups.com</t>
  </si>
  <si>
    <t>mbuffon@upsstore.com</t>
  </si>
  <si>
    <t>rbuffoni@ups.com</t>
  </si>
  <si>
    <t>jbufford@ups.com</t>
  </si>
  <si>
    <t>sbufford@ups.com</t>
  </si>
  <si>
    <t>ebuford@ups.com</t>
  </si>
  <si>
    <t>kbuford@ups.com</t>
  </si>
  <si>
    <t>tbuford@ups.com</t>
  </si>
  <si>
    <t>tbugaeva@ups.com</t>
  </si>
  <si>
    <t>jbugaj@ups.com</t>
  </si>
  <si>
    <t>sbugajska@ups.com</t>
  </si>
  <si>
    <t>abugancev@ups.com</t>
  </si>
  <si>
    <t>bchester@ups.com</t>
  </si>
  <si>
    <t>jbugayong@ups.com</t>
  </si>
  <si>
    <t>kbugbee@ups.com</t>
  </si>
  <si>
    <t>bbugg@ups.com</t>
  </si>
  <si>
    <t>CBugg@ups.com</t>
  </si>
  <si>
    <t>sbugg@ups.com</t>
  </si>
  <si>
    <t>kbugglezampieri@ups.com</t>
  </si>
  <si>
    <t>sbuggs@ups.com</t>
  </si>
  <si>
    <t>sbughiu@ups.com</t>
  </si>
  <si>
    <t>rbuglione@ups.com</t>
  </si>
  <si>
    <t>pbugo@ups.com</t>
  </si>
  <si>
    <t>mbugri@ups.com</t>
  </si>
  <si>
    <t>fci.buh@dnt.ro</t>
  </si>
  <si>
    <t>buhfordpa@ups.com</t>
  </si>
  <si>
    <t>bbonarvenc@ups.com</t>
  </si>
  <si>
    <t>brendob@ups.com</t>
  </si>
  <si>
    <t>jbuhay@ups.com</t>
  </si>
  <si>
    <t>ibuhic@ups.com</t>
  </si>
  <si>
    <t>mbuhl@ups.com</t>
  </si>
  <si>
    <t>pbuhl@ups.com</t>
  </si>
  <si>
    <t>ykbuhlau@livingstoninc.com</t>
  </si>
  <si>
    <t>gbuhler@ups.com</t>
  </si>
  <si>
    <t>mbuhler@ups.com</t>
  </si>
  <si>
    <t>mbuhre@ups.com</t>
  </si>
  <si>
    <t>bbuhrman@ups.com</t>
  </si>
  <si>
    <t>pbuhrs@ups.com</t>
  </si>
  <si>
    <t>austinbui@ups.com</t>
  </si>
  <si>
    <t>charlene@mlkishigo.com</t>
  </si>
  <si>
    <t>dbui@ups.com</t>
  </si>
  <si>
    <t>ebui@ups.com</t>
  </si>
  <si>
    <t>hbui@ups.com</t>
  </si>
  <si>
    <t>hoangdiepbui@ups.com</t>
  </si>
  <si>
    <t>bhue@ups.com</t>
  </si>
  <si>
    <t>nbui@ups.com</t>
  </si>
  <si>
    <t>btu@ups.com</t>
  </si>
  <si>
    <t>thuanbui@ups.com</t>
  </si>
  <si>
    <t>tracybui@ups.com</t>
  </si>
  <si>
    <t>tbui@ups.com</t>
  </si>
  <si>
    <t>vbui@ups.com</t>
  </si>
  <si>
    <t>bxuanbach@ups.com</t>
  </si>
  <si>
    <t>ebuice@ups.com</t>
  </si>
  <si>
    <t>jbuice@ups.com</t>
  </si>
  <si>
    <t>ebuie@ups.com</t>
  </si>
  <si>
    <t>ibuie@ups.com</t>
  </si>
  <si>
    <t>tsgneuss@ups.com</t>
  </si>
  <si>
    <t>sbuillas@ups.com</t>
  </si>
  <si>
    <t>jenniferbuisson@ups.com</t>
  </si>
  <si>
    <t>tbuist@ups.com</t>
  </si>
  <si>
    <t>cbuitrago@ups.com</t>
  </si>
  <si>
    <t>bsantiago@ups.com</t>
  </si>
  <si>
    <t>ebuivydas@ups.com</t>
  </si>
  <si>
    <t>buizonjohn@ups.com</t>
  </si>
  <si>
    <t>bbujak@ups.com</t>
  </si>
  <si>
    <t>konradbujak@ups.com</t>
  </si>
  <si>
    <t>ebujanda@ups.com</t>
  </si>
  <si>
    <t>bnorhairita@ups.com</t>
  </si>
  <si>
    <t>dbukara@ups.com</t>
  </si>
  <si>
    <t>tbukhari@ups.com</t>
  </si>
  <si>
    <t>ebukker@ups.com</t>
  </si>
  <si>
    <t>dbukovic@ups.com</t>
  </si>
  <si>
    <t>pbukovnik@ups.com</t>
  </si>
  <si>
    <t>mbukowski@ups.com</t>
  </si>
  <si>
    <t>rbukowski@ups.com</t>
  </si>
  <si>
    <t>sbukowski@ups.com</t>
  </si>
  <si>
    <t>abukreev@ups.com</t>
  </si>
  <si>
    <t>jbuksa@ups.com</t>
  </si>
  <si>
    <t>mbuksa@ups.com</t>
  </si>
  <si>
    <t>rbuksch@ups.com</t>
  </si>
  <si>
    <t>batish@ups.com</t>
  </si>
  <si>
    <t>mbukvic@ups.com</t>
  </si>
  <si>
    <t>josebula@ups.com</t>
  </si>
  <si>
    <t>bulaclacalexander@ups.com</t>
  </si>
  <si>
    <t>rbulaj@ups.com</t>
  </si>
  <si>
    <t>balbertchris@ups.com</t>
  </si>
  <si>
    <t>abulani@ups.com</t>
  </si>
  <si>
    <t>ebulard@ups.com</t>
  </si>
  <si>
    <t>jbulau@ups.com</t>
  </si>
  <si>
    <t>mbulbul@ups.com</t>
  </si>
  <si>
    <t>obulbul@ups.com</t>
  </si>
  <si>
    <t>lbulera@ups.com</t>
  </si>
  <si>
    <t>rbulgarinoronha@ups.com</t>
  </si>
  <si>
    <t>bgcustsvc@ups.com</t>
  </si>
  <si>
    <t>sbulger@ups.com</t>
  </si>
  <si>
    <t>kbulgin@ups.com</t>
  </si>
  <si>
    <t>mbulicek@ups.com</t>
  </si>
  <si>
    <t>sbuljubasic@ups.com</t>
  </si>
  <si>
    <t>dbull@ups.com</t>
  </si>
  <si>
    <t>hbull@ups.com</t>
  </si>
  <si>
    <t>johnbull@ups.com</t>
  </si>
  <si>
    <t>jbull@ups.com</t>
  </si>
  <si>
    <t>stevebull@ups.com</t>
  </si>
  <si>
    <t>tbull@ups.com</t>
  </si>
  <si>
    <t>karin.bulla@europe.ups.com</t>
  </si>
  <si>
    <t>ubulla1@ups.com</t>
  </si>
  <si>
    <t>dbullard@ups.com</t>
  </si>
  <si>
    <t>ebullard@ups.com</t>
  </si>
  <si>
    <t>jamalbullard@ups.com</t>
  </si>
  <si>
    <t>jbullard@ups.com</t>
  </si>
  <si>
    <t>lbullard@ups.com</t>
  </si>
  <si>
    <t>nbullard@ups.com</t>
  </si>
  <si>
    <t>kbulleid@ups.com</t>
  </si>
  <si>
    <t>dlbullen@ups.com</t>
  </si>
  <si>
    <t>jbullen@ups.com</t>
  </si>
  <si>
    <t>lbullen@ups.com</t>
  </si>
  <si>
    <t>sydneybullen@ups.com</t>
  </si>
  <si>
    <t>dagmarabuller@ups.com</t>
  </si>
  <si>
    <t>cbullerman@ups.com</t>
  </si>
  <si>
    <t>import.bulletins2@server22.service.com</t>
  </si>
  <si>
    <t>wbulley@ups.com</t>
  </si>
  <si>
    <t>tbullin@ups.com</t>
  </si>
  <si>
    <t>abullinger@ups.com</t>
  </si>
  <si>
    <t>mbullington@ups.com</t>
  </si>
  <si>
    <t>tbullion@ups.com</t>
  </si>
  <si>
    <t>abullitt@ups.com</t>
  </si>
  <si>
    <t>dbullman@ups.com</t>
  </si>
  <si>
    <t>kbulloch@ups.com</t>
  </si>
  <si>
    <t>biancabullock@ups.com</t>
  </si>
  <si>
    <t>bbullock@ups.com</t>
  </si>
  <si>
    <t>cbullock@ups.com</t>
  </si>
  <si>
    <t>cdbullock@ups.com</t>
  </si>
  <si>
    <t>cbullock1@ups.com</t>
  </si>
  <si>
    <t>cynthiabullock@ups.com</t>
  </si>
  <si>
    <t>daliabullock@ups.com</t>
  </si>
  <si>
    <t>dbullock@ups.com</t>
  </si>
  <si>
    <t>deishabullock@ups.com</t>
  </si>
  <si>
    <t>ebullock@ups.com</t>
  </si>
  <si>
    <t>elizabethbullock@ups.com</t>
  </si>
  <si>
    <t>jasonbullock@ups.com</t>
  </si>
  <si>
    <t>joannebullock@ups.com</t>
  </si>
  <si>
    <t>justinbullock@ups.com</t>
  </si>
  <si>
    <t>kbullock@ups.com</t>
  </si>
  <si>
    <t>lamontbullock@ups.com</t>
  </si>
  <si>
    <t>mbullock@ups.com</t>
  </si>
  <si>
    <t>nbullock@ups.com</t>
  </si>
  <si>
    <t>rbullock@ups.com</t>
  </si>
  <si>
    <t>bjeffreyjohn@ups.com</t>
  </si>
  <si>
    <t>karstbulsing@ups.com</t>
  </si>
  <si>
    <t>nbulthuis@ups.com</t>
  </si>
  <si>
    <t>rbulthuis@ups.com</t>
  </si>
  <si>
    <t>tbultsma@ups.com</t>
  </si>
  <si>
    <t>ibulu@ups.com</t>
  </si>
  <si>
    <t>abulut@ups.com</t>
  </si>
  <si>
    <t>mbulut@ups.com</t>
  </si>
  <si>
    <t>tbulut@ups.com</t>
  </si>
  <si>
    <t>ubulut@ups.com</t>
  </si>
  <si>
    <t>musabuluttekin@ups.com</t>
  </si>
  <si>
    <t>abumanlag@ups.com</t>
  </si>
  <si>
    <t>tbumgarner@ups.com</t>
  </si>
  <si>
    <t>varshabumhyavarapu@ups.com</t>
  </si>
  <si>
    <t>aylinbumin@ups.com</t>
  </si>
  <si>
    <t>cbumpass@ups.com</t>
  </si>
  <si>
    <t>rbumpass@ups.com</t>
  </si>
  <si>
    <t>mbumpers@ups.com</t>
  </si>
  <si>
    <t>jbumpus@ups.com</t>
  </si>
  <si>
    <t>kbumpus@ups.com</t>
  </si>
  <si>
    <t>mbumpus@ups.com</t>
  </si>
  <si>
    <t>lbun@ups.com</t>
  </si>
  <si>
    <t>geneveeb@ups.com</t>
  </si>
  <si>
    <t>bshiela@ups.com</t>
  </si>
  <si>
    <t>bbunch@ups.com</t>
  </si>
  <si>
    <t>cbunch@ups.com</t>
  </si>
  <si>
    <t>dbunch@ups.com</t>
  </si>
  <si>
    <t>gbunch@ups.com</t>
  </si>
  <si>
    <t>gtbunch@ups.com</t>
  </si>
  <si>
    <t>joshuabunch@ups.com</t>
  </si>
  <si>
    <t>jbunch@ups.com</t>
  </si>
  <si>
    <t>kmbunch@ups.com</t>
  </si>
  <si>
    <t>mbunch@ups.com</t>
  </si>
  <si>
    <t>nbunch@ups.com</t>
  </si>
  <si>
    <t>mbund@ups.com</t>
  </si>
  <si>
    <t>lbunda@ups.com</t>
  </si>
  <si>
    <t>gbundalian@ups.com</t>
  </si>
  <si>
    <t>bbunday@ups.com</t>
  </si>
  <si>
    <t>nbundela@ups.com</t>
  </si>
  <si>
    <t>rbunder@ups.com</t>
  </si>
  <si>
    <t>mbundy@ups.com</t>
  </si>
  <si>
    <t>rbundy@ups.com</t>
  </si>
  <si>
    <t>sbundy@ups.com</t>
  </si>
  <si>
    <t>mvbuneo@ups.com</t>
  </si>
  <si>
    <t>abungau@ups.com</t>
  </si>
  <si>
    <t>cbunge@ups.com</t>
  </si>
  <si>
    <t>jbunger@ups.com</t>
  </si>
  <si>
    <t>brustomklein@ups.com</t>
  </si>
  <si>
    <t>bmichelle@ups.com</t>
  </si>
  <si>
    <t>bbunin@shiprmx.com</t>
  </si>
  <si>
    <t>sbunk@ups.com</t>
  </si>
  <si>
    <t>raphealbunkley@ups.com</t>
  </si>
  <si>
    <t>andrewbunn@ups.com</t>
  </si>
  <si>
    <t>abunn@ups.com</t>
  </si>
  <si>
    <t>fbunn@ups.com</t>
  </si>
  <si>
    <t>gbunn@ups.com</t>
  </si>
  <si>
    <t>jackiebunn@ups.com</t>
  </si>
  <si>
    <t>jbunn@ups.com</t>
  </si>
  <si>
    <t>jimmybunn@ups.com</t>
  </si>
  <si>
    <t>kbunn@ups.com</t>
  </si>
  <si>
    <t>nbunn@ups.com</t>
  </si>
  <si>
    <t>tbunnag@ups.com</t>
  </si>
  <si>
    <t>cbunner@ups.com</t>
  </si>
  <si>
    <t>tbunner@ups.com</t>
  </si>
  <si>
    <t>janaibunnion@ups.com</t>
  </si>
  <si>
    <t>bjamil@ups.com</t>
  </si>
  <si>
    <t>bbussarin@ups.com</t>
  </si>
  <si>
    <t>dbuntain@ups.com</t>
  </si>
  <si>
    <t>bwatthanachai@ups.com</t>
  </si>
  <si>
    <t>jbuntin@ups.com</t>
  </si>
  <si>
    <t>daniellebunting@ups.com</t>
  </si>
  <si>
    <t>kbunting@ups.com</t>
  </si>
  <si>
    <t>tbunting@ups.com</t>
  </si>
  <si>
    <t>zbunting@ups.com</t>
  </si>
  <si>
    <t>jbunton@ups.com</t>
  </si>
  <si>
    <t>jbunts@ups.com</t>
  </si>
  <si>
    <t>sbuntsma@ups.com</t>
  </si>
  <si>
    <t>bunzl@ups.com</t>
  </si>
  <si>
    <t>mbuonaiuto@ups.com</t>
  </si>
  <si>
    <t>jbuonanno@ups.com</t>
  </si>
  <si>
    <t>gbuonincontro@ups.com</t>
  </si>
  <si>
    <t>cbuono@ups.com</t>
  </si>
  <si>
    <t>fbuono@ups.com</t>
  </si>
  <si>
    <t>rbuonpensiere@ups.com</t>
  </si>
  <si>
    <t>mbuquing@ups.com</t>
  </si>
  <si>
    <t>bmarkjudeson@ups.com</t>
  </si>
  <si>
    <t>burgtwy@ups.com</t>
  </si>
  <si>
    <t>mbura@ups.com</t>
  </si>
  <si>
    <t>bshobha@ups.com</t>
  </si>
  <si>
    <t>sburagoni@ups.com</t>
  </si>
  <si>
    <t>pburak@ups.com</t>
  </si>
  <si>
    <t>eburakova@ups.com</t>
  </si>
  <si>
    <t>pburakowski@ups.com</t>
  </si>
  <si>
    <t>bjulaluck@ups.com</t>
  </si>
  <si>
    <t>aburanskas@ups.com</t>
  </si>
  <si>
    <t>bkittirat@ups.com</t>
  </si>
  <si>
    <t>bachirawin@ups.com</t>
  </si>
  <si>
    <t>brevathi@ups.com</t>
  </si>
  <si>
    <t>mburasinski@ups.com</t>
  </si>
  <si>
    <t>aburba@ups.com</t>
  </si>
  <si>
    <t>lburba@ups.com</t>
  </si>
  <si>
    <t>rburba@ups.com</t>
  </si>
  <si>
    <t>ryanburba@ups.com</t>
  </si>
  <si>
    <t>sburba@ups.com</t>
  </si>
  <si>
    <t>tsburba@ups.com</t>
  </si>
  <si>
    <t>nburback@ups.com</t>
  </si>
  <si>
    <t>eburbank@ups.com</t>
  </si>
  <si>
    <t>burberryinvoices@ups.com</t>
  </si>
  <si>
    <t>mburbidge@ups.com</t>
  </si>
  <si>
    <t>brubilyn@ups.com</t>
  </si>
  <si>
    <t>bmartinandrew@ups.com</t>
  </si>
  <si>
    <t>alanaburch@ups.com</t>
  </si>
  <si>
    <t>aburch@ups.com</t>
  </si>
  <si>
    <t>charleneburch@ups.com</t>
  </si>
  <si>
    <t>cburch@ups.com</t>
  </si>
  <si>
    <t>eburch@ups.com</t>
  </si>
  <si>
    <t>johnnyburch@ups.com</t>
  </si>
  <si>
    <t>jburch@ups.com</t>
  </si>
  <si>
    <t>wburchjr@ups.com</t>
  </si>
  <si>
    <t>lburch@ups.com</t>
  </si>
  <si>
    <t>pburch@ups.com</t>
  </si>
  <si>
    <t>sburch@ups.com</t>
  </si>
  <si>
    <t>wburch@ups.com</t>
  </si>
  <si>
    <t>cburcham@ups.com</t>
  </si>
  <si>
    <t>burchell.cynthia@ups.com</t>
  </si>
  <si>
    <t>jburchett@ups.com</t>
  </si>
  <si>
    <t>johnburchett@ups.com</t>
  </si>
  <si>
    <t>julianburchett@ups.com</t>
  </si>
  <si>
    <t>jburchfield@ups.com</t>
  </si>
  <si>
    <t>mburchfieldbaker@ups.com</t>
  </si>
  <si>
    <t>gburciaga@ups.com</t>
  </si>
  <si>
    <t>bburd@ups.com</t>
  </si>
  <si>
    <t>mandiburd@ups.com</t>
  </si>
  <si>
    <t>nburd@ups.com</t>
  </si>
  <si>
    <t>sburd@ups.com</t>
  </si>
  <si>
    <t>burdajoshua@ups.com</t>
  </si>
  <si>
    <t>sburday@ups.com</t>
  </si>
  <si>
    <t>jburdeau@ups.com</t>
  </si>
  <si>
    <t>bburden@ups.com</t>
  </si>
  <si>
    <t>dburden@ups.com</t>
  </si>
  <si>
    <t>tburden@ups.com</t>
  </si>
  <si>
    <t>jburdett@ups.com</t>
  </si>
  <si>
    <t>jburdette@ups.com</t>
  </si>
  <si>
    <t>cburdettejr@ups.com</t>
  </si>
  <si>
    <t>kaylaburdette@ups.com</t>
  </si>
  <si>
    <t>wburdette@ups.com</t>
  </si>
  <si>
    <t>mburdge@ups.com</t>
  </si>
  <si>
    <t>paulburdick@ups.com</t>
  </si>
  <si>
    <t>rburdick@ups.com</t>
  </si>
  <si>
    <t>jose.burdie@ups.com</t>
  </si>
  <si>
    <t>kburdorf@ups.com</t>
  </si>
  <si>
    <t>cburdsal@ups.com</t>
  </si>
  <si>
    <t>cburdsall@ups.com</t>
  </si>
  <si>
    <t>aburdulis@ups.com</t>
  </si>
  <si>
    <t>hburek@ups.com</t>
  </si>
  <si>
    <t>jburek@ups.com</t>
  </si>
  <si>
    <t>rburfitt@ups.com</t>
  </si>
  <si>
    <t>kburford@ups.com</t>
  </si>
  <si>
    <t>lburford@ups.com</t>
  </si>
  <si>
    <t>kburg@ups.com</t>
  </si>
  <si>
    <t>hburgado@ups.com</t>
  </si>
  <si>
    <t>pburgard@ups.com</t>
  </si>
  <si>
    <t>bburgazlioglu@ups.com</t>
  </si>
  <si>
    <t>kburge@ups.com</t>
  </si>
  <si>
    <t>sburge@ups.com</t>
  </si>
  <si>
    <t>wrburge@ups.com</t>
  </si>
  <si>
    <t>bburger@ups.com</t>
  </si>
  <si>
    <t>britneyburger@ups.com</t>
  </si>
  <si>
    <t>dburger@ups.com</t>
  </si>
  <si>
    <t>jburger1@ups.com</t>
  </si>
  <si>
    <t>lburger@ups.com</t>
  </si>
  <si>
    <t>martinburger@ups.com</t>
  </si>
  <si>
    <t>rburger@ups.com</t>
  </si>
  <si>
    <t>ryanburger@ups.com</t>
  </si>
  <si>
    <t>tburger@ups.com</t>
  </si>
  <si>
    <t>nburgese@ups.com</t>
  </si>
  <si>
    <t>zburgeson@ups.com</t>
  </si>
  <si>
    <t>amandaburgess@ups.com</t>
  </si>
  <si>
    <t>barbaraburgess@ups.com</t>
  </si>
  <si>
    <t>carrieburgess@ups.com</t>
  </si>
  <si>
    <t>cburgess@ups.com</t>
  </si>
  <si>
    <t>cburgess1@ups.com</t>
  </si>
  <si>
    <t>dburgess@ups.com</t>
  </si>
  <si>
    <t>dburgess1@ups.com</t>
  </si>
  <si>
    <t>drburgess@ups.com</t>
  </si>
  <si>
    <t>fburgess@ups.com</t>
  </si>
  <si>
    <t>ginnieburgess@ups.com</t>
  </si>
  <si>
    <t>hburgess@ups.com</t>
  </si>
  <si>
    <t>aburgessiii@ups.com</t>
  </si>
  <si>
    <t>jburgess@ups.com</t>
  </si>
  <si>
    <t>jeremyburgess@ups.com</t>
  </si>
  <si>
    <t>justinburgess@ups.com</t>
  </si>
  <si>
    <t>kkburgess@ups.com</t>
  </si>
  <si>
    <t>lxburgess@ups.com</t>
  </si>
  <si>
    <t>marilyn@directed.com</t>
  </si>
  <si>
    <t>mburgess@ups.com</t>
  </si>
  <si>
    <t>nburgess@ups.com</t>
  </si>
  <si>
    <t>prburgess@ups.com</t>
  </si>
  <si>
    <t>pburgess@ups.com</t>
  </si>
  <si>
    <t>rayburgess@ups.com</t>
  </si>
  <si>
    <t>rxburgess@ups.com</t>
  </si>
  <si>
    <t>robertburgess@ups.com</t>
  </si>
  <si>
    <t>rburgess@ups.com</t>
  </si>
  <si>
    <t>sburgess@ups.com</t>
  </si>
  <si>
    <t>symoneburgess@ups.com</t>
  </si>
  <si>
    <t>tburgess@ups.com</t>
  </si>
  <si>
    <t>williamburgess@ups.com</t>
  </si>
  <si>
    <t>martina.burggraf@europe.ups.com</t>
  </si>
  <si>
    <t>sburggraf@ups.com</t>
  </si>
  <si>
    <t>kburgher@ups.com</t>
  </si>
  <si>
    <t>cburgin@ups.com</t>
  </si>
  <si>
    <t>mburgin@ups.com</t>
  </si>
  <si>
    <t>tburgin@ups.com</t>
  </si>
  <si>
    <t>tburgio@ups.com</t>
  </si>
  <si>
    <t>bburgmeier@ups.com</t>
  </si>
  <si>
    <t>jburgoon@ups.com</t>
  </si>
  <si>
    <t>sburgoon@ups.com</t>
  </si>
  <si>
    <t>gburgos@ups.com</t>
  </si>
  <si>
    <t>aburgos@ups.com</t>
  </si>
  <si>
    <t>angelburgos@ups.com</t>
  </si>
  <si>
    <t>arielburgos@ups.com</t>
  </si>
  <si>
    <t>bonnieburgos@ups.com</t>
  </si>
  <si>
    <t>hburgos@ups.com</t>
  </si>
  <si>
    <t>jburgos@ups.com</t>
  </si>
  <si>
    <t>juliofburgos@ups.com</t>
  </si>
  <si>
    <t>laburgos@ups.com</t>
  </si>
  <si>
    <t>nathanielburgos@ups.com</t>
  </si>
  <si>
    <t>nburgos@ups.com</t>
  </si>
  <si>
    <t>sandraburgos@ups.com</t>
  </si>
  <si>
    <t>tburgos@ups.com</t>
  </si>
  <si>
    <t>wburgos@ups.com</t>
  </si>
  <si>
    <t>tburgraff@ups.com</t>
  </si>
  <si>
    <t>bvdburgt@ups.com</t>
  </si>
  <si>
    <t>cburguete@ups.com</t>
  </si>
  <si>
    <t>jburgwin@ups.com</t>
  </si>
  <si>
    <t>tburhenne@ups.com</t>
  </si>
  <si>
    <t>cburian@ups.com</t>
  </si>
  <si>
    <t>jburian@ups.com</t>
  </si>
  <si>
    <t>jburinda@ups.com</t>
  </si>
  <si>
    <t>aburinskij@ups.com</t>
  </si>
  <si>
    <t>mburiticagomez@ups.com</t>
  </si>
  <si>
    <t>aburk@ups.com</t>
  </si>
  <si>
    <t>kburk@ups.com</t>
  </si>
  <si>
    <t>dburkart@ups.com</t>
  </si>
  <si>
    <t>fburkauskaite@ups.com</t>
  </si>
  <si>
    <t>axburke@ups.com</t>
  </si>
  <si>
    <t>arthurburke@ups.com</t>
  </si>
  <si>
    <t>brianburke@ups.com</t>
  </si>
  <si>
    <t>cejaburke@ups.com</t>
  </si>
  <si>
    <t>cburke1@ups.com</t>
  </si>
  <si>
    <t>dburke@ups.com</t>
  </si>
  <si>
    <t>donna.burke@europe.ups.com</t>
  </si>
  <si>
    <t>dylanburke@ups.com</t>
  </si>
  <si>
    <t>eburke@ups.com</t>
  </si>
  <si>
    <t>elizabethburke@ups.com</t>
  </si>
  <si>
    <t>ericburke@ups.com</t>
  </si>
  <si>
    <t>galadrielburke@ups.com</t>
  </si>
  <si>
    <t>hburke@ups.com</t>
  </si>
  <si>
    <t>lburkeiv@ups.com</t>
  </si>
  <si>
    <t>jamesburke@ups.com</t>
  </si>
  <si>
    <t>jburke1@ups.com</t>
  </si>
  <si>
    <t>jrburke@ups.com</t>
  </si>
  <si>
    <t>jimmyburke@ups.com</t>
  </si>
  <si>
    <t>jyburke@ups.com</t>
  </si>
  <si>
    <t>johnburke@ups.com</t>
  </si>
  <si>
    <t>jordanburke@ups.com</t>
  </si>
  <si>
    <t>jburke@ups.com</t>
  </si>
  <si>
    <t>jeburke@ups.com</t>
  </si>
  <si>
    <t>kimberlyburke@ups.com</t>
  </si>
  <si>
    <t>lamarburke@ups.com</t>
  </si>
  <si>
    <t>lsburke@ups.com</t>
  </si>
  <si>
    <t>mburke@ups.com</t>
  </si>
  <si>
    <t>nburke@ups.com</t>
  </si>
  <si>
    <t>pburke@ups.com</t>
  </si>
  <si>
    <t>reyanaburke@ups.com</t>
  </si>
  <si>
    <t>richardburke@ups.com</t>
  </si>
  <si>
    <t>ronburke@ups.com</t>
  </si>
  <si>
    <t>samanthaburke@ups.com</t>
  </si>
  <si>
    <t>sandyburke@ups.com</t>
  </si>
  <si>
    <t>shannonburke@ups.com</t>
  </si>
  <si>
    <t>sburke@ups.com</t>
  </si>
  <si>
    <t>jburketaylor@ups.com</t>
  </si>
  <si>
    <t>burke.terri@ups.com</t>
  </si>
  <si>
    <t>timothyburke@ups.com</t>
  </si>
  <si>
    <t>tristanburke@ups.com</t>
  </si>
  <si>
    <t>sburkes@ups.com</t>
  </si>
  <si>
    <t>jburkett@ups.com</t>
  </si>
  <si>
    <t>jenniferburkett@ups.com</t>
  </si>
  <si>
    <t>jessicadburkett@ups.com</t>
  </si>
  <si>
    <t>mburkett@ups.com</t>
  </si>
  <si>
    <t>aburkey@ups.com</t>
  </si>
  <si>
    <t>lburkhalter@ups.com</t>
  </si>
  <si>
    <t>mburkhalter@ups.com</t>
  </si>
  <si>
    <t>zburkhalter@ups.com</t>
  </si>
  <si>
    <t>tburkham@ups.com</t>
  </si>
  <si>
    <t>rburkhardt@ups.com</t>
  </si>
  <si>
    <t>christineburkhart@ups.com</t>
  </si>
  <si>
    <t>gburkhart@ups.com</t>
  </si>
  <si>
    <t>jacobburkhart@ups.com</t>
  </si>
  <si>
    <t>jamesburkhart@ups.com</t>
  </si>
  <si>
    <t>jburkhart@ups.com</t>
  </si>
  <si>
    <t>julieburkhart@upsstore.com</t>
  </si>
  <si>
    <t>deborahburkhead@ups.com</t>
  </si>
  <si>
    <t>jburkhead@ups.com</t>
  </si>
  <si>
    <t>marcellaburkhead@ups.com</t>
  </si>
  <si>
    <t>markburkhead@ups.com</t>
  </si>
  <si>
    <t>mburkhead@ups.com</t>
  </si>
  <si>
    <t>nburkholder@ups.com</t>
  </si>
  <si>
    <t>sburkitt@ups.com</t>
  </si>
  <si>
    <t>jburklund@ups.com</t>
  </si>
  <si>
    <t>sburkov@ups.com</t>
  </si>
  <si>
    <t>kburkovich@ups.com</t>
  </si>
  <si>
    <t>cburks@ups.com</t>
  </si>
  <si>
    <t>chadrickburks@ups.com</t>
  </si>
  <si>
    <t>jburks@ups.com</t>
  </si>
  <si>
    <t>lburks@ups.com</t>
  </si>
  <si>
    <t>michelleburks@ups.com</t>
  </si>
  <si>
    <t>sburks@ups.com</t>
  </si>
  <si>
    <t>jburl@ups.com</t>
  </si>
  <si>
    <t>jburlage@ups.com</t>
  </si>
  <si>
    <t>lburlarley@ups.com</t>
  </si>
  <si>
    <t>bburleigh@ups.com</t>
  </si>
  <si>
    <t>bburleson@ups.com</t>
  </si>
  <si>
    <t>aburlesonjr@ups.com</t>
  </si>
  <si>
    <t>sburleson@ups.com</t>
  </si>
  <si>
    <t>cburley@ups.com</t>
  </si>
  <si>
    <t>kburleybeavers@ups.com</t>
  </si>
  <si>
    <t>pburlikowski@ups.com</t>
  </si>
  <si>
    <t>cburlingame@ups.com</t>
  </si>
  <si>
    <t>jburlingham@ups.com</t>
  </si>
  <si>
    <t>burlingtoncampuscardaccess@ups.com</t>
  </si>
  <si>
    <t>dschrenger@bmtr.com</t>
  </si>
  <si>
    <t>burdmp@ups.com</t>
  </si>
  <si>
    <t>burlguards@ups.com</t>
  </si>
  <si>
    <t>lenaburlutska@ups.com</t>
  </si>
  <si>
    <t>cburman@ups.com</t>
  </si>
  <si>
    <t>rburman@ups.com</t>
  </si>
  <si>
    <t>kaelinburmeister@ups.com</t>
  </si>
  <si>
    <t>kburmeister@ups.com</t>
  </si>
  <si>
    <t>wburmeister@ups.com</t>
  </si>
  <si>
    <t>cburmester@ups.com</t>
  </si>
  <si>
    <t>nanciburn@ups.com</t>
  </si>
  <si>
    <t>pburn@ups.com</t>
  </si>
  <si>
    <t>saraburn@ups.com</t>
  </si>
  <si>
    <t>kburnam@ups.com</t>
  </si>
  <si>
    <t>karlaburnau@ups.com</t>
  </si>
  <si>
    <t>jburnell@ups.com</t>
  </si>
  <si>
    <t>pburnell@ups.com</t>
  </si>
  <si>
    <t>rburnell@ups.com</t>
  </si>
  <si>
    <t>jburner@ups.com</t>
  </si>
  <si>
    <t>burnesjordan@ups.com</t>
  </si>
  <si>
    <t>jburness@ups.com</t>
  </si>
  <si>
    <t>cburnett@ups.com</t>
  </si>
  <si>
    <t>christine.burnett@ups.com</t>
  </si>
  <si>
    <t>dakotaburnett@ups.com</t>
  </si>
  <si>
    <t>dburnett@ups.com</t>
  </si>
  <si>
    <t>damienburnett@ups.com</t>
  </si>
  <si>
    <t>denetteburnett@ups.com</t>
  </si>
  <si>
    <t>donaldburnett@ups.com</t>
  </si>
  <si>
    <t>eburnett@ups.com</t>
  </si>
  <si>
    <t>jeannieburnett@ups.com</t>
  </si>
  <si>
    <t>johnathanburnett@ups.com</t>
  </si>
  <si>
    <t>julieburnett@ups.com</t>
  </si>
  <si>
    <t>kimberlyburnett@ups.com</t>
  </si>
  <si>
    <t>leeburnett@ups.com</t>
  </si>
  <si>
    <t>lynetteburnett@ups.com</t>
  </si>
  <si>
    <t>richardburnett@ups.com</t>
  </si>
  <si>
    <t>rnburnett@ups.com</t>
  </si>
  <si>
    <t>sburnett@ups.com</t>
  </si>
  <si>
    <t>wandreaburnett@ups.com</t>
  </si>
  <si>
    <t>wburnett@ups.com</t>
  </si>
  <si>
    <t>cburnette@ups.com</t>
  </si>
  <si>
    <t>devaughnburnette@ups.com</t>
  </si>
  <si>
    <t>lburnette@ups.com</t>
  </si>
  <si>
    <t>gburney@ups.com</t>
  </si>
  <si>
    <t>bburneyii@ups.com</t>
  </si>
  <si>
    <t>kburney@ups.com</t>
  </si>
  <si>
    <t>tburney@ups.com</t>
  </si>
  <si>
    <t>gburnfield@ups.com</t>
  </si>
  <si>
    <t>dburnham@ups.com</t>
  </si>
  <si>
    <t>hburnham@ups.com</t>
  </si>
  <si>
    <t>jburnham3@ups.com</t>
  </si>
  <si>
    <t>cburnich@ups.com</t>
  </si>
  <si>
    <t>eburnich@ups.com</t>
  </si>
  <si>
    <t>dburningham@ups.com</t>
  </si>
  <si>
    <t>mburnitt@ups.com</t>
  </si>
  <si>
    <t>jburnley@ups.com</t>
  </si>
  <si>
    <t>mburnopp@ups.com</t>
  </si>
  <si>
    <t>aliceburns@ups.com</t>
  </si>
  <si>
    <t>aburns@ups.com</t>
  </si>
  <si>
    <t>annaburns@ups.com</t>
  </si>
  <si>
    <t>ashtonburns@ups.com</t>
  </si>
  <si>
    <t>bburns@ups.com</t>
  </si>
  <si>
    <t>brandonburns@ups.com</t>
  </si>
  <si>
    <t>carolburns@ups.com</t>
  </si>
  <si>
    <t>dawnburns@ups.com</t>
  </si>
  <si>
    <t>dburns2@ups.com</t>
  </si>
  <si>
    <t>deniseburns@ups.com</t>
  </si>
  <si>
    <t>destineeburns@ups.com</t>
  </si>
  <si>
    <t>dburns@ups.com</t>
  </si>
  <si>
    <t>eburns@ups.com</t>
  </si>
  <si>
    <t>elburns@ups.com</t>
  </si>
  <si>
    <t>gburns@ups.com</t>
  </si>
  <si>
    <t>gregburns@ups.com</t>
  </si>
  <si>
    <t>hburns@ups.com</t>
  </si>
  <si>
    <t>jburns1@ups.com</t>
  </si>
  <si>
    <t>jburns@ups.com</t>
  </si>
  <si>
    <t>jeffburns@ups.com</t>
  </si>
  <si>
    <t>jeffreyburns@ups.com</t>
  </si>
  <si>
    <t>jonathanburns@ups.com</t>
  </si>
  <si>
    <t>jjburns@ups.com</t>
  </si>
  <si>
    <t>fburnsjr@ups.com</t>
  </si>
  <si>
    <t>judithburns@ups.com</t>
  </si>
  <si>
    <t>julieburns@ups.com</t>
  </si>
  <si>
    <t>kburns@ups.com</t>
  </si>
  <si>
    <t>katherineburns@ups.com</t>
  </si>
  <si>
    <t>kathleenburns@ups.com</t>
  </si>
  <si>
    <t>laurieburns@ups.com</t>
  </si>
  <si>
    <t>lawrenceburns@ups.com</t>
  </si>
  <si>
    <t>lindsayburns@ups.com</t>
  </si>
  <si>
    <t>lindseyburns@ups.com</t>
  </si>
  <si>
    <t>maryburns@ups.com</t>
  </si>
  <si>
    <t>mburns@crimzonrose.com</t>
  </si>
  <si>
    <t>burns.nadine@ups.com</t>
  </si>
  <si>
    <t>pburns@ups.com</t>
  </si>
  <si>
    <t>eburnspeterson@ups.com</t>
  </si>
  <si>
    <t>rburns@ups.com</t>
  </si>
  <si>
    <t>richardburns@ups.com</t>
  </si>
  <si>
    <t>rogerburns@ups.com</t>
  </si>
  <si>
    <t>sameraburns@ups.com</t>
  </si>
  <si>
    <t>sxburns@ups.com</t>
  </si>
  <si>
    <t>shenaburns@ups.com</t>
  </si>
  <si>
    <t>sburns@ups.com</t>
  </si>
  <si>
    <t>spencerburns@ups.com</t>
  </si>
  <si>
    <t>tburns@ups.com</t>
  </si>
  <si>
    <t>tburns1@ups.com</t>
  </si>
  <si>
    <t>tylerburns@ups.com</t>
  </si>
  <si>
    <t>vaburns@ups.com</t>
  </si>
  <si>
    <t>wburns@ups.com</t>
  </si>
  <si>
    <t>wendiburns@ups.com</t>
  </si>
  <si>
    <t>williamburns@ups.com</t>
  </si>
  <si>
    <t>gavin.burns@ups-scs.com</t>
  </si>
  <si>
    <t>bburnside@ups.com</t>
  </si>
  <si>
    <t>dillonburnside@ups.com</t>
  </si>
  <si>
    <t>dburnside@ups.com</t>
  </si>
  <si>
    <t>jburnside@ups.com</t>
  </si>
  <si>
    <t>dburough@ups.com</t>
  </si>
  <si>
    <t>cburr@ups.com</t>
  </si>
  <si>
    <t>marissaburr@ups.com</t>
  </si>
  <si>
    <t>mburr@ups.com</t>
  </si>
  <si>
    <t>rburr@ups.com</t>
  </si>
  <si>
    <t>tburr@ups.com</t>
  </si>
  <si>
    <t>wburr@ups.com</t>
  </si>
  <si>
    <t>sburrage@ups.com</t>
  </si>
  <si>
    <t>jburras@ups.com</t>
  </si>
  <si>
    <t>jburrelliii@ups.com</t>
  </si>
  <si>
    <t>jburrell@ups.com</t>
  </si>
  <si>
    <t>jasonburrell@ups.com</t>
  </si>
  <si>
    <t>lburrell@ups.com</t>
  </si>
  <si>
    <t>mburrell@ups.com</t>
  </si>
  <si>
    <t>mikeburrell@ups.com</t>
  </si>
  <si>
    <t>rburrell@ups.com</t>
  </si>
  <si>
    <t>sburrell@ups.com</t>
  </si>
  <si>
    <t>mburrer@ups.com</t>
  </si>
  <si>
    <t>kburres@ups.com</t>
  </si>
  <si>
    <t>aburress@futabaindiana.com</t>
  </si>
  <si>
    <t>kburress@ups.com</t>
  </si>
  <si>
    <t>nburri@ups.com</t>
  </si>
  <si>
    <t>sburrill@ups.com</t>
  </si>
  <si>
    <t>aburrington@ups.com</t>
  </si>
  <si>
    <t>rburrington@ups.com</t>
  </si>
  <si>
    <t>wburrion@ups.com</t>
  </si>
  <si>
    <t>daronburris@ups.com</t>
  </si>
  <si>
    <t>dmburris@ups.com</t>
  </si>
  <si>
    <t>dburris@ups.com</t>
  </si>
  <si>
    <t>sburris@ups.com</t>
  </si>
  <si>
    <t>tburris@ups.com</t>
  </si>
  <si>
    <t>mburriss@ups.com</t>
  </si>
  <si>
    <t>rburritt@ups.com</t>
  </si>
  <si>
    <t>dburro@ups.com</t>
  </si>
  <si>
    <t>cburrough@ups.com</t>
  </si>
  <si>
    <t>mburrough@ups.com</t>
  </si>
  <si>
    <t>UPSLogistics@burroughs.com</t>
  </si>
  <si>
    <t>jlburroughs@ups.com</t>
  </si>
  <si>
    <t>kburroughs@ups.com</t>
  </si>
  <si>
    <t>mburroughs@ups.com</t>
  </si>
  <si>
    <t>mckenzieburroughs@ups.com</t>
  </si>
  <si>
    <t>nburroughs@ups.com</t>
  </si>
  <si>
    <t>kburrow@ups.com</t>
  </si>
  <si>
    <t>dburrowes@ups.com</t>
  </si>
  <si>
    <t>bburrows@ups.com</t>
  </si>
  <si>
    <t>bobburrows@ups.com</t>
  </si>
  <si>
    <t>brentburrows@ups.com</t>
  </si>
  <si>
    <t>cburrows@ups.com</t>
  </si>
  <si>
    <t>eburrows@ups.com</t>
  </si>
  <si>
    <t>jastaburrows@ups.com</t>
  </si>
  <si>
    <t>jburrows@ups.com</t>
  </si>
  <si>
    <t>joshuaburrows@ups.com</t>
  </si>
  <si>
    <t>kburrows@ups.com</t>
  </si>
  <si>
    <t>leeburrows@ups.com</t>
  </si>
  <si>
    <t>rob.burrows@europe.ups.com</t>
  </si>
  <si>
    <t>sburrows@ups.com</t>
  </si>
  <si>
    <t>tburrows@ups.com</t>
  </si>
  <si>
    <t>gburruel@ups.com</t>
  </si>
  <si>
    <t>bburrus@ups.com</t>
  </si>
  <si>
    <t>sburrus@ups.com</t>
  </si>
  <si>
    <t>abursac@ups.com</t>
  </si>
  <si>
    <t>jbursch@ups.com</t>
  </si>
  <si>
    <t>pburse@ups.com</t>
  </si>
  <si>
    <t>rburson@ups.com</t>
  </si>
  <si>
    <t>vburss@ups.com</t>
  </si>
  <si>
    <t>aburstert@ups.com</t>
  </si>
  <si>
    <t>bbryan@ups.com</t>
  </si>
  <si>
    <t>ixbursuc@ups.com</t>
  </si>
  <si>
    <t>aprilburt@ups.com</t>
  </si>
  <si>
    <t>markburt@ups.com</t>
  </si>
  <si>
    <t>mburt@ups.com</t>
  </si>
  <si>
    <t>michelleburt@ups.com</t>
  </si>
  <si>
    <t>rburt@ups.com</t>
  </si>
  <si>
    <t>sburt@ups.com</t>
  </si>
  <si>
    <t>rburtenshaw@ups.com</t>
  </si>
  <si>
    <t>bburth@ups.com</t>
  </si>
  <si>
    <t>rburtner@ups.com</t>
  </si>
  <si>
    <t>bburtnett@ups.com</t>
  </si>
  <si>
    <t>sburtnett@ups.com</t>
  </si>
  <si>
    <t>lrburton@ups.com</t>
  </si>
  <si>
    <t>aaburton@ups.com</t>
  </si>
  <si>
    <t>antonioburton@ups.com</t>
  </si>
  <si>
    <t>aburton@ups.com</t>
  </si>
  <si>
    <t>billburton@ups.com</t>
  </si>
  <si>
    <t>brandonburton@ups.com</t>
  </si>
  <si>
    <t>brittanyburton@ups.com</t>
  </si>
  <si>
    <t>bburton@ups.com</t>
  </si>
  <si>
    <t>cburton@ups.com</t>
  </si>
  <si>
    <t>dawnetteburton@ups.com</t>
  </si>
  <si>
    <t>deidreburton@ups.com</t>
  </si>
  <si>
    <t>devinburton@ups.com</t>
  </si>
  <si>
    <t>dburton@ups.com</t>
  </si>
  <si>
    <t>donna.burton@ups.com</t>
  </si>
  <si>
    <t>eburton@ups.com</t>
  </si>
  <si>
    <t>ericburton@ups.com</t>
  </si>
  <si>
    <t>hburton@ups.com</t>
  </si>
  <si>
    <t>sburtonii@ups.com</t>
  </si>
  <si>
    <t>jacquelineburton@ups.com</t>
  </si>
  <si>
    <t>jeanne@directed.com</t>
  </si>
  <si>
    <t>johnburton@ups.com</t>
  </si>
  <si>
    <t>jburton1@ups.com</t>
  </si>
  <si>
    <t>jonburton@ups.com</t>
  </si>
  <si>
    <t>judeyburton@ups.com</t>
  </si>
  <si>
    <t>kathyburton@ups.com</t>
  </si>
  <si>
    <t>kburton@ups.com</t>
  </si>
  <si>
    <t>lanceburton@ups.com</t>
  </si>
  <si>
    <t>lburton@ups.com</t>
  </si>
  <si>
    <t>larryburton@ups.com</t>
  </si>
  <si>
    <t>rburton@ups.com</t>
  </si>
  <si>
    <t>richardburton@ups.com</t>
  </si>
  <si>
    <t>rburton1@ups.com</t>
  </si>
  <si>
    <t>ryanburton@ups.com</t>
  </si>
  <si>
    <t>sarahburton@ups.com</t>
  </si>
  <si>
    <t>sharonburton@ups.com</t>
  </si>
  <si>
    <t>shonaburton@ups.com</t>
  </si>
  <si>
    <t>scburton@ups.com</t>
  </si>
  <si>
    <t>sburton@ups.com</t>
  </si>
  <si>
    <t>travisburton@ups.com</t>
  </si>
  <si>
    <t>vontaeburton@ups.com</t>
  </si>
  <si>
    <t>wburton@ups.com</t>
  </si>
  <si>
    <t>vburton@upslogistics.fr</t>
  </si>
  <si>
    <t>burtonsvilledmp@ups.com</t>
  </si>
  <si>
    <t>nburtt@ups.com</t>
  </si>
  <si>
    <t>jburum@ups.com</t>
  </si>
  <si>
    <t>bburwell@ups.com</t>
  </si>
  <si>
    <t>brianburwell@ups.com</t>
  </si>
  <si>
    <t>mburwell@ups.com</t>
  </si>
  <si>
    <t>marcusburwell@ups.com</t>
  </si>
  <si>
    <t>jbury@ups.com</t>
  </si>
  <si>
    <t>sbury@ups.com</t>
  </si>
  <si>
    <t>rburza@ups.com</t>
  </si>
  <si>
    <t>pburzminska@ups.com</t>
  </si>
  <si>
    <t>bburzminski@ups.com</t>
  </si>
  <si>
    <t>miroburzynski@ups.com</t>
  </si>
  <si>
    <t>rbus@ups.com</t>
  </si>
  <si>
    <t>abusalacchi@ups.com</t>
  </si>
  <si>
    <t>lbusalacchi@ups.com</t>
  </si>
  <si>
    <t>amandabusam@ups.com</t>
  </si>
  <si>
    <t>abusari@ups.com</t>
  </si>
  <si>
    <t>hbusari@ups.com</t>
  </si>
  <si>
    <t>ibusatto@ups.com</t>
  </si>
  <si>
    <t>jbusbee@ups.com</t>
  </si>
  <si>
    <t>nbusbee@ups.com</t>
  </si>
  <si>
    <t>tbusboom@ups.com</t>
  </si>
  <si>
    <t>abusby@ups.com</t>
  </si>
  <si>
    <t>dbusby@ups.com</t>
  </si>
  <si>
    <t>deodrickbusby@ups.com</t>
  </si>
  <si>
    <t>ebusby@ups.com</t>
  </si>
  <si>
    <t>lbusby@ups.com</t>
  </si>
  <si>
    <t>stefaniebusby@ups.com</t>
  </si>
  <si>
    <t>pbuscaglia@ups.com</t>
  </si>
  <si>
    <t>bkysselgaylee@ups.com</t>
  </si>
  <si>
    <t>ebuscema@ups.com</t>
  </si>
  <si>
    <t>ebuscemi@ups.com</t>
  </si>
  <si>
    <t>mbuscemi@ups.com</t>
  </si>
  <si>
    <t>abusch@ups.com</t>
  </si>
  <si>
    <t>cbusch@ups.com</t>
  </si>
  <si>
    <t>janine.busch@europe.ups.com</t>
  </si>
  <si>
    <t>mbusch@ups.com</t>
  </si>
  <si>
    <t>obusch@ups.com</t>
  </si>
  <si>
    <t>rbusch@ups.com</t>
  </si>
  <si>
    <t>sbusch@ups.com</t>
  </si>
  <si>
    <t>tbusch@ups.com</t>
  </si>
  <si>
    <t>wjbusch@ups.com</t>
  </si>
  <si>
    <t>rolf.buschbeck@europe.ups.com</t>
  </si>
  <si>
    <t>mbusche@ups.com</t>
  </si>
  <si>
    <t>jbuschelmann@ups.com</t>
  </si>
  <si>
    <t>hbuschenhofen@ups.com</t>
  </si>
  <si>
    <t>frank.buschhorn@europe.ups.com</t>
  </si>
  <si>
    <t>fbuschhueter@ups.com</t>
  </si>
  <si>
    <t>achim.buschke@europe.ups.com</t>
  </si>
  <si>
    <t>ebuschman@ups.com</t>
  </si>
  <si>
    <t>kbuschmann@ups.com</t>
  </si>
  <si>
    <t>nbuschmann@ups.com</t>
  </si>
  <si>
    <t>mbuscho@ups.com</t>
  </si>
  <si>
    <t>selbusefi@ups.com</t>
  </si>
  <si>
    <t>ibusel@ups.com</t>
  </si>
  <si>
    <t>barbarabush@ups.com</t>
  </si>
  <si>
    <t>bbush@ups.com</t>
  </si>
  <si>
    <t>breebush@ups.com</t>
  </si>
  <si>
    <t>danielbush@ups.com</t>
  </si>
  <si>
    <t>dariusbush@ups.com</t>
  </si>
  <si>
    <t>ddbush@ups.com</t>
  </si>
  <si>
    <t>desireebush@ups.com</t>
  </si>
  <si>
    <t>edithbush@ups.com</t>
  </si>
  <si>
    <t>edwardbush@ups.com</t>
  </si>
  <si>
    <t>jackiebush@ups.com</t>
  </si>
  <si>
    <t>jabush@ups.com</t>
  </si>
  <si>
    <t>jonathanbush@ups.com</t>
  </si>
  <si>
    <t>sbushjr@ups.com</t>
  </si>
  <si>
    <t>kaylabush@ups.com</t>
  </si>
  <si>
    <t>kevinbush@ups.com</t>
  </si>
  <si>
    <t>kierrabush@ups.com</t>
  </si>
  <si>
    <t>kbush@ups.com</t>
  </si>
  <si>
    <t>mnbush@ups.com</t>
  </si>
  <si>
    <t>mbush@ups.com</t>
  </si>
  <si>
    <t>mckadebush@ups.com</t>
  </si>
  <si>
    <t>mikebush@ups.com</t>
  </si>
  <si>
    <t>rbush@ups.com</t>
  </si>
  <si>
    <t>seanbush@ups.com</t>
  </si>
  <si>
    <t>sbush@ups.com</t>
  </si>
  <si>
    <t>suzettebush@ups.com</t>
  </si>
  <si>
    <t>tarabush@ups.com</t>
  </si>
  <si>
    <t>terrancebush@ups.com</t>
  </si>
  <si>
    <t>tiffanybush@ups.com</t>
  </si>
  <si>
    <t>tbush@ups.com</t>
  </si>
  <si>
    <t>sbusha@ups.com</t>
  </si>
  <si>
    <t>wbusha@ups.com</t>
  </si>
  <si>
    <t>lbushay@ups.com</t>
  </si>
  <si>
    <t>cbushee@ups.com</t>
  </si>
  <si>
    <t>courtneybushee@ups.com</t>
  </si>
  <si>
    <t>rbushell@ups.com</t>
  </si>
  <si>
    <t>bbushnell@ups.com</t>
  </si>
  <si>
    <t>cbushnell@ups.com</t>
  </si>
  <si>
    <t>bushnell.kevin@ups.com</t>
  </si>
  <si>
    <t>pbushnell@ups.com</t>
  </si>
  <si>
    <t>mbushner@ups.com</t>
  </si>
  <si>
    <t>rbushong@ups.com</t>
  </si>
  <si>
    <t>ibusic@ups.com</t>
  </si>
  <si>
    <t>rbusick@ups.com</t>
  </si>
  <si>
    <t>jbusin@ups.com</t>
  </si>
  <si>
    <t>bamteam@ups.com</t>
  </si>
  <si>
    <t>bcc@ups.com</t>
  </si>
  <si>
    <t>bcm@ups.com</t>
  </si>
  <si>
    <t>bdcalendar@ups.com</t>
  </si>
  <si>
    <t>bia@ups.com</t>
  </si>
  <si>
    <t>appianbpa@ups.com</t>
  </si>
  <si>
    <t>bpmo@ups.com</t>
  </si>
  <si>
    <t>BQA@mbe.com</t>
  </si>
  <si>
    <t>busupport@ups.com</t>
  </si>
  <si>
    <t>cbusk@ups.com</t>
  </si>
  <si>
    <t>jbusk@ups.com</t>
  </si>
  <si>
    <t>ebuskard@ups.com</t>
  </si>
  <si>
    <t>bbuskes@ups.com</t>
  </si>
  <si>
    <t>pbuskirk@ups.com</t>
  </si>
  <si>
    <t>ibuskovic@ups.com</t>
  </si>
  <si>
    <t>tbusler@ups.com</t>
  </si>
  <si>
    <t>cinzia.busnari@europe.ups.com</t>
  </si>
  <si>
    <t>FRA4PXB@europe.ups.com</t>
  </si>
  <si>
    <t>cbuss@ups.com</t>
  </si>
  <si>
    <t>mbuss@ups.com</t>
  </si>
  <si>
    <t>amandabusse@ups.com</t>
  </si>
  <si>
    <t>kendrabusse@ups.com</t>
  </si>
  <si>
    <t>lothar.busse@ups.com</t>
  </si>
  <si>
    <t>dbussell@ups.com</t>
  </si>
  <si>
    <t>jbussell@ups.com</t>
  </si>
  <si>
    <t>dottiebussey@ups.com</t>
  </si>
  <si>
    <t>mbusseyjr@ups.com</t>
  </si>
  <si>
    <t>rbussey@ups.com</t>
  </si>
  <si>
    <t>tbussey@ups.com</t>
  </si>
  <si>
    <t>mbussi@ups.com</t>
  </si>
  <si>
    <t>jbussian@ups.com</t>
  </si>
  <si>
    <t>gbussiere@ups.com</t>
  </si>
  <si>
    <t>fbussmann@ups.com</t>
  </si>
  <si>
    <t>michael.bussmann@europe.ups.com</t>
  </si>
  <si>
    <t>mbusson@ups.com</t>
  </si>
  <si>
    <t>tbusson@ups.com</t>
  </si>
  <si>
    <t>jbusta@ups.com</t>
  </si>
  <si>
    <t>adabustamante@ups.com</t>
  </si>
  <si>
    <t>cbustamante@ups.com</t>
  </si>
  <si>
    <t>dbustamante@ups.com</t>
  </si>
  <si>
    <t>ebustamante@ups.com</t>
  </si>
  <si>
    <t>berica@ups.com</t>
  </si>
  <si>
    <t>fbustamante@ups.com</t>
  </si>
  <si>
    <t>gbustamante@ups.com</t>
  </si>
  <si>
    <t>gabriellabustamante@ups.com</t>
  </si>
  <si>
    <t>dbustamantegarfio@ups.com</t>
  </si>
  <si>
    <t>hbustamante@ups.com</t>
  </si>
  <si>
    <t>jeanbustamante@ups.com</t>
  </si>
  <si>
    <t>jorgemarvinbustamante@ups.com</t>
  </si>
  <si>
    <t>jbustamante@ups.com</t>
  </si>
  <si>
    <t>rbustamante@ups.com</t>
  </si>
  <si>
    <t>XLF3WQC@ups.com</t>
  </si>
  <si>
    <t>sergiobustamante@ups.com</t>
  </si>
  <si>
    <t>sbustamante@ups.com</t>
  </si>
  <si>
    <t>busteed.trevor@ups.com</t>
  </si>
  <si>
    <t>rbuster@ups.com</t>
  </si>
  <si>
    <t>bcarloangelo@ups.com</t>
  </si>
  <si>
    <t>bbustillos@ups.com</t>
  </si>
  <si>
    <t>mbustillos@ups.com</t>
  </si>
  <si>
    <t>rbustillos@ups.com</t>
  </si>
  <si>
    <t>bbustojr@ups.com</t>
  </si>
  <si>
    <t>jbustosbosigas@ups.com</t>
  </si>
  <si>
    <t>jbustosdionisio@ups.com</t>
  </si>
  <si>
    <t>ebustos@ups.com</t>
  </si>
  <si>
    <t>estellabustos@ups.com</t>
  </si>
  <si>
    <t>fbustos@ups.com</t>
  </si>
  <si>
    <t>sbustos@ups.com</t>
  </si>
  <si>
    <t>abustos@upslogistics.cl</t>
  </si>
  <si>
    <t>mbustrillos@ups.com</t>
  </si>
  <si>
    <t>augustusbusumbru@ups.com</t>
  </si>
  <si>
    <t>abusz@ups.com</t>
  </si>
  <si>
    <t>kbut@ups.com</t>
  </si>
  <si>
    <t>bairasamantha@ups.com</t>
  </si>
  <si>
    <t>Butch.Heacock@gd-wts.com</t>
  </si>
  <si>
    <t>cbutcher@ups.com</t>
  </si>
  <si>
    <t>dbutcher@ups.com</t>
  </si>
  <si>
    <t>gbutcher@ups.com</t>
  </si>
  <si>
    <t>ibutcher@ups.com</t>
  </si>
  <si>
    <t>kbutcher@ups.com</t>
  </si>
  <si>
    <t>lbutcher@ups.com</t>
  </si>
  <si>
    <t>mindybutcher@ups.com</t>
  </si>
  <si>
    <t>sbutcher@ups.com</t>
  </si>
  <si>
    <t>tbutchko@ups.com</t>
  </si>
  <si>
    <t>lbutchyk2@ups.com</t>
  </si>
  <si>
    <t>abutel@ups.com</t>
  </si>
  <si>
    <t>mbutela@ups.com</t>
  </si>
  <si>
    <t>cbutera@ups.com</t>
  </si>
  <si>
    <t>sbuthelezi@ups.com</t>
  </si>
  <si>
    <t>cbutina@ups.com</t>
  </si>
  <si>
    <t>mbutkin@ups.com</t>
  </si>
  <si>
    <t>ebutkus@ups.com</t>
  </si>
  <si>
    <t>abutkute@ups.com</t>
  </si>
  <si>
    <t>lwbutler@ups.com</t>
  </si>
  <si>
    <t>adambutler@ups.com</t>
  </si>
  <si>
    <t>alexbutler@ups.com</t>
  </si>
  <si>
    <t>abutler1@ups.com</t>
  </si>
  <si>
    <t>alexanderbutler@ups.com</t>
  </si>
  <si>
    <t>amybutler@ups.com</t>
  </si>
  <si>
    <t>abutler@ups.com</t>
  </si>
  <si>
    <t>britanybutler@ups.com</t>
  </si>
  <si>
    <t>cxbutler@ups.com</t>
  </si>
  <si>
    <t>christopherbutler@ups.com</t>
  </si>
  <si>
    <t>cbutler@ups.com</t>
  </si>
  <si>
    <t>dalanabutler@ups.com</t>
  </si>
  <si>
    <t>dbutler@ups.com</t>
  </si>
  <si>
    <t>darrellbutler@ups.com</t>
  </si>
  <si>
    <t>dbutler1@ups.com</t>
  </si>
  <si>
    <t>dbutler5@ups.com</t>
  </si>
  <si>
    <t>davidbutler@ups.com</t>
  </si>
  <si>
    <t>dezmanbutler@ups.com</t>
  </si>
  <si>
    <t>donaldbutler@ups.com</t>
  </si>
  <si>
    <t>donniebutler@ups.com</t>
  </si>
  <si>
    <t>eddiebutler@ups.com</t>
  </si>
  <si>
    <t>edithbutler@ups.com</t>
  </si>
  <si>
    <t>ebutler@ups.com</t>
  </si>
  <si>
    <t>ericbutler@ups.com</t>
  </si>
  <si>
    <t>forrestbutler@ups.com</t>
  </si>
  <si>
    <t>fbutler@ups.com</t>
  </si>
  <si>
    <t>gbutler@ups.com</t>
  </si>
  <si>
    <t>gmbutler@ups.com</t>
  </si>
  <si>
    <t>gregorybutler@ups.com</t>
  </si>
  <si>
    <t>hbutler@ups.com</t>
  </si>
  <si>
    <t>cbutleriii@ups.com</t>
  </si>
  <si>
    <t>jackbutler@ups.com</t>
  </si>
  <si>
    <t>jacqlynbutler@ups.com</t>
  </si>
  <si>
    <t>jasminebutler@ups.com</t>
  </si>
  <si>
    <t>jbutler2@ups.com</t>
  </si>
  <si>
    <t>jasonbutler@ups.com</t>
  </si>
  <si>
    <t>jbbutler@ups.com</t>
  </si>
  <si>
    <t>jbutler4@ups.com</t>
  </si>
  <si>
    <t>jenniferbutler@ups.com</t>
  </si>
  <si>
    <t>jbutler1@ups.com</t>
  </si>
  <si>
    <t>jessicabutler@ups.com</t>
  </si>
  <si>
    <t>jonbutler@ups.com</t>
  </si>
  <si>
    <t>jbutlerjr@ups.com</t>
  </si>
  <si>
    <t>tbutlerjr@ups.com</t>
  </si>
  <si>
    <t>justinbutler@ups.com</t>
  </si>
  <si>
    <t>karlbutler@ups.com</t>
  </si>
  <si>
    <t>kbutler@ups.com</t>
  </si>
  <si>
    <t>kbbutler@ups.com</t>
  </si>
  <si>
    <t>krystlebutler@ups.com</t>
  </si>
  <si>
    <t>lancebutler@ups.com</t>
  </si>
  <si>
    <t>larnie.butler@ups.com</t>
  </si>
  <si>
    <t>llbutler@ups.com</t>
  </si>
  <si>
    <t>lebutler@ups.com</t>
  </si>
  <si>
    <t>lillianbutler@ups.com</t>
  </si>
  <si>
    <t>marybutler@ups.com</t>
  </si>
  <si>
    <t>mrbutler@ups.com</t>
  </si>
  <si>
    <t>michellebutler@ups.com</t>
  </si>
  <si>
    <t>ppbutler@ups.com</t>
  </si>
  <si>
    <t>paulbutler@ups.com</t>
  </si>
  <si>
    <t>pbutler@ups.com</t>
  </si>
  <si>
    <t>phyllisbutler@ups.com</t>
  </si>
  <si>
    <t>rlbutler@ups.com</t>
  </si>
  <si>
    <t>robertbutler@ups.com</t>
  </si>
  <si>
    <t>rossbutler@ups.com</t>
  </si>
  <si>
    <t>rbutler1@ups.com</t>
  </si>
  <si>
    <t>shannonbutler@ups.com</t>
  </si>
  <si>
    <t>shantelbutler@ups.com</t>
  </si>
  <si>
    <t>shawnbutler@ups.com</t>
  </si>
  <si>
    <t>stephenbutler@ups.com</t>
  </si>
  <si>
    <t>sbutler@ups.com</t>
  </si>
  <si>
    <t>tammybutler@ups.com</t>
  </si>
  <si>
    <t>tekitabutler@ups.com</t>
  </si>
  <si>
    <t>tcbutler@ups.com</t>
  </si>
  <si>
    <t>thomasbutler@ups.com</t>
  </si>
  <si>
    <t>timothybutler@ups.com</t>
  </si>
  <si>
    <t>tbutler1@ups.com</t>
  </si>
  <si>
    <t>tbutler@ups.com</t>
  </si>
  <si>
    <t>vbutler@ups.com</t>
  </si>
  <si>
    <t>wkbutler@ups.com</t>
  </si>
  <si>
    <t>wbutler@ups.com</t>
  </si>
  <si>
    <t>jbutlerburke@ups.com</t>
  </si>
  <si>
    <t>jonathanbutlerburke@ups.com</t>
  </si>
  <si>
    <t>bbutorka@ups.com</t>
  </si>
  <si>
    <t>sbutow@ups.com</t>
  </si>
  <si>
    <t>zbutow@ups.com</t>
  </si>
  <si>
    <t>bthanaphon@ups.com</t>
  </si>
  <si>
    <t>abutram@ups.com</t>
  </si>
  <si>
    <t>bbutrico@ups.com</t>
  </si>
  <si>
    <t>ceslavbutrim@ups.com</t>
  </si>
  <si>
    <t>abutrus@ups.com</t>
  </si>
  <si>
    <t>sbutrym@ups.com</t>
  </si>
  <si>
    <t>kbutryn@ups.com</t>
  </si>
  <si>
    <t>bbutschle@ups.com</t>
  </si>
  <si>
    <t>hbutt@ups.com</t>
  </si>
  <si>
    <t>mbutt@ups.com</t>
  </si>
  <si>
    <t>abuttars@ups.com</t>
  </si>
  <si>
    <t>patricebuttars@ups.com</t>
  </si>
  <si>
    <t>sbutterbaugh@ups.com</t>
  </si>
  <si>
    <t>cbutterfield@ups.com</t>
  </si>
  <si>
    <t>ebutterfield@ups.com</t>
  </si>
  <si>
    <t>gbutterfield@ups.com</t>
  </si>
  <si>
    <t>rbutterfield@ups.com</t>
  </si>
  <si>
    <t>jbutteris@ups.com</t>
  </si>
  <si>
    <t>dbutters@ups.com</t>
  </si>
  <si>
    <t>pbutters@ups.com</t>
  </si>
  <si>
    <t>heinrich.butterwegge@europe.ups.com</t>
  </si>
  <si>
    <t>dbuttigieg@ups.com</t>
  </si>
  <si>
    <t>buttigieg.daniele@ups.com</t>
  </si>
  <si>
    <t>dbuttle@ups.com</t>
  </si>
  <si>
    <t>lbutton@ups.com</t>
  </si>
  <si>
    <t>dbuttorff@ups.com</t>
  </si>
  <si>
    <t>billybutts@ups.com</t>
  </si>
  <si>
    <t>bbutts@ups.com</t>
  </si>
  <si>
    <t>cbutts@ups.com</t>
  </si>
  <si>
    <t>dabutts@ups.com</t>
  </si>
  <si>
    <t>jbutts@ups.com</t>
  </si>
  <si>
    <t>tbutts@ups.com</t>
  </si>
  <si>
    <t>jbuturla@ups.com</t>
  </si>
  <si>
    <t>mbutusanu@ups.com</t>
  </si>
  <si>
    <t>dirk.butzbach@europe.ups.com</t>
  </si>
  <si>
    <t>jeff.butzlaff@ups.com</t>
  </si>
  <si>
    <t>buurstra.dean@ups.com</t>
  </si>
  <si>
    <t>ebuwaya@ups.com</t>
  </si>
  <si>
    <t>tbuxhovi@ups.com</t>
  </si>
  <si>
    <t>kbuxrude@ups.com</t>
  </si>
  <si>
    <t>charlesbuxton@ups.com</t>
  </si>
  <si>
    <t>cbuxton@ups.com</t>
  </si>
  <si>
    <t>sbuys@ups.com</t>
  </si>
  <si>
    <t>mbuysse@ups.com</t>
  </si>
  <si>
    <t>wendy.buytaert@ups.com</t>
  </si>
  <si>
    <t>mbuz@ups.com</t>
  </si>
  <si>
    <t>rbuzard@ups.com</t>
  </si>
  <si>
    <t>mbuzejic@ups.com</t>
  </si>
  <si>
    <t>rbuzhardt@ups.com</t>
  </si>
  <si>
    <t>nbuznik@ups.com</t>
  </si>
  <si>
    <t>ITA8SXB@europe.ups.com</t>
  </si>
  <si>
    <t>tbv@ups.com</t>
  </si>
  <si>
    <t>bvj@ups.com</t>
  </si>
  <si>
    <t>BW123506@ncr.com</t>
  </si>
  <si>
    <t>vbwango@ups.com</t>
  </si>
  <si>
    <t>ibyadi@ups.com</t>
  </si>
  <si>
    <t>mbyal@ups.com</t>
  </si>
  <si>
    <t>cbyard@ups.com</t>
  </si>
  <si>
    <t>mbyard@ups.com</t>
  </si>
  <si>
    <t>bbyars@ups.com</t>
  </si>
  <si>
    <t>lbyars@ups.com</t>
  </si>
  <si>
    <t>dbybee@ups.com</t>
  </si>
  <si>
    <t>jbybee@ups.com</t>
  </si>
  <si>
    <t>mbybee@ups.com</t>
  </si>
  <si>
    <t>amberbybeemara@ups.com</t>
  </si>
  <si>
    <t>cbyczek@ups.com</t>
  </si>
  <si>
    <t>kbyczkowska@ups.com</t>
  </si>
  <si>
    <t>dbye@ups.com</t>
  </si>
  <si>
    <t>kmbyerley@ups.com</t>
  </si>
  <si>
    <t>bcbyers@ups.com</t>
  </si>
  <si>
    <t>blbyers@ups.com</t>
  </si>
  <si>
    <t>bbyers@ups.com</t>
  </si>
  <si>
    <t>chuckbyers@ups.com</t>
  </si>
  <si>
    <t>claytonbyers@ups.com</t>
  </si>
  <si>
    <t>ccbyers@ups.com</t>
  </si>
  <si>
    <t>dbyers@ups.com</t>
  </si>
  <si>
    <t>jeanniebyers@ups.com</t>
  </si>
  <si>
    <t>jbyers@ups.com</t>
  </si>
  <si>
    <t>kbyers@ups.com</t>
  </si>
  <si>
    <t>nbyers@ups.com</t>
  </si>
  <si>
    <t>rbyers@ups.com</t>
  </si>
  <si>
    <t>sbyers@ups.com</t>
  </si>
  <si>
    <t>teresabyers@ups.com</t>
  </si>
  <si>
    <t>tbyers@ups.com</t>
  </si>
  <si>
    <t>bbyham@ups.com</t>
  </si>
  <si>
    <t>mbyjoo@ups.com</t>
  </si>
  <si>
    <t>jbykes@ups.com</t>
  </si>
  <si>
    <t>dbykoff@ups.com</t>
  </si>
  <si>
    <t>kbyl@ups.com</t>
  </si>
  <si>
    <t>pbyle@ups.com</t>
  </si>
  <si>
    <t>tbylica@ups.com</t>
  </si>
  <si>
    <t>ebylicki@ups.com</t>
  </si>
  <si>
    <t>pbyndloss@ups.com</t>
  </si>
  <si>
    <t>tbyner@ups.com</t>
  </si>
  <si>
    <t>gbynes@ups.com</t>
  </si>
  <si>
    <t>jbynes@ups.com</t>
  </si>
  <si>
    <t>tbynes@ups.com</t>
  </si>
  <si>
    <t>bbynum@ups.com</t>
  </si>
  <si>
    <t>dbynum@ups.com</t>
  </si>
  <si>
    <t>jamesbynum@ups.com</t>
  </si>
  <si>
    <t>jbynum@ups.com</t>
  </si>
  <si>
    <t>sbynum@ups.com</t>
  </si>
  <si>
    <t>albyrd@ups.com</t>
  </si>
  <si>
    <t>bbyrd@ups.com</t>
  </si>
  <si>
    <t>bbyrd1@ups.com</t>
  </si>
  <si>
    <t>brandonbyrd@ups.com</t>
  </si>
  <si>
    <t>brianbyrd@ups.com</t>
  </si>
  <si>
    <t>cathybyrd@ups.com</t>
  </si>
  <si>
    <t>catrenabyrd@ups.com</t>
  </si>
  <si>
    <t>cbyrd@ups.com</t>
  </si>
  <si>
    <t>christabyrd@ups.com</t>
  </si>
  <si>
    <t>demontrebyrd@ups.com</t>
  </si>
  <si>
    <t>dbyrd@ups.com</t>
  </si>
  <si>
    <t>jbyrd@ups.com</t>
  </si>
  <si>
    <t>jamesbyrd@ups.com</t>
  </si>
  <si>
    <t>jebyrd@ups.com</t>
  </si>
  <si>
    <t>jasonbyrd@ups.com</t>
  </si>
  <si>
    <t>jbyrd1@ups.com</t>
  </si>
  <si>
    <t>jdbyrd@ups.com</t>
  </si>
  <si>
    <t>jeremybyrd@ups.com</t>
  </si>
  <si>
    <t>joanbyrd@ups.com</t>
  </si>
  <si>
    <t>jodibyrd@ups.com</t>
  </si>
  <si>
    <t>joshuabyrd@ups.com</t>
  </si>
  <si>
    <t>jbyrdjr@ups.com</t>
  </si>
  <si>
    <t>julie.byrd@ups.com</t>
  </si>
  <si>
    <t>juwanbyrd@ups.com</t>
  </si>
  <si>
    <t>majorbyrd@ups.com</t>
  </si>
  <si>
    <t>nbyrd@ups.com</t>
  </si>
  <si>
    <t>normanbyrd@ups.com</t>
  </si>
  <si>
    <t>robinbyrd@ups.com</t>
  </si>
  <si>
    <t>sambyrd@ups.com</t>
  </si>
  <si>
    <t>sbyrd@ups.com</t>
  </si>
  <si>
    <t>steviebyrd@ups.com</t>
  </si>
  <si>
    <t>tlbyrd@ups.com</t>
  </si>
  <si>
    <t>tiffanybyrd@ups.com</t>
  </si>
  <si>
    <t>tbyrd@ups.com</t>
  </si>
  <si>
    <t>travisbyrd@ups.com</t>
  </si>
  <si>
    <t>trevontebyrd@ups.com</t>
  </si>
  <si>
    <t>wesleybyrd@ups.com</t>
  </si>
  <si>
    <t>wbyrd@ups.com</t>
  </si>
  <si>
    <t>vbyrddavis@ups.com</t>
  </si>
  <si>
    <t>rbyrdpope@ups.com</t>
  </si>
  <si>
    <t>bbyrdsong@ups.com</t>
  </si>
  <si>
    <t>cbyrge@ups.com</t>
  </si>
  <si>
    <t>amybyrne@ups.com</t>
  </si>
  <si>
    <t>abyrne@ups.com</t>
  </si>
  <si>
    <t>cjbyrne@ups.com</t>
  </si>
  <si>
    <t>chrisbyrne@ups.com</t>
  </si>
  <si>
    <t>ebyrne@ups.com</t>
  </si>
  <si>
    <t>gillian.byrne@europe.ups.com</t>
  </si>
  <si>
    <t>ibyrne@ups.com</t>
  </si>
  <si>
    <t>janetbyrne@ups.com</t>
  </si>
  <si>
    <t>jasonbyrne@ups.com</t>
  </si>
  <si>
    <t>jxbyrne@ups.com</t>
  </si>
  <si>
    <t>jbyrne@ups.com</t>
  </si>
  <si>
    <t>nbyrne@ups.com</t>
  </si>
  <si>
    <t>pbyrne@ups.com</t>
  </si>
  <si>
    <t>jbyrnerosen@ups.com</t>
  </si>
  <si>
    <t>salvatorebyrne@ups.com</t>
  </si>
  <si>
    <t>sean.byrne@europe.ups.com</t>
  </si>
  <si>
    <t>sbyrne@ups.com</t>
  </si>
  <si>
    <t>victoriabyrne@ups.com</t>
  </si>
  <si>
    <t>ybyrne@ups.com</t>
  </si>
  <si>
    <t>davidbyrnes@ups.com</t>
  </si>
  <si>
    <t>kbyrnes@ups.com</t>
  </si>
  <si>
    <t>mbyrnes@ups.com</t>
  </si>
  <si>
    <t>sbyrnes@ups.com</t>
  </si>
  <si>
    <t>rbyrns@ups.com</t>
  </si>
  <si>
    <t>dbyron@ups.com</t>
  </si>
  <si>
    <t>tbyron@ups.com</t>
  </si>
  <si>
    <t>dbyrum@ups.com</t>
  </si>
  <si>
    <t>ihbyrum@ups.com</t>
  </si>
  <si>
    <t>kbys@ups.com</t>
  </si>
  <si>
    <t>tbytheway@ups.com</t>
  </si>
  <si>
    <t>dbytyqi@ups.com</t>
  </si>
  <si>
    <t>jbzdok@ups.com</t>
  </si>
  <si>
    <t>lbziou@ups.com</t>
  </si>
  <si>
    <t>cbhaskar@ups.com</t>
  </si>
  <si>
    <t>cdalbey@corehandf.com</t>
  </si>
  <si>
    <t>cgopalakrishna@ups.com</t>
  </si>
  <si>
    <t>clangmeyer@ngksparkplugs.com</t>
  </si>
  <si>
    <t>clauer@dbi.com</t>
  </si>
  <si>
    <t>CMaurer@tailactivewear.com</t>
  </si>
  <si>
    <t>vcs@ups.com</t>
  </si>
  <si>
    <t>csagardhip@ups.com</t>
  </si>
  <si>
    <t>Cheryl.Tarrow@tenneco.com</t>
  </si>
  <si>
    <t>rdu@bolt-express.com</t>
  </si>
  <si>
    <t>sales@dohertytruck.com</t>
  </si>
  <si>
    <t>bssd@ups.com</t>
  </si>
  <si>
    <t>caincentives@ups.com</t>
  </si>
  <si>
    <t>capaymentplan@ups.com</t>
  </si>
  <si>
    <t>vca@ups.com</t>
  </si>
  <si>
    <t>receiving4071@ups.com</t>
  </si>
  <si>
    <t>returns4071@ups.com</t>
  </si>
  <si>
    <t>caa@ups.com</t>
  </si>
  <si>
    <t>caabbottar@ups.com</t>
  </si>
  <si>
    <t>caadmin@ups.com</t>
  </si>
  <si>
    <t>ckarenjoy@ups.com</t>
  </si>
  <si>
    <t>mcaal@ups.com</t>
  </si>
  <si>
    <t>scaal@ups.com</t>
  </si>
  <si>
    <t>ccaamano@ups.com</t>
  </si>
  <si>
    <t>JCaamano@ups.com</t>
  </si>
  <si>
    <t>caamoar@ups.com</t>
  </si>
  <si>
    <t>dcaampued@ups.com</t>
  </si>
  <si>
    <t>caargsk@ups.com</t>
  </si>
  <si>
    <t>caarmisc1@ups.com</t>
  </si>
  <si>
    <t>caarmisc2@ups.com</t>
  </si>
  <si>
    <t>caarriscs@ups.com</t>
  </si>
  <si>
    <t>rcaba@ups.com</t>
  </si>
  <si>
    <t>eric.cabaccang@ups.com</t>
  </si>
  <si>
    <t>cmanny@ups.com</t>
  </si>
  <si>
    <t>jcabal@ups.com</t>
  </si>
  <si>
    <t>acabalar@ups.com</t>
  </si>
  <si>
    <t>rcabalatungan@ups.com</t>
  </si>
  <si>
    <t>LCabaleiro@ups.com</t>
  </si>
  <si>
    <t>cgina@ups.com</t>
  </si>
  <si>
    <t>cabalinanjoshua@ups.com</t>
  </si>
  <si>
    <t>cmajenny@ups.com</t>
  </si>
  <si>
    <t>calfredhenry@ups.com</t>
  </si>
  <si>
    <t>dcaballero@ups.com</t>
  </si>
  <si>
    <t>ecaballero1@ups.com</t>
  </si>
  <si>
    <t>ericcaballero@ups.com</t>
  </si>
  <si>
    <t>ecaballero@ups.com</t>
  </si>
  <si>
    <t>jcaballero@ups.com</t>
  </si>
  <si>
    <t>kcaballero@ups.com</t>
  </si>
  <si>
    <t>maria.caballero@ups.com</t>
  </si>
  <si>
    <t>ncaballero@ups.com</t>
  </si>
  <si>
    <t>ocaballero@ups.com</t>
  </si>
  <si>
    <t>Oscar.Caballero@europe.ups.com</t>
  </si>
  <si>
    <t>jcaballeroperez@ups.com</t>
  </si>
  <si>
    <t>rebekahcaballero@ups.com</t>
  </si>
  <si>
    <t>rcaballero@ups.com</t>
  </si>
  <si>
    <t>tcaballeros@ups.com</t>
  </si>
  <si>
    <t>patrickcaballes@ups.com</t>
  </si>
  <si>
    <t>jcabalo@ups.com</t>
  </si>
  <si>
    <t>kcabalse@ups.com</t>
  </si>
  <si>
    <t>cjennilyn@ups.com</t>
  </si>
  <si>
    <t>jcaban@ups.com</t>
  </si>
  <si>
    <t>lcaban@ups.com</t>
  </si>
  <si>
    <t>cjohnrey@ups.com</t>
  </si>
  <si>
    <t>cabanat.sandrine@ups.com</t>
  </si>
  <si>
    <t>kcabanillas@ups.com</t>
  </si>
  <si>
    <t>cluz@ups.com</t>
  </si>
  <si>
    <t>ecabanperez@ups.com</t>
  </si>
  <si>
    <t>cjennifer@ups.com</t>
  </si>
  <si>
    <t>cabardoalexander@ups.com</t>
  </si>
  <si>
    <t>ccabardos@ups.com</t>
  </si>
  <si>
    <t>ceuramel@ups.com</t>
  </si>
  <si>
    <t>rcabatay@ups.com</t>
  </si>
  <si>
    <t>scabell@ups.com</t>
  </si>
  <si>
    <t>cabellasrequests@ups.com</t>
  </si>
  <si>
    <t>ecabellomartin@ups.com</t>
  </si>
  <si>
    <t>scaber@ups.com</t>
  </si>
  <si>
    <t>cvincentronald@ups.com</t>
  </si>
  <si>
    <t>acabeza@ups.com</t>
  </si>
  <si>
    <t>acabezas@ups.com</t>
  </si>
  <si>
    <t>ccabezas@ups.com</t>
  </si>
  <si>
    <t>pcabezasherrera@ups.com</t>
  </si>
  <si>
    <t>lcabezas@ups.com</t>
  </si>
  <si>
    <t>mcabezudo@ups.com</t>
  </si>
  <si>
    <t>fcabiao@ups.com</t>
  </si>
  <si>
    <t>scabibbo@ups.com</t>
  </si>
  <si>
    <t>cmarica@ups.com</t>
  </si>
  <si>
    <t>cfortunato@ups.com</t>
  </si>
  <si>
    <t>rcabiluna@ups.com</t>
  </si>
  <si>
    <t>jcablay@ups.com</t>
  </si>
  <si>
    <t>blakecable@ups.com</t>
  </si>
  <si>
    <t>bcable@ups.com</t>
  </si>
  <si>
    <t>kcable@ups.com</t>
  </si>
  <si>
    <t>scable@ups.com</t>
  </si>
  <si>
    <t>cablldmp@ups.com</t>
  </si>
  <si>
    <t>acabo@ups.com</t>
  </si>
  <si>
    <t>anne-marie.cabooter@uni-data.nl</t>
  </si>
  <si>
    <t>ccabotaje@ups.com</t>
  </si>
  <si>
    <t>jcabote@ups.com</t>
  </si>
  <si>
    <t>alexcabral@ups.com</t>
  </si>
  <si>
    <t>cdcabral@ups.com</t>
  </si>
  <si>
    <t>cristine.cabral@ups.com</t>
  </si>
  <si>
    <t>ecabral@ups.com</t>
  </si>
  <si>
    <t>fernandacabral@ups.com</t>
  </si>
  <si>
    <t>jcabral@ups.com</t>
  </si>
  <si>
    <t>lcabral@ups.com</t>
  </si>
  <si>
    <t>raulcabral@ups.com</t>
  </si>
  <si>
    <t>victorcabral@ups.com</t>
  </si>
  <si>
    <t>ycabral@ups.com</t>
  </si>
  <si>
    <t>scabrales@ups.com</t>
  </si>
  <si>
    <t>vcabrales@ups.com</t>
  </si>
  <si>
    <t>vcabre@ups.com</t>
  </si>
  <si>
    <t>jcabreja@ups.com</t>
  </si>
  <si>
    <t>lcabreja@ups.com</t>
  </si>
  <si>
    <t>jcabrejamarcelino@ups.com</t>
  </si>
  <si>
    <t>alexandercabrera@ups.com</t>
  </si>
  <si>
    <t>acabrera@ups.com</t>
  </si>
  <si>
    <t>andrewcabrera@ups.com</t>
  </si>
  <si>
    <t>angelcabrera@ups.com</t>
  </si>
  <si>
    <t>angelicacabrera@ups.com</t>
  </si>
  <si>
    <t>angeliquecabrera@ups.com</t>
  </si>
  <si>
    <t>ycabreracabrera@ups.com</t>
  </si>
  <si>
    <t>ccabrera@ups.com</t>
  </si>
  <si>
    <t>ecabrera@ups.com</t>
  </si>
  <si>
    <t>esthercabrera@ups.com</t>
  </si>
  <si>
    <t>ncabrerafarjat@ups.com</t>
  </si>
  <si>
    <t>mcabreragiraldo@ups.com</t>
  </si>
  <si>
    <t>gcabrera1@ups.com</t>
  </si>
  <si>
    <t>heathercabrera@ups.com</t>
  </si>
  <si>
    <t>cjanette@ups.com</t>
  </si>
  <si>
    <t>jcabrerajr@ups.com</t>
  </si>
  <si>
    <t>karencabrera@ups.com</t>
  </si>
  <si>
    <t>cabrerakevin@ups.com</t>
  </si>
  <si>
    <t>kcabrera@ups.com</t>
  </si>
  <si>
    <t>cmaaddifhaye@ups.com</t>
  </si>
  <si>
    <t>marciorcabrera@ups.com</t>
  </si>
  <si>
    <t>mcabrera@ups.com</t>
  </si>
  <si>
    <t>jcabreramartinez@ups.com</t>
  </si>
  <si>
    <t>michaelacabrera@ups.com</t>
  </si>
  <si>
    <t>ncabrera@ups.com</t>
  </si>
  <si>
    <t>pcabrera@ups.com</t>
  </si>
  <si>
    <t>rcabrera@ups.com</t>
  </si>
  <si>
    <t>robertcabrera@ups.com</t>
  </si>
  <si>
    <t>rcabrera1@ups.com</t>
  </si>
  <si>
    <t>racabrera@ups.com</t>
  </si>
  <si>
    <t>rociocabrera@ups.com</t>
  </si>
  <si>
    <t>sophiecabrera@ups.com</t>
  </si>
  <si>
    <t>stevencabrera@ups.com</t>
  </si>
  <si>
    <t>scabrera@ups.com</t>
  </si>
  <si>
    <t>Jcabrero@ups.com</t>
  </si>
  <si>
    <t>ccabrey@ups.com</t>
  </si>
  <si>
    <t>manuelacabrita@ups.com</t>
  </si>
  <si>
    <t>cabrokerage@ups.com</t>
  </si>
  <si>
    <t>gcabuk@ups.com</t>
  </si>
  <si>
    <t>ecabungcal@ups.com</t>
  </si>
  <si>
    <t>christinacabunoc@ups.com</t>
  </si>
  <si>
    <t>jcacace@ups.com</t>
  </si>
  <si>
    <t>ckhristiandavid@ups.com</t>
  </si>
  <si>
    <t>acacanovic@ups.com</t>
  </si>
  <si>
    <t>mcacavella@ups.com</t>
  </si>
  <si>
    <t>pcaccavo@ups.com</t>
  </si>
  <si>
    <t>paolacaccia@ups.com</t>
  </si>
  <si>
    <t>scacciatore@ups.com</t>
  </si>
  <si>
    <t>ncacciatori@ups.com</t>
  </si>
  <si>
    <t>ccaceres@ups.com</t>
  </si>
  <si>
    <t>cjethroboaz@ups.com</t>
  </si>
  <si>
    <t>jcaceres@ups.com</t>
  </si>
  <si>
    <t>lcaceres@ups.com</t>
  </si>
  <si>
    <t>ncaceres@ups.com</t>
  </si>
  <si>
    <t>vcaceres@ups.com</t>
  </si>
  <si>
    <t>dcaceresreyna@ups.com</t>
  </si>
  <si>
    <t>cachcommunications@ups.com</t>
  </si>
  <si>
    <t>cachcontest@ups.com</t>
  </si>
  <si>
    <t>cachdayfmla@ups.com</t>
  </si>
  <si>
    <t>cachemployment@ups.com</t>
  </si>
  <si>
    <t>teamdrivers@ups.com</t>
  </si>
  <si>
    <t>cachlabelquality@ups.com</t>
  </si>
  <si>
    <t>cachnightfmla@ups.com</t>
  </si>
  <si>
    <t>cachsunrisefmla@ups.com</t>
  </si>
  <si>
    <t>cachtwilightfmla@ups.com</t>
  </si>
  <si>
    <t>icacheux@ups.com</t>
  </si>
  <si>
    <t>acacho@ups.com</t>
  </si>
  <si>
    <t>jcacho@ups.com</t>
  </si>
  <si>
    <t>cachtsg@ups.com</t>
  </si>
  <si>
    <t>jesuscachu@ups.com</t>
  </si>
  <si>
    <t>cpsyvelyn@ups.com</t>
  </si>
  <si>
    <t>ecacioppo@ups.com</t>
  </si>
  <si>
    <t>lcaciuleanu@ups.com</t>
  </si>
  <si>
    <t>caconversecs@ups.com</t>
  </si>
  <si>
    <t>cacptdmp@ups.com</t>
  </si>
  <si>
    <t>icacs@ups.com</t>
  </si>
  <si>
    <t>cacsuat@ups.com</t>
  </si>
  <si>
    <t>lcadangyao@ups.com</t>
  </si>
  <si>
    <t>cadartjeanlouis@ups.com</t>
  </si>
  <si>
    <t>andrescadavid@ups.com</t>
  </si>
  <si>
    <t>scadavid@ups.com</t>
  </si>
  <si>
    <t>scaday@ups.com</t>
  </si>
  <si>
    <t>cearljames@ups.com</t>
  </si>
  <si>
    <t>matthewcaddell@ups.com</t>
  </si>
  <si>
    <t>mcaddell@ups.com</t>
  </si>
  <si>
    <t>dcaddle@ups.com</t>
  </si>
  <si>
    <t>acade@ups.com</t>
  </si>
  <si>
    <t>acadena@ups.com</t>
  </si>
  <si>
    <t>antoniocadena@ups.com</t>
  </si>
  <si>
    <t>ccadena@ups.com</t>
  </si>
  <si>
    <t>gcadena@ups.com</t>
  </si>
  <si>
    <t>jcadena@ups.com</t>
  </si>
  <si>
    <t>justincadena@ups.com</t>
  </si>
  <si>
    <t>rcadena@ups.com</t>
  </si>
  <si>
    <t>daniellacadenas@ups.com</t>
  </si>
  <si>
    <t>rcadenhead@ups.com</t>
  </si>
  <si>
    <t>scadenhead@ups.com</t>
  </si>
  <si>
    <t>ccadet@ups.com</t>
  </si>
  <si>
    <t>dcadet@ups.com</t>
  </si>
  <si>
    <t>fcadet@ups.com</t>
  </si>
  <si>
    <t>mcadet@ups.com</t>
  </si>
  <si>
    <t>rcadet@ups.com</t>
  </si>
  <si>
    <t>wcadet@ups.com</t>
  </si>
  <si>
    <t>bcadihaja@ups.com</t>
  </si>
  <si>
    <t>ceditha@ups.com</t>
  </si>
  <si>
    <t>jcadieux@ups.com</t>
  </si>
  <si>
    <t>lcadieux@ups.com</t>
  </si>
  <si>
    <t>cadigalhenry@ups.com</t>
  </si>
  <si>
    <t>cailynn@ups.com</t>
  </si>
  <si>
    <t>jpcadiou@upslogistics.fr</t>
  </si>
  <si>
    <t>klaracadkova@ups.com</t>
  </si>
  <si>
    <t>acadle@ups.com</t>
  </si>
  <si>
    <t>jcadman@ups.com</t>
  </si>
  <si>
    <t>tcadman@ups.com</t>
  </si>
  <si>
    <t>lcadorin@ups.com</t>
  </si>
  <si>
    <t>jcadreau@ups.com</t>
  </si>
  <si>
    <t>jessicacadue@ups.com</t>
  </si>
  <si>
    <t>jeffreycady@ups.com</t>
  </si>
  <si>
    <t>ecadymayhew@ups.com</t>
  </si>
  <si>
    <t>jcael@ups.com</t>
  </si>
  <si>
    <t>acaesar@ups.com</t>
  </si>
  <si>
    <t>marrettacaesar@ups.com</t>
  </si>
  <si>
    <t>ocaesar@ups.com</t>
  </si>
  <si>
    <t>ncaetanodesouza@ups.com</t>
  </si>
  <si>
    <t>hcaetano@ups.com</t>
  </si>
  <si>
    <t>jcaetanopacheco@ups.com</t>
  </si>
  <si>
    <t>dcafaldo@ups.com</t>
  </si>
  <si>
    <t>ccafarelli@ups.com</t>
  </si>
  <si>
    <t>mcafarelli@ups.com</t>
  </si>
  <si>
    <t>dcafe@ups.com</t>
  </si>
  <si>
    <t>dcaffarello@ups.com</t>
  </si>
  <si>
    <t>tcaffell@ups.com</t>
  </si>
  <si>
    <t>mcaffey@ups.com</t>
  </si>
  <si>
    <t>sharoncaffey@ups.com</t>
  </si>
  <si>
    <t>scaffey@ups.com</t>
  </si>
  <si>
    <t>fcaffrey@ups.com</t>
  </si>
  <si>
    <t>scafi@ups.com</t>
  </si>
  <si>
    <t>mcagala@ups.com</t>
  </si>
  <si>
    <t>pacagala@ups.com</t>
  </si>
  <si>
    <t>cchristianjay@ups.com</t>
  </si>
  <si>
    <t>cagebr@ups.com</t>
  </si>
  <si>
    <t>icage@ups.com</t>
  </si>
  <si>
    <t>cagelacourneuve@ups.com</t>
  </si>
  <si>
    <t>icageo@ups.com</t>
  </si>
  <si>
    <t>josephcaggiano@ups.com</t>
  </si>
  <si>
    <t>rcaggiano@ups.com</t>
  </si>
  <si>
    <t>fcagiao@ups.com</t>
  </si>
  <si>
    <t>tcaglar@ups.com</t>
  </si>
  <si>
    <t>icaglayan@ups.com</t>
  </si>
  <si>
    <t>acagle@ups.com</t>
  </si>
  <si>
    <t>bcagle@ups.com</t>
  </si>
  <si>
    <t>rcagle@ups.com</t>
  </si>
  <si>
    <t>rogercagle@ups.com</t>
  </si>
  <si>
    <t>ckathleenjoy@ups.com</t>
  </si>
  <si>
    <t>scagny@upslogistics.fr</t>
  </si>
  <si>
    <t>cagskconsumer@ups.com</t>
  </si>
  <si>
    <t>ncaguicla@ups.com</t>
  </si>
  <si>
    <t>mcahalan@ups.com</t>
  </si>
  <si>
    <t>jcahall@ups.com</t>
  </si>
  <si>
    <t>cahawthornecs@ups.com</t>
  </si>
  <si>
    <t>cahcabbottcs@ups.com</t>
  </si>
  <si>
    <t>cahcadccs@ups.com</t>
  </si>
  <si>
    <t>cahcaesthetics@ups.com</t>
  </si>
  <si>
    <t>cahcalconcs@ups.com</t>
  </si>
  <si>
    <t>cahcamgencs@ups.com</t>
  </si>
  <si>
    <t>cahcangiodynamicscs@ups.com</t>
  </si>
  <si>
    <t>cahcapolloar@ups.com</t>
  </si>
  <si>
    <t>cahcapolloendosurgerycs@ups.com</t>
  </si>
  <si>
    <t>cahcastellascs@ups.com</t>
  </si>
  <si>
    <t>cahcbauschhealthcs@ups.com</t>
  </si>
  <si>
    <t>cahcbauschlomb@ups.com</t>
  </si>
  <si>
    <t>cahcbayercs@ups.com</t>
  </si>
  <si>
    <t>cahcbiogencs@ups.com</t>
  </si>
  <si>
    <t>cahcbioverativ@ups.com</t>
  </si>
  <si>
    <t>cahcbsnmedicalcs@ups.com</t>
  </si>
  <si>
    <t>cahccardiacscience@ups.com</t>
  </si>
  <si>
    <t>cahcdrrenaud@ups.com</t>
  </si>
  <si>
    <t>cahcedwardscs@ups.com</t>
  </si>
  <si>
    <t>cahcelancocs@ups.com</t>
  </si>
  <si>
    <t>cahcelilillycs@ups.com</t>
  </si>
  <si>
    <t>CAHCFORESTLABSAR@UPS.COM</t>
  </si>
  <si>
    <t>cahcforestcs@ups.com</t>
  </si>
  <si>
    <t>cahcgrifolscs@ups.com</t>
  </si>
  <si>
    <t>cahcibinv@ups.com</t>
  </si>
  <si>
    <t>cahcidexxcs@ups.com</t>
  </si>
  <si>
    <t>cahcintegacs@ups.com</t>
  </si>
  <si>
    <t>cahcmdm@ups.com</t>
  </si>
  <si>
    <t>cahcmdmpricing@ups.com</t>
  </si>
  <si>
    <t>cahcmerckconsumercs@ups.com</t>
  </si>
  <si>
    <t>cahcmolnlyckecs@ups.com</t>
  </si>
  <si>
    <t>cahcnewchaptercs@ups.com</t>
  </si>
  <si>
    <t>cahcnncics@ups.com</t>
  </si>
  <si>
    <t>cahcnutriciacs@ups.com</t>
  </si>
  <si>
    <t>cahcorderrecon@ups.com</t>
  </si>
  <si>
    <t>cahcranbaxycs@ups.com</t>
  </si>
  <si>
    <t>cahcreturns@ups.com</t>
  </si>
  <si>
    <t>cahcspecialty@ups.com</t>
  </si>
  <si>
    <t>cahcsysmexcs@ups.com</t>
  </si>
  <si>
    <t>cahctarocs@ups.com</t>
  </si>
  <si>
    <t>cahcterumocs@ups.com</t>
  </si>
  <si>
    <t>cahctherakoscs@ups.com</t>
  </si>
  <si>
    <t>cahcvaleantcs@ups.com</t>
  </si>
  <si>
    <t>dcahen@ups.com</t>
  </si>
  <si>
    <t>bpcahill@ups.com</t>
  </si>
  <si>
    <t>ccahill@ups.com</t>
  </si>
  <si>
    <t>dcahill@ups.com</t>
  </si>
  <si>
    <t>jcahill@ups.com</t>
  </si>
  <si>
    <t>jennifercahill@ups.com</t>
  </si>
  <si>
    <t>mcahill@ups.com</t>
  </si>
  <si>
    <t>hcahoon@ups.com</t>
  </si>
  <si>
    <t>carief@ups.com</t>
  </si>
  <si>
    <t>cbo@ups.com</t>
  </si>
  <si>
    <t>bradcai@ups.com</t>
  </si>
  <si>
    <t>carolcai@ups.com</t>
  </si>
  <si>
    <t>caichen@ups.com</t>
  </si>
  <si>
    <t>cccai@ups.com</t>
  </si>
  <si>
    <t>chimancai@ups.com</t>
  </si>
  <si>
    <t>ccai@ups.com</t>
  </si>
  <si>
    <t>cchunming@ups.com</t>
  </si>
  <si>
    <t>cdening@ups.com</t>
  </si>
  <si>
    <t>cdongni@ups.com</t>
  </si>
  <si>
    <t>cerchuan@ups.com</t>
  </si>
  <si>
    <t>caifeng@ups.com</t>
  </si>
  <si>
    <t>caihaiyan@ups.com</t>
  </si>
  <si>
    <t>hanway.cai@ups.com</t>
  </si>
  <si>
    <t>chuijun@ups.com</t>
  </si>
  <si>
    <t>jackycai@ups.com</t>
  </si>
  <si>
    <t>jjcai@ups.com</t>
  </si>
  <si>
    <t>cjunhua@ups.com</t>
  </si>
  <si>
    <t>cjunzao@ups.com</t>
  </si>
  <si>
    <t>ckehe@ups.com</t>
  </si>
  <si>
    <t>cailili@ups.com</t>
  </si>
  <si>
    <t>cliwei@ups.com</t>
  </si>
  <si>
    <t>clulu@ups.com</t>
  </si>
  <si>
    <t>cmeihua@ups.com</t>
  </si>
  <si>
    <t>melissacai@ups.com</t>
  </si>
  <si>
    <t>mcai@ups.com</t>
  </si>
  <si>
    <t>caimin@ups.com</t>
  </si>
  <si>
    <t>cmingjie@ups.com</t>
  </si>
  <si>
    <t>cpamela@ups.com</t>
  </si>
  <si>
    <t>pycai@ups.com</t>
  </si>
  <si>
    <t>caiqi@ups.com</t>
  </si>
  <si>
    <t>cqingling@ups.com</t>
  </si>
  <si>
    <t>cqinjun@ups.com</t>
  </si>
  <si>
    <t>caishirley@ups.com</t>
  </si>
  <si>
    <t>caithomson@ups.com</t>
  </si>
  <si>
    <t>cweifei@ups.com</t>
  </si>
  <si>
    <t>cweixiang@ups.com</t>
  </si>
  <si>
    <t>cwenxiang@ups.com</t>
  </si>
  <si>
    <t>cxiaohong@ups.com</t>
  </si>
  <si>
    <t>caixin@ups.com</t>
  </si>
  <si>
    <t>cyanfei@ups.com</t>
  </si>
  <si>
    <t>cyexiang@ups.com</t>
  </si>
  <si>
    <t>ccaiyi@ups.com</t>
  </si>
  <si>
    <t>cyongfang@ups.com</t>
  </si>
  <si>
    <t>mcaiafo@ups.com</t>
  </si>
  <si>
    <t>rcaiazza@ups.com</t>
  </si>
  <si>
    <t>ccaiazzo@ups.com</t>
  </si>
  <si>
    <t>cabigail@ups.com</t>
  </si>
  <si>
    <t>ncaicedo@ups.com</t>
  </si>
  <si>
    <t>caidexxops@ups.com</t>
  </si>
  <si>
    <t>kcaillaud@ups.com</t>
  </si>
  <si>
    <t>acain@ups.com</t>
  </si>
  <si>
    <t>andycain@ups.com</t>
  </si>
  <si>
    <t>austincain@ups.com</t>
  </si>
  <si>
    <t>bobbicain@ups.com</t>
  </si>
  <si>
    <t>bcain@ups.com</t>
  </si>
  <si>
    <t>briancain@ups.com</t>
  </si>
  <si>
    <t>ccain@ups.com</t>
  </si>
  <si>
    <t>claycain@ups.com</t>
  </si>
  <si>
    <t>deannacain@ups.com</t>
  </si>
  <si>
    <t>ecain@ups.com</t>
  </si>
  <si>
    <t>jeromecain@ups.com</t>
  </si>
  <si>
    <t>jcain@ups.com</t>
  </si>
  <si>
    <t>pcainjr@ups.com</t>
  </si>
  <si>
    <t>roycainjr@ups.com</t>
  </si>
  <si>
    <t>kailincain@ups.com</t>
  </si>
  <si>
    <t>kcain@ups.com</t>
  </si>
  <si>
    <t>lcain@ups.com</t>
  </si>
  <si>
    <t>pgcain@ups.com</t>
  </si>
  <si>
    <t>rcain@ups.com</t>
  </si>
  <si>
    <t>rogercain@ups.com</t>
  </si>
  <si>
    <t>scain@ups.com</t>
  </si>
  <si>
    <t>tscain@ups.com</t>
  </si>
  <si>
    <t>timothycain@ups.com</t>
  </si>
  <si>
    <t>tcain@ups.com</t>
  </si>
  <si>
    <t>vcain@ups.com</t>
  </si>
  <si>
    <t>wcain@ups.com</t>
  </si>
  <si>
    <t>williamcain@ups.com</t>
  </si>
  <si>
    <t>zacharycain@ups.com</t>
  </si>
  <si>
    <t>dcaincross@ups.com</t>
  </si>
  <si>
    <t>rcainero@ups.com</t>
  </si>
  <si>
    <t>jcaines@ups.com</t>
  </si>
  <si>
    <t>kcaines@ups.com</t>
  </si>
  <si>
    <t>acainion@ups.com</t>
  </si>
  <si>
    <t>lifecaiomiranda@ups.com</t>
  </si>
  <si>
    <t>mcairns@upsstore.com</t>
  </si>
  <si>
    <t>scairns@ups.com</t>
  </si>
  <si>
    <t>cairuat@ups.com</t>
  </si>
  <si>
    <t>dcaison@ups.com</t>
  </si>
  <si>
    <t>ccaissie@ups.com</t>
  </si>
  <si>
    <t>mcaissie@ups.com</t>
  </si>
  <si>
    <t>caitlin@rapidexpressonline.com</t>
  </si>
  <si>
    <t>CAITLIN@YALADESIGNS.COM</t>
  </si>
  <si>
    <t>mcajati@ups.com</t>
  </si>
  <si>
    <t>rcajavilca@ups.com</t>
  </si>
  <si>
    <t>acajetan@ups.com</t>
  </si>
  <si>
    <t>ecajigas@ups.com</t>
  </si>
  <si>
    <t>cpreciousdianne@ups.com</t>
  </si>
  <si>
    <t>cajuiganjennifer@ups.com</t>
  </si>
  <si>
    <t>ocakal@ups.com</t>
  </si>
  <si>
    <t>mcakan@ups.com</t>
  </si>
  <si>
    <t>cakeencs@ups.com</t>
  </si>
  <si>
    <t>gcakicilar@ups.com</t>
  </si>
  <si>
    <t>acakir@ups.com</t>
  </si>
  <si>
    <t>kcakir@ups.com</t>
  </si>
  <si>
    <t>dcakiroglu@ups.com</t>
  </si>
  <si>
    <t>cakmak@ups.com</t>
  </si>
  <si>
    <t>hcakmak@ups.com</t>
  </si>
  <si>
    <t>mcakmak@ups.com</t>
  </si>
  <si>
    <t>muratcakmak@ups.com</t>
  </si>
  <si>
    <t>ycakmak@ups.com</t>
  </si>
  <si>
    <t>bcal@ups.com</t>
  </si>
  <si>
    <t>ocal@ups.com</t>
  </si>
  <si>
    <t>pcal@ups.com</t>
  </si>
  <si>
    <t>kcala@ups.com</t>
  </si>
  <si>
    <t>lediacala@ups.com</t>
  </si>
  <si>
    <t>mcala@ups.com</t>
  </si>
  <si>
    <t>rcalabretta@ups.com</t>
  </si>
  <si>
    <t>cmaelena@ups.com</t>
  </si>
  <si>
    <t>cmaryann@ups.com</t>
  </si>
  <si>
    <t>rcalalo@ups.com</t>
  </si>
  <si>
    <t>vitocalamita@europe.ups.com</t>
  </si>
  <si>
    <t>jcalanche@ups.com</t>
  </si>
  <si>
    <t>ccalandrino@ups.com</t>
  </si>
  <si>
    <t>ecalaor@ups.com</t>
  </si>
  <si>
    <t>scalas@ups.com</t>
  </si>
  <si>
    <t>gcalasanz@ups.com</t>
  </si>
  <si>
    <t>tcalascibetta@ups.com</t>
  </si>
  <si>
    <t>acalaway@ups.com</t>
  </si>
  <si>
    <t>dcalcagno@ups.com</t>
  </si>
  <si>
    <t>rcalcagno@ups.com</t>
  </si>
  <si>
    <t>vcalcanofermin@ups.com</t>
  </si>
  <si>
    <t>acalceta@ups.com</t>
  </si>
  <si>
    <t>pcalcutt@ups.com</t>
  </si>
  <si>
    <t>ccynthia@ups.com</t>
  </si>
  <si>
    <t>pcaldas@ups.com</t>
  </si>
  <si>
    <t>ccaldeira@ups.com</t>
  </si>
  <si>
    <t>rcaldeira@ups.com</t>
  </si>
  <si>
    <t>kristincalder@ups.com</t>
  </si>
  <si>
    <t>acaldera@ups.com</t>
  </si>
  <si>
    <t>ccaldera@ups.com</t>
  </si>
  <si>
    <t>juliacaldera@ups.com</t>
  </si>
  <si>
    <t>mcaldera@ups.com</t>
  </si>
  <si>
    <t>jcalderbank@ups.com</t>
  </si>
  <si>
    <t>acalderon@ups.com</t>
  </si>
  <si>
    <t>alejandrocalderon@ups.com</t>
  </si>
  <si>
    <t>A.Calderon@ups.com</t>
  </si>
  <si>
    <t>jcalderonbanderas@ups.com</t>
  </si>
  <si>
    <t>rcalderonburgos@ups.com</t>
  </si>
  <si>
    <t>ccalderon@ups.com</t>
  </si>
  <si>
    <t>cesarcalderon@ups.com</t>
  </si>
  <si>
    <t>christinecalderon@ups.com</t>
  </si>
  <si>
    <t>christophercalderon@ups.com</t>
  </si>
  <si>
    <t>dcalderon@ups.com</t>
  </si>
  <si>
    <t>ecalderon@ups.com</t>
  </si>
  <si>
    <t>eduardocalderon@ups.com</t>
  </si>
  <si>
    <t>eugenecalderon@ups.com</t>
  </si>
  <si>
    <t>eviliocalderon@ups.com</t>
  </si>
  <si>
    <t>cgabriela@ups.com</t>
  </si>
  <si>
    <t>icalderon@ups.com</t>
  </si>
  <si>
    <t>jcalderon@ups.com</t>
  </si>
  <si>
    <t>juandcalderon@ups.com</t>
  </si>
  <si>
    <t>juliecalderon@ups.com</t>
  </si>
  <si>
    <t>luiscalderon@ups.com</t>
  </si>
  <si>
    <t>mcalderon@ups.com</t>
  </si>
  <si>
    <t>melissacalderon@ups.com</t>
  </si>
  <si>
    <t>ncalderon@ups.com</t>
  </si>
  <si>
    <t>patriciacalderon@ups.com</t>
  </si>
  <si>
    <t>cromajane@ups.com</t>
  </si>
  <si>
    <t>rosacalderon@ups.com</t>
  </si>
  <si>
    <t>mcalderonvalencia@ups.com</t>
  </si>
  <si>
    <t>mcalderone@ups.com</t>
  </si>
  <si>
    <t>michellecalderone@ups.com</t>
  </si>
  <si>
    <t>tcalderwood@ups.com</t>
  </si>
  <si>
    <t>aaroncaldwell@ups.com</t>
  </si>
  <si>
    <t>allisoncaldwell@ups.com</t>
  </si>
  <si>
    <t>ambriellecaldwell@ups.com</t>
  </si>
  <si>
    <t>acaldwell@ups.com</t>
  </si>
  <si>
    <t>bcaldwell@ups.com</t>
  </si>
  <si>
    <t>brianacaldwell@ups.com</t>
  </si>
  <si>
    <t>carolcaldwell@ups.com</t>
  </si>
  <si>
    <t>chefondacaldwell@ups.com</t>
  </si>
  <si>
    <t>christophercaldwell@ups.com</t>
  </si>
  <si>
    <t>ccaldwell@ups.com</t>
  </si>
  <si>
    <t>christycaldwell@ups.com</t>
  </si>
  <si>
    <t>ccaldwell1@ups.com</t>
  </si>
  <si>
    <t>claytoncaldwell@ups.com</t>
  </si>
  <si>
    <t>crystalcaldwell@ups.com</t>
  </si>
  <si>
    <t>dcaldwell@ups.com</t>
  </si>
  <si>
    <t>dariancaldwell@ups.com</t>
  </si>
  <si>
    <t>dustincaldwell@ups.com</t>
  </si>
  <si>
    <t>wcaldwellii@ups.com</t>
  </si>
  <si>
    <t>wcaldwelliii@ups.com</t>
  </si>
  <si>
    <t>jadacaldwell@ups.com</t>
  </si>
  <si>
    <t>jasmyncaldwell@ups.com</t>
  </si>
  <si>
    <t>jvcaldwell@ups.com</t>
  </si>
  <si>
    <t>jennifercaldwell@ups.com</t>
  </si>
  <si>
    <t>jmcaldwell@ups.com</t>
  </si>
  <si>
    <t>jcaldwell@ups.com</t>
  </si>
  <si>
    <t>kdcaldwell@ups.com</t>
  </si>
  <si>
    <t>kcaldwell@ups.com</t>
  </si>
  <si>
    <t>kelvincaldwell@ups.com</t>
  </si>
  <si>
    <t>kenacaldwell@ups.com</t>
  </si>
  <si>
    <t>mccaldwell@ups.com</t>
  </si>
  <si>
    <t>mcaldwell@ups.com</t>
  </si>
  <si>
    <t>mwcaldwell@ups.com</t>
  </si>
  <si>
    <t>michaelcaldwell@ups.com</t>
  </si>
  <si>
    <t>rlcaldwell@ups.com</t>
  </si>
  <si>
    <t>reginacaldwell@ups.com</t>
  </si>
  <si>
    <t>shanicecaldwell@ups.com</t>
  </si>
  <si>
    <t>shannoncaldwell@ups.com</t>
  </si>
  <si>
    <t>scaldwell@ups.com</t>
  </si>
  <si>
    <t>stevencaldwell@ups.com</t>
  </si>
  <si>
    <t>strelitziacaldwell@ups.com</t>
  </si>
  <si>
    <t>tcaldwell@ups.com</t>
  </si>
  <si>
    <t>vcaldwell@ups.com</t>
  </si>
  <si>
    <t>bcaldwelldaniels@ups.com</t>
  </si>
  <si>
    <t>mcale@ups.com</t>
  </si>
  <si>
    <t>maxcale@ups.com</t>
  </si>
  <si>
    <t>caleb.hostetler@vertivco.com</t>
  </si>
  <si>
    <t>acaleca@ups.com</t>
  </si>
  <si>
    <t>gcaleenjr@ups.com</t>
  </si>
  <si>
    <t>ccalefati@ups.com</t>
  </si>
  <si>
    <t>fabrizio.calegari@europe.ups.com</t>
  </si>
  <si>
    <t>calendarstatus@ups.com</t>
  </si>
  <si>
    <t>mikecaler@ups.com</t>
  </si>
  <si>
    <t>mirko.caleta@europe.ups.com</t>
  </si>
  <si>
    <t>canamae@ups.com</t>
  </si>
  <si>
    <t>acalheiros@ups.com</t>
  </si>
  <si>
    <t>dcalhoon@ups.com</t>
  </si>
  <si>
    <t>bcalhoun@ups.com</t>
  </si>
  <si>
    <t>ccalhoun@ups.com</t>
  </si>
  <si>
    <t>cccalhoun@ups.com</t>
  </si>
  <si>
    <t>dcalhoun@ups.com</t>
  </si>
  <si>
    <t>dylancalhoun@ups.com</t>
  </si>
  <si>
    <t>katherinecalhoun@ups.com</t>
  </si>
  <si>
    <t>kcalhoun@ups.com</t>
  </si>
  <si>
    <t>kcalhoun1@ups.com</t>
  </si>
  <si>
    <t>lcalhoun@ups.com</t>
  </si>
  <si>
    <t>ncalhoun@ups.com</t>
  </si>
  <si>
    <t>pcalhoun@ups.com</t>
  </si>
  <si>
    <t>rcalhoun@ups.com</t>
  </si>
  <si>
    <t>scalhoun@ups.com</t>
  </si>
  <si>
    <t>stevencalhoun@ups.com</t>
  </si>
  <si>
    <t>taylorcalhoun@ups.com</t>
  </si>
  <si>
    <t>tcalhoun1@ups.com</t>
  </si>
  <si>
    <t>traceycalhoun@ups.com</t>
  </si>
  <si>
    <t>trecalhoun@ups.com</t>
  </si>
  <si>
    <t>tcalhoun@ups.com</t>
  </si>
  <si>
    <t>kcalhounrice@ups.com</t>
  </si>
  <si>
    <t>vcalhounshelby@ups.com</t>
  </si>
  <si>
    <t>gcalia@ups.com</t>
  </si>
  <si>
    <t>scalianno@ups.com</t>
  </si>
  <si>
    <t>kcalibjo@ups.com</t>
  </si>
  <si>
    <t>ccarmelo@ups.com</t>
  </si>
  <si>
    <t>ccalibo@ups.com</t>
  </si>
  <si>
    <t>cjohndreb@ups.com</t>
  </si>
  <si>
    <t>wcalicott1@ups.com</t>
  </si>
  <si>
    <t>rcaliendo@upsstore.com</t>
  </si>
  <si>
    <t>jcalif@upslogistics.fr</t>
  </si>
  <si>
    <t>jcalifano@ups.com</t>
  </si>
  <si>
    <t>jcaligagan@ups.com</t>
  </si>
  <si>
    <t>craquel@ups.com</t>
  </si>
  <si>
    <t>caranwel@ups.com</t>
  </si>
  <si>
    <t>calilungsugar@ups.com</t>
  </si>
  <si>
    <t>czanejose@ups.com</t>
  </si>
  <si>
    <t>czhannaalexandra@ups.com</t>
  </si>
  <si>
    <t>tcalinski@ups.com</t>
  </si>
  <si>
    <t>pcaliolo@ups.com</t>
  </si>
  <si>
    <t>ccalire@ups.com</t>
  </si>
  <si>
    <t>ibrahim.calis@europe.ups.com</t>
  </si>
  <si>
    <t>rcalis@ups.com</t>
  </si>
  <si>
    <t>wcalisejr@ups.com</t>
  </si>
  <si>
    <t>ccaliskan@ups.com</t>
  </si>
  <si>
    <t>hcaliskan@ups.com</t>
  </si>
  <si>
    <t>iremcaliskan@ups.com</t>
  </si>
  <si>
    <t>lalecaliskan@ups.com</t>
  </si>
  <si>
    <t>sinancaliskan@ups.com</t>
  </si>
  <si>
    <t>ycaliskan@ups.com</t>
  </si>
  <si>
    <t>lcaliva@ups.com</t>
  </si>
  <si>
    <t>calixte.paul@ups.com</t>
  </si>
  <si>
    <t>jcalixto@ups.com</t>
  </si>
  <si>
    <t>rcalixtro@ups.com</t>
  </si>
  <si>
    <t>ccall@ups.com</t>
  </si>
  <si>
    <t>danielcall@ups.com</t>
  </si>
  <si>
    <t>dcalljr@ups.com</t>
  </si>
  <si>
    <t>mcall@ups.com</t>
  </si>
  <si>
    <t>tcall@ups.com</t>
  </si>
  <si>
    <t>wcall@ups.com</t>
  </si>
  <si>
    <t>tcallaan@ups.com</t>
  </si>
  <si>
    <t>ccalladio@ups.com</t>
  </si>
  <si>
    <t>mcallaerts@ups.com</t>
  </si>
  <si>
    <t>ccallagee@ups.com</t>
  </si>
  <si>
    <t>dcallaghan1@ups.com</t>
  </si>
  <si>
    <t>michaelcallaghan@ups.com</t>
  </si>
  <si>
    <t>stanley.callaghan@europe.ups.com</t>
  </si>
  <si>
    <t>scallagy@ups.com</t>
  </si>
  <si>
    <t>scallahambishop@ups.com</t>
  </si>
  <si>
    <t>amandacallahan@ups.com</t>
  </si>
  <si>
    <t>brendacallahan@ups.com</t>
  </si>
  <si>
    <t>bcallahan@ups.com</t>
  </si>
  <si>
    <t>ccallahan@ups.com</t>
  </si>
  <si>
    <t>hcallahan@ups.com</t>
  </si>
  <si>
    <t>justincallahan@ups.com</t>
  </si>
  <si>
    <t>kevincallahan@ups.com</t>
  </si>
  <si>
    <t>mcallahan@ups.com</t>
  </si>
  <si>
    <t>michaelcallahan@ups.com</t>
  </si>
  <si>
    <t>patrickcallahan@ups.com</t>
  </si>
  <si>
    <t>rcallahan@ups.com</t>
  </si>
  <si>
    <t>vcallahan@ups.com</t>
  </si>
  <si>
    <t>kcallamaras@upsstore.com</t>
  </si>
  <si>
    <t>bcallan@ups.com</t>
  </si>
  <si>
    <t>jcallan@ups.com</t>
  </si>
  <si>
    <t>mcallan@ups.com</t>
  </si>
  <si>
    <t>mcallanan@ups.com</t>
  </si>
  <si>
    <t>scallands@ups.com</t>
  </si>
  <si>
    <t>ccallari@ups.com</t>
  </si>
  <si>
    <t>callartdestek@ups.com</t>
  </si>
  <si>
    <t>jcallaway@ups.com</t>
  </si>
  <si>
    <t>mcallaway@ups.com</t>
  </si>
  <si>
    <t>rcallaway@ups.com</t>
  </si>
  <si>
    <t>scallaway@ups.com</t>
  </si>
  <si>
    <t>tcallaway@ups.com</t>
  </si>
  <si>
    <t>callcentermanagement@sirva.com</t>
  </si>
  <si>
    <t>callcentre@ups-spl.com</t>
  </si>
  <si>
    <t>lcallearcila@ups.com</t>
  </si>
  <si>
    <t>jacecalle@ups.com</t>
  </si>
  <si>
    <t>leo.calle@ups.com</t>
  </si>
  <si>
    <t>fcallerios@ups.com</t>
  </si>
  <si>
    <t>ccalleja@ups.com</t>
  </si>
  <si>
    <t>MJoseCalleja@ups.com</t>
  </si>
  <si>
    <t>acalleja@upslogistics.fr</t>
  </si>
  <si>
    <t>jcallen@ups.com</t>
  </si>
  <si>
    <t>ccallender@ups.com</t>
  </si>
  <si>
    <t>dcallender@ups.com</t>
  </si>
  <si>
    <t>kcallender@ups.com</t>
  </si>
  <si>
    <t>icalles@ups.com</t>
  </si>
  <si>
    <t>rcallesen@ups.com</t>
  </si>
  <si>
    <t>acallewaert@ups.com</t>
  </si>
  <si>
    <t>dcallicoat@ups.com</t>
  </si>
  <si>
    <t>tcallicoat@ups.com</t>
  </si>
  <si>
    <t>ccallicutt@ups.com</t>
  </si>
  <si>
    <t>kcallies@ups.com</t>
  </si>
  <si>
    <t>tcallin@ups.com</t>
  </si>
  <si>
    <t>scallioni@ups.com</t>
  </si>
  <si>
    <t>ncallirgos@ups.com</t>
  </si>
  <si>
    <t>dcallison@ups.com</t>
  </si>
  <si>
    <t>gcallison@ups.com</t>
  </si>
  <si>
    <t>scallison@ups.com</t>
  </si>
  <si>
    <t>dcallister@ups.com</t>
  </si>
  <si>
    <t>fcallizaya@ups.com</t>
  </si>
  <si>
    <t>cailyn@ups.com</t>
  </si>
  <si>
    <t>acallor@ups.com</t>
  </si>
  <si>
    <t>acalloway@ups.com</t>
  </si>
  <si>
    <t>hcalloway@ups.com</t>
  </si>
  <si>
    <t>jamescalloway@ups.com</t>
  </si>
  <si>
    <t>jrcalloway@ups.com</t>
  </si>
  <si>
    <t>kcalloway@ups.com</t>
  </si>
  <si>
    <t>mcalloway@ups.com</t>
  </si>
  <si>
    <t>tashawnacalloway@ups.com</t>
  </si>
  <si>
    <t>tcalloway@ups.com</t>
  </si>
  <si>
    <t>callsigns@ups.com</t>
  </si>
  <si>
    <t>pcallueng@ups.com</t>
  </si>
  <si>
    <t>Callum.Brown@vectoraerospace.com</t>
  </si>
  <si>
    <t>CALLUM@LAVISIONINC.COM</t>
  </si>
  <si>
    <t>scall-viasso@ups.com</t>
  </si>
  <si>
    <t>mcallwood@ups.com</t>
  </si>
  <si>
    <t>cjanvergel@ups.com</t>
  </si>
  <si>
    <t>ckimberly@ups.com</t>
  </si>
  <si>
    <t>calmaoliver@ups.com</t>
  </si>
  <si>
    <t>jcalmelat@ups.com</t>
  </si>
  <si>
    <t>bcalmessr@ups.com</t>
  </si>
  <si>
    <t>cedwin@ups.com</t>
  </si>
  <si>
    <t>mcalo@ups.com</t>
  </si>
  <si>
    <t>mcaloca@ups.com</t>
  </si>
  <si>
    <t>acalomino@ups.com</t>
  </si>
  <si>
    <t>jcalonge@ups.com</t>
  </si>
  <si>
    <t>clydalyn@ups.com</t>
  </si>
  <si>
    <t>cnheillepatrick@ups.com</t>
  </si>
  <si>
    <t>hcalpbinici@ups.com</t>
  </si>
  <si>
    <t>rcalpo@ups.com</t>
  </si>
  <si>
    <t>jcalrowjr@ups.com</t>
  </si>
  <si>
    <t>scalrow@ups.com</t>
  </si>
  <si>
    <t>ecalsinborda@ups.com</t>
  </si>
  <si>
    <t>calsojennie@ups.com</t>
  </si>
  <si>
    <t>gcalsovalle@ups.com</t>
  </si>
  <si>
    <t>pcaltagerone@ups.com</t>
  </si>
  <si>
    <t>dcaltana@ups.com</t>
  </si>
  <si>
    <t>hcalton@ups.com</t>
  </si>
  <si>
    <t>jcalton@ups.com</t>
  </si>
  <si>
    <t>tcalton@ups.com</t>
  </si>
  <si>
    <t>calugcugcarinac@ups.com</t>
  </si>
  <si>
    <t>calum.sharp@ge.com</t>
  </si>
  <si>
    <t>crodelyn@ups.com</t>
  </si>
  <si>
    <t>jcalvachi@ups.com</t>
  </si>
  <si>
    <t>dcalvagna@ups.com</t>
  </si>
  <si>
    <t>icalvello@ups.com</t>
  </si>
  <si>
    <t>josephcalvello@ups.com</t>
  </si>
  <si>
    <t>calventan@ups.com</t>
  </si>
  <si>
    <t>clcalvert@ups.com</t>
  </si>
  <si>
    <t>christophercalvert@ups.com</t>
  </si>
  <si>
    <t>ccalvert@ups.com</t>
  </si>
  <si>
    <t>dcalvert@ups.com</t>
  </si>
  <si>
    <t>dxcalvert@ups.com</t>
  </si>
  <si>
    <t>scalvert@ups.com</t>
  </si>
  <si>
    <t>acalvi@ups.com</t>
  </si>
  <si>
    <t>lcalvillo@ups.com</t>
  </si>
  <si>
    <t>ncalvillo@ups.com</t>
  </si>
  <si>
    <t>ccalvin@ups.com</t>
  </si>
  <si>
    <t>hcalvin@ups.com</t>
  </si>
  <si>
    <t>CALVIN.KOELLER@LANDSEND.COM</t>
  </si>
  <si>
    <t>kcalvin@ups.com</t>
  </si>
  <si>
    <t>ncalvin@ups.com</t>
  </si>
  <si>
    <t>rcalvin@ups.com</t>
  </si>
  <si>
    <t>mcalvird@ups.com</t>
  </si>
  <si>
    <t>bcalvo@ups.com</t>
  </si>
  <si>
    <t>dcalvocalvo@ups.com</t>
  </si>
  <si>
    <t>dcalvo@ups.com</t>
  </si>
  <si>
    <t>mcalvo@ups.com</t>
  </si>
  <si>
    <t>bcalvoplatas@ups.com</t>
  </si>
  <si>
    <t>angiecalvosandoval@ups.com</t>
  </si>
  <si>
    <t>scalvo@ups.com</t>
  </si>
  <si>
    <t>tcalvo@ups.com</t>
  </si>
  <si>
    <t>fcalzadaiii@ups.com</t>
  </si>
  <si>
    <t>lcalzadilla@ups.com</t>
  </si>
  <si>
    <t>bcalzado@ups.com</t>
  </si>
  <si>
    <t>ycam@ups.com</t>
  </si>
  <si>
    <t>bcamacho@ups.com</t>
  </si>
  <si>
    <t>carlosenriquecamacho@ups.com</t>
  </si>
  <si>
    <t>ccamacho@ups.com</t>
  </si>
  <si>
    <t>ccamacho1@ups.com</t>
  </si>
  <si>
    <t>christophercamacho@ups.com</t>
  </si>
  <si>
    <t>Email List Recipients Note:</t>
  </si>
  <si>
    <t>In order to edit the email recipients, please open a new and blank copy of the Post Sort Report on the PE drive. When a new copy is opened, a button will appear above that allows the Email List to be edited. Use the form to add a new email address or delete an old email address from the list. When the address list is edited, the program will save a copy of the Post Sort Report in place of the current template so that the list will be updated.</t>
  </si>
  <si>
    <t>INSTRUCTIONS:</t>
  </si>
  <si>
    <t>Building Mnemonic:</t>
  </si>
  <si>
    <t>Building Name:</t>
  </si>
  <si>
    <t>UTLKE</t>
  </si>
  <si>
    <t>Utah Regional Hub</t>
  </si>
  <si>
    <t>BaSE-RELATED OTE COUNTS</t>
  </si>
  <si>
    <t>Workbook Password:</t>
  </si>
  <si>
    <t>Trending Server Bigs URL:</t>
  </si>
  <si>
    <t>Trending Server Smalls URL:</t>
  </si>
  <si>
    <t>Trending Bigs Username:</t>
  </si>
  <si>
    <t>Trending Bigs Password:</t>
  </si>
  <si>
    <t>Trending Smalls Username:</t>
  </si>
  <si>
    <t>Trending Smalls Password:</t>
  </si>
  <si>
    <t>Variable</t>
  </si>
  <si>
    <t>Value:</t>
  </si>
  <si>
    <t>Example:</t>
  </si>
  <si>
    <t>http://XX.XX.XX.XX/trending_bigs/</t>
  </si>
  <si>
    <t>http://XX.XX.XX.XX/trending_ss/</t>
  </si>
  <si>
    <t>Note: The last "/" on the URL is required.</t>
  </si>
  <si>
    <t>Sorters Used Verified</t>
  </si>
  <si>
    <t>Check Sheet: 1 = Cell Verified  0 = Cell Unverified/Incorrect</t>
  </si>
  <si>
    <t>Date</t>
  </si>
  <si>
    <t>Start Time</t>
  </si>
  <si>
    <t>End Time</t>
  </si>
  <si>
    <t>Duration</t>
  </si>
  <si>
    <t>Reported by</t>
  </si>
  <si>
    <t>Material</t>
  </si>
  <si>
    <t>Light Curtain</t>
  </si>
  <si>
    <t>Matrix Modules</t>
  </si>
  <si>
    <t>Bottom Mirror</t>
  </si>
  <si>
    <t>Comments</t>
  </si>
  <si>
    <t>Leaker Tracker Drop Down Lists</t>
  </si>
  <si>
    <t>PS01</t>
  </si>
  <si>
    <t>PS02</t>
  </si>
  <si>
    <t>PS03</t>
  </si>
  <si>
    <t>PS04</t>
  </si>
  <si>
    <t>PS05</t>
  </si>
  <si>
    <t>PS06</t>
  </si>
  <si>
    <t>PS07</t>
  </si>
  <si>
    <t>PS08</t>
  </si>
  <si>
    <t>PS09</t>
  </si>
  <si>
    <t>PD01</t>
  </si>
  <si>
    <t>PD02</t>
  </si>
  <si>
    <t>PD03</t>
  </si>
  <si>
    <t>PD04</t>
  </si>
  <si>
    <t>PD05</t>
  </si>
  <si>
    <t>PD06</t>
  </si>
  <si>
    <t>PD07</t>
  </si>
  <si>
    <t>PD08</t>
  </si>
  <si>
    <t>PD09</t>
  </si>
  <si>
    <t>PF1</t>
  </si>
  <si>
    <t>PF2</t>
  </si>
  <si>
    <t>PF3</t>
  </si>
  <si>
    <t>PF4</t>
  </si>
  <si>
    <t>DAF1</t>
  </si>
  <si>
    <t>SSF1</t>
  </si>
  <si>
    <t>SSF2</t>
  </si>
  <si>
    <t>Operations</t>
  </si>
  <si>
    <t>BaSE</t>
  </si>
  <si>
    <t>Paint</t>
  </si>
  <si>
    <t>Oil</t>
  </si>
  <si>
    <t>Other</t>
  </si>
  <si>
    <t>OK</t>
  </si>
  <si>
    <t>Cleaned</t>
  </si>
  <si>
    <t>Painted</t>
  </si>
  <si>
    <t>Replaced</t>
  </si>
  <si>
    <t>Detergent</t>
  </si>
  <si>
    <t>PE Drive Network Location:</t>
  </si>
  <si>
    <t>\\svrpXXXXXXXX\pe$\</t>
  </si>
  <si>
    <t>Instructions</t>
  </si>
  <si>
    <r>
      <t xml:space="preserve">This sheet contains all the customization options for the workbook. This will allow you to customize according to your building. </t>
    </r>
    <r>
      <rPr>
        <b/>
        <sz val="11"/>
        <color rgb="FFFF0000"/>
        <rFont val="Calibri"/>
        <family val="2"/>
        <scheme val="minor"/>
      </rPr>
      <t xml:space="preserve">Please note the following items:
</t>
    </r>
    <r>
      <rPr>
        <b/>
        <sz val="11"/>
        <color theme="1"/>
        <rFont val="Calibri"/>
        <family val="2"/>
        <scheme val="minor"/>
      </rPr>
      <t xml:space="preserve">- </t>
    </r>
    <r>
      <rPr>
        <sz val="11"/>
        <color theme="1"/>
        <rFont val="Calibri"/>
        <family val="2"/>
        <scheme val="minor"/>
      </rPr>
      <t>The Workbook Password field above has the text colored white just as a way to help hide the password in cell B3. That is why it is not visible without clicking on it. When you click on cell B3, you will see the value of the password in the editing bar at the top of the sheet.
- Examples are provided in the column labeled examples. Do not copy them exactly, they will not work. They are meant as formatting guides only and your building will be different.
- The table to the right with the Leaker Tracker Drop Down Lists can be edited/added to to change the values that appear in the dropdown menus for the Leaker Tracker Report Form. The form for reporting leakers is found on the front report page by clicking the button in the top right corner of the form.
- As of this iteration, the smalls stats retrieval does not currently function. The above values for it are there for placeholders currently.</t>
    </r>
  </si>
  <si>
    <t>M4</t>
  </si>
  <si>
    <t>M5</t>
  </si>
  <si>
    <t>M6</t>
  </si>
  <si>
    <t>When auto stats are used, any data that is within the areas that are selected by the checkboxes will be overwritten and not retrievable. Only pull stats that you need.</t>
  </si>
  <si>
    <t>Administration Password:</t>
  </si>
  <si>
    <t>user</t>
  </si>
  <si>
    <t>COORA</t>
  </si>
  <si>
    <t>Colorado Aurora Hub</t>
  </si>
  <si>
    <t>COORA UPS</t>
  </si>
  <si>
    <t>http://10.29.136.44/trending_bigs/</t>
  </si>
  <si>
    <t>http://10.29.136.44/trending_ss/</t>
  </si>
  <si>
    <t>trendingCOORA</t>
  </si>
  <si>
    <t>SAI 1</t>
  </si>
  <si>
    <t>SAI 2</t>
  </si>
  <si>
    <t>Tilt Tray</t>
  </si>
  <si>
    <t>Machine Performance Index</t>
  </si>
  <si>
    <t>BaSE MPI</t>
  </si>
  <si>
    <t>Side by Side</t>
  </si>
  <si>
    <t>NO SORT MSG</t>
  </si>
  <si>
    <t>SPACING ERROR</t>
  </si>
  <si>
    <t>LANE NOT AVAIL</t>
  </si>
  <si>
    <t>OVER SIZED</t>
  </si>
  <si>
    <t>Total Recirc</t>
  </si>
  <si>
    <t>Net Sorted</t>
  </si>
  <si>
    <t>Machine Performance</t>
  </si>
  <si>
    <t>Building Total</t>
  </si>
  <si>
    <t>Total Diverted Packages</t>
  </si>
  <si>
    <t>PS/PD MPI</t>
  </si>
  <si>
    <t>Building MPI</t>
  </si>
  <si>
    <t>Tilt Tray Total Recirc</t>
  </si>
  <si>
    <t>SAI OTE</t>
  </si>
  <si>
    <t>SAI Lane Not Available</t>
  </si>
  <si>
    <t>SAI Spacing Error</t>
  </si>
  <si>
    <t>SAI Side by Side</t>
  </si>
  <si>
    <t>SAI Oversized</t>
  </si>
  <si>
    <t>SAI Lost Tracking</t>
  </si>
  <si>
    <t>SAI MPI</t>
  </si>
  <si>
    <t>PD &amp; METRO Statistics</t>
  </si>
  <si>
    <t>Small Sort Statistics</t>
  </si>
  <si>
    <t xml:space="preserve">Daily Dash </t>
  </si>
  <si>
    <t>Sort Plan Loaded</t>
  </si>
  <si>
    <t>TT Pretrip</t>
  </si>
  <si>
    <t>Test Packages</t>
  </si>
  <si>
    <t>Tilt Tray MPI</t>
  </si>
  <si>
    <t>PSRC</t>
  </si>
  <si>
    <t>To DA %</t>
  </si>
  <si>
    <r>
      <t xml:space="preserve">Do not edit </t>
    </r>
    <r>
      <rPr>
        <b/>
        <sz val="14"/>
        <color theme="1"/>
        <rFont val="Calibri"/>
        <family val="2"/>
        <scheme val="minor"/>
      </rPr>
      <t>GREY CELLS</t>
    </r>
  </si>
  <si>
    <t>OTE %</t>
  </si>
  <si>
    <t>No Read %</t>
  </si>
  <si>
    <t>Spacing Error %</t>
  </si>
  <si>
    <t>Chute Full Packages %</t>
  </si>
  <si>
    <t>Lost in Tracking %</t>
  </si>
  <si>
    <t>No PLC ID %</t>
  </si>
  <si>
    <t>Diverter Failed %</t>
  </si>
  <si>
    <t>Preload Email</t>
  </si>
  <si>
    <t>Day/ Twi Email</t>
  </si>
  <si>
    <t>rwoodman@ups.com</t>
  </si>
  <si>
    <t>jyounce@ups.com</t>
  </si>
  <si>
    <t>hwashington@ups.com</t>
  </si>
  <si>
    <t>jrrobles@ups.com</t>
  </si>
  <si>
    <t>relmessan@ups.com</t>
  </si>
  <si>
    <t>ashafenberg@ups.com</t>
  </si>
  <si>
    <t>ngustafson@ups.com</t>
  </si>
  <si>
    <t>crathbun@ups.com</t>
  </si>
  <si>
    <t>The button below can be used to pull stats from CFx PDF reports as a last resort. Click the "Instructions" button below for help.</t>
  </si>
  <si>
    <t>Top 3 Lowest Performance Ranked Sorters</t>
  </si>
  <si>
    <t>Sort Calls</t>
  </si>
  <si>
    <t>TT</t>
  </si>
  <si>
    <t>\\svrp000aaa7d\users\</t>
  </si>
  <si>
    <t>Off the end</t>
  </si>
  <si>
    <t>Inducted Volume</t>
  </si>
  <si>
    <t>Scanned Volume</t>
  </si>
  <si>
    <t xml:space="preserve">Take Away Not Running </t>
  </si>
  <si>
    <t>Chute Full Pkgs</t>
  </si>
  <si>
    <t>Crossover</t>
  </si>
  <si>
    <t>Derate</t>
  </si>
  <si>
    <t>Bag Full</t>
  </si>
  <si>
    <t>Bag Closed</t>
  </si>
  <si>
    <t>Failed Divert</t>
  </si>
  <si>
    <t>Scanned volume</t>
  </si>
  <si>
    <t>UPSCOORAstats</t>
  </si>
  <si>
    <t>Twi</t>
  </si>
  <si>
    <t>Sup/Specialist :</t>
  </si>
  <si>
    <t>Call #</t>
  </si>
  <si>
    <t>Sort Call Total</t>
  </si>
  <si>
    <t>Operational Downtime</t>
  </si>
  <si>
    <t>Mechanic(s)/Specialist(s)</t>
  </si>
  <si>
    <t>Fault</t>
  </si>
  <si>
    <t>Criticality</t>
  </si>
  <si>
    <t>Multiple Before Call</t>
  </si>
  <si>
    <t>Reset From YC at Issue</t>
  </si>
  <si>
    <t>Personnel Req. (1st Responder)</t>
  </si>
  <si>
    <t>Personnel Req. (2nd Responder)</t>
  </si>
  <si>
    <t>Most Common Cause</t>
  </si>
  <si>
    <t>Other Causes</t>
  </si>
  <si>
    <t>Common Remedy</t>
  </si>
  <si>
    <t>Approx. Time to Fix</t>
  </si>
  <si>
    <t>Fault Trigger</t>
  </si>
  <si>
    <t>Sorters</t>
  </si>
  <si>
    <t>Internal Jam</t>
  </si>
  <si>
    <t>No</t>
  </si>
  <si>
    <t>Slats Popped from Chain and hit internal jam</t>
  </si>
  <si>
    <t>Overgood lodged in slats hit the Limit Switch</t>
  </si>
  <si>
    <t>R&amp;R damaged slats and shoes</t>
  </si>
  <si>
    <t>0:15-1:00</t>
  </si>
  <si>
    <t>Prox sensor losses positive input from limit switch</t>
  </si>
  <si>
    <t>Exit-Popup Rollers</t>
  </si>
  <si>
    <t>FOD/Small Package Lifted Exit Popup Rollers</t>
  </si>
  <si>
    <t>Damaged Prox Sensor/Slats struck assembly during a crash</t>
  </si>
  <si>
    <t>DEFOD the rollers and RESET at MCP</t>
  </si>
  <si>
    <t>Prox sensor looses positive input from roller assembly</t>
  </si>
  <si>
    <t>Missing Pin Fault</t>
  </si>
  <si>
    <t>Shoes came off guide and missed the Pin Detection Proximity Switch</t>
  </si>
  <si>
    <t>Shoes dislodged during Sorter Crash</t>
  </si>
  <si>
    <t>Find Damaged Shoes/Components and replace</t>
  </si>
  <si>
    <t>0:10-0:30</t>
  </si>
  <si>
    <t>Prox sensors located along the sorter didn't see a pin when one was expected.</t>
  </si>
  <si>
    <t>Missing Bearing Faults</t>
  </si>
  <si>
    <t>Broken Shoes didn't return to the home side at discharge end of sorter</t>
  </si>
  <si>
    <t>Shoes dislodged during Sorter Crash/Loose wires</t>
  </si>
  <si>
    <t>Two independent proxy sensors failed to detect a shoe bearing at sensor point</t>
  </si>
  <si>
    <t>Missing Bearing Sensor Heath Faults</t>
  </si>
  <si>
    <t>Missing Bearing Sensors were damaged</t>
  </si>
  <si>
    <t>Loose wires</t>
  </si>
  <si>
    <t>Replace Damaged Sensors</t>
  </si>
  <si>
    <t>One prox sensor was not sending a signal for more one shoe.</t>
  </si>
  <si>
    <t>Chain Slack Fault</t>
  </si>
  <si>
    <t>FOD triggered/blocking photo eye under sorter discharge</t>
  </si>
  <si>
    <t>Bad Misaligned PE/Excess Chain Slack/Broken Chain</t>
  </si>
  <si>
    <t xml:space="preserve"> DEFOD the Discharge Guard and reset at MCP</t>
  </si>
  <si>
    <t>The photo eye under the discharge end of sorter is blocked (instantaneous)</t>
  </si>
  <si>
    <t>Divert Fault</t>
  </si>
  <si>
    <t>Yes</t>
  </si>
  <si>
    <t>Loose Connections</t>
  </si>
  <si>
    <t>Cable Malfunction/Mechanical Failure</t>
  </si>
  <si>
    <t>Reseat all the cable connectors</t>
  </si>
  <si>
    <t>Package is sensed at the end of the sorter, but PLC directed the divert module to activate for package.</t>
  </si>
  <si>
    <t>Air Pressure Sensor Fault</t>
  </si>
  <si>
    <t>Drop in Pressure along Sorter Air Supply Feed</t>
  </si>
  <si>
    <t>Leak along line, issue with compressor, bad sensor</t>
  </si>
  <si>
    <t>Quick Visual Check and Reset at MCP.</t>
  </si>
  <si>
    <t>The sensor drops below the acceptable threshold</t>
  </si>
  <si>
    <t>Under speed Faults</t>
  </si>
  <si>
    <t>The sorter took longer than usual to come to speed</t>
  </si>
  <si>
    <t>VFD malfunction, motor issues</t>
  </si>
  <si>
    <t>Reset from YC</t>
  </si>
  <si>
    <t>Sorter encoder registered speed less than the accepted threshold for a certain period of time.</t>
  </si>
  <si>
    <t>Shoe Out of Position</t>
  </si>
  <si>
    <t>Either</t>
  </si>
  <si>
    <t>A package shifted putting shoes on the wrong side of it</t>
  </si>
  <si>
    <t>Misaligned PE</t>
  </si>
  <si>
    <t>Verify Sorter is not crashed and reset at MCP</t>
  </si>
  <si>
    <t>Sorter saw that a shoe was on the wrong side of the package window (Very complicated logic)</t>
  </si>
  <si>
    <t>Mainline Conveyors</t>
  </si>
  <si>
    <t>Photo eye was knocked by package or dirty</t>
  </si>
  <si>
    <t>Bad Wiring, belt wide flow</t>
  </si>
  <si>
    <t>A&amp;A or Clean Photo eye</t>
  </si>
  <si>
    <t>PLC didn't see the clear signal for that belt for a certain interval (from 5s to 45s)</t>
  </si>
  <si>
    <t>Belt Won’t Reset/Slipping</t>
  </si>
  <si>
    <t>Overweight/Loose Belt</t>
  </si>
  <si>
    <t>FOD in Pulley, Lubrication along belt</t>
  </si>
  <si>
    <t>Remove Belt/Tighten Take-Up</t>
  </si>
  <si>
    <t>0:10-0:20</t>
  </si>
  <si>
    <t>No Controls Fault</t>
  </si>
  <si>
    <t>Loud Noise</t>
  </si>
  <si>
    <t>Many Causes</t>
  </si>
  <si>
    <t>Remedies Vary</t>
  </si>
  <si>
    <t>Varies</t>
  </si>
  <si>
    <t>Motor Starter Auxiliary Fault</t>
  </si>
  <si>
    <t>Overweight</t>
  </si>
  <si>
    <t>Bad motor or VFD component</t>
  </si>
  <si>
    <t>Remove weight at reset via HMI</t>
  </si>
  <si>
    <t>VFD unit sent a fault back to the PLC via the ring network. The kind of fault can be found on the HMI under the belt VFD setting.</t>
  </si>
  <si>
    <t>MSP/VFD Failure</t>
  </si>
  <si>
    <t>Bad motor or electrical component</t>
  </si>
  <si>
    <t>Remove weight and have mechanic reset the MSP or put into Bypass.</t>
  </si>
  <si>
    <t>The contactor on the thermal overload indicates there was a thermal overload</t>
  </si>
  <si>
    <t>Zero Speed Detect</t>
  </si>
  <si>
    <t>Overweight/Jam/False Positive</t>
  </si>
  <si>
    <t>Loose Belt, Bad Encoder</t>
  </si>
  <si>
    <t>Reset from YC; remove volume if necessary</t>
  </si>
  <si>
    <t>PLC didn't see the photo eye change state when sampled more than once in a certain amount of time (~1.5s)</t>
  </si>
  <si>
    <t>Panel DSC Off</t>
  </si>
  <si>
    <t>Belt Knifed Off</t>
  </si>
  <si>
    <t>Bad Contact/cabling</t>
  </si>
  <si>
    <t>Verify everyone is off belt and restore power to belt</t>
  </si>
  <si>
    <t xml:space="preserve">The aux. contactor on the disconnect is not sending signal </t>
  </si>
  <si>
    <t>Comms to VFD</t>
  </si>
  <si>
    <t>Cable is loose/Bad between VFD and ETAP</t>
  </si>
  <si>
    <t>Issue in Ring Network/Bad VFD</t>
  </si>
  <si>
    <t>A&amp;A/R&amp;R Cable</t>
  </si>
  <si>
    <t>PLC does not get a signal from the VFD over the ring network.</t>
  </si>
  <si>
    <t>Encoder Failure</t>
  </si>
  <si>
    <t>False Positive</t>
  </si>
  <si>
    <t>Bad Encoder/Wiring/Belting</t>
  </si>
  <si>
    <t>PLC didn't receive encoder pulses while belt was supposed to be running.</t>
  </si>
  <si>
    <t>Small Sort</t>
  </si>
  <si>
    <t>Tray not Reset</t>
  </si>
  <si>
    <t>Tray didn't return to level position before induct station</t>
  </si>
  <si>
    <t>Bad Sensors</t>
  </si>
  <si>
    <t>Manually return the tray to raised position</t>
  </si>
  <si>
    <t>Limit switch was triggered at beginning of the induct station</t>
  </si>
  <si>
    <t>Wedge Fault</t>
  </si>
  <si>
    <t>Bad Wedge</t>
  </si>
  <si>
    <t>Bad Sensors/Wiring</t>
  </si>
  <si>
    <t>Replace the wedge (usually done after the sort during downtime; disable destination for the remainder of the sort)</t>
  </si>
  <si>
    <t>Wedge pulse counter gets to 10 pulses after solenoid is energized and does not see the wedge return to home.</t>
  </si>
  <si>
    <t>Destination Fault</t>
  </si>
  <si>
    <t>Wedge pulse counter gets to 10 pulses after solenoid is energized and does not see the wedge extended.</t>
  </si>
  <si>
    <t>IOC Fault</t>
  </si>
  <si>
    <t>Operator</t>
  </si>
  <si>
    <t>Item on the cover of the Tilt Tray</t>
  </si>
  <si>
    <t>Fod struck limit switch</t>
  </si>
  <si>
    <t>Operations remove the package and reset from YC</t>
  </si>
  <si>
    <t>Limit switch before camera tunnel was stuck</t>
  </si>
  <si>
    <t>Emergency Pull Cord (EPC)</t>
  </si>
  <si>
    <t>Someone pulled the emergency pull cord</t>
  </si>
  <si>
    <t>Sticky EPC Reset Station</t>
  </si>
  <si>
    <t>Operations to reset the EPC</t>
  </si>
  <si>
    <t>Safety relay ring was broken at EPC station</t>
  </si>
  <si>
    <t>Long Range Photo eye (LRPE)</t>
  </si>
  <si>
    <t>Packages backed up on bin slide blocked the photo eye</t>
  </si>
  <si>
    <t>Operations to remove the packages and reset from YC</t>
  </si>
  <si>
    <t>Long Range photo eye stopped receiving signal for 5 seconds</t>
  </si>
  <si>
    <t>Missing Activation Wheel</t>
  </si>
  <si>
    <t>Broken Activation wheel</t>
  </si>
  <si>
    <t>Bad Wiring/Sensor</t>
  </si>
  <si>
    <t>Will auto disable tray and run; Replace the activation wheel during downtime</t>
  </si>
  <si>
    <t>MAW PE doesn't get flagged by a tray</t>
  </si>
  <si>
    <t>Visicon/Polaris</t>
  </si>
  <si>
    <t>Camera Fault</t>
  </si>
  <si>
    <t>Bad Network Switch</t>
  </si>
  <si>
    <t>Secure Connections</t>
  </si>
  <si>
    <t>Visicon stopped receiving data from one or more cameras</t>
  </si>
  <si>
    <t>Polaris Fault</t>
  </si>
  <si>
    <t>Specialist/ Mechanic</t>
  </si>
  <si>
    <t>Blocked Photo eye</t>
  </si>
  <si>
    <t>Many Internal Visicon/Polaris Faults</t>
  </si>
  <si>
    <t>Operations clear photo eye</t>
  </si>
  <si>
    <t>Visicon/Polaris creates internal fault code for Visicon/Polaris unit, and sends it to the PLC</t>
  </si>
  <si>
    <t>Matrix Module Faulted</t>
  </si>
  <si>
    <t>Tracked Belt</t>
  </si>
  <si>
    <t>Communication Faults</t>
  </si>
  <si>
    <t>Only call if 3 or more are faulted; belt shuts off at 5 or more. Track matrix modules.</t>
  </si>
  <si>
    <t>Visicon creates internal fault code for a matrix module and sends information to PLC</t>
  </si>
  <si>
    <t>Camera Tunnel</t>
  </si>
  <si>
    <t>10 Consecutive Camera Data Faults</t>
  </si>
  <si>
    <t>FOD at Photo eye</t>
  </si>
  <si>
    <t>Misaligned PE; Sort Logic Issues</t>
  </si>
  <si>
    <t>Clean Photo eye</t>
  </si>
  <si>
    <t>Camera tunnel trigger PE is flagged 10 times without associated PLC photo eye trigger.</t>
  </si>
  <si>
    <t>10 Consecutive Sort Data Faults</t>
  </si>
  <si>
    <t>PLC Photo eye in camera tunnel is flagged 10 times without associated camera tunnel trigger PE.</t>
  </si>
  <si>
    <t>10 Consecutive PLC ID faults</t>
  </si>
  <si>
    <t>Misc.</t>
  </si>
  <si>
    <t>Belt Tracking Fault</t>
  </si>
  <si>
    <t>Belt is tracking over</t>
  </si>
  <si>
    <t>Bulk or FOD causing a potential roll over of the belt</t>
  </si>
  <si>
    <t>Dispatch Mechanic to Investigate, potential overide with a key</t>
  </si>
  <si>
    <t>2-5:00</t>
  </si>
  <si>
    <t>Operations will report issues with extendos. Faults won't show on HMI.</t>
  </si>
  <si>
    <t>Extendo Issues</t>
  </si>
  <si>
    <t>Various Issues</t>
  </si>
  <si>
    <t>Dispatch Mechanic to Investigate</t>
  </si>
  <si>
    <t>High OTE</t>
  </si>
  <si>
    <t>No UPSID Received</t>
  </si>
  <si>
    <t>Something on the belt flagging the PLC PE without a package</t>
  </si>
  <si>
    <t>Timing/Encoder issues; changes to SICK programming</t>
  </si>
  <si>
    <t>DEFOD the belt/Trim the belt flagging the PE</t>
  </si>
  <si>
    <t>The PLC is not receiving the UPSID from the camera tunnel for a given package.</t>
  </si>
  <si>
    <t>Misaligned Photo eye</t>
  </si>
  <si>
    <t>FOD stuck to belt</t>
  </si>
  <si>
    <t>Realign and recalibrate PE</t>
  </si>
  <si>
    <t>The photo eye was not flagged for the expected duration in the package tracking window.</t>
  </si>
  <si>
    <t>Belt tender letting SxS's through</t>
  </si>
  <si>
    <t>Misaligned PE, FOD stuck to last belt</t>
  </si>
  <si>
    <t>Coach Belt tender and alert operations to the issue</t>
  </si>
  <si>
    <t>The last photo eye on the sorter parasitic belt detected two flags too close to each other for sortation.</t>
  </si>
  <si>
    <t>Shifted Parcel</t>
  </si>
  <si>
    <t>Dirty Encoders, Slippery Power turn</t>
  </si>
  <si>
    <t>The photo eye was not flagged in the package tracking window (on PE' after pre-divert point).</t>
  </si>
  <si>
    <t>Shoe Out of Position (OTE)</t>
  </si>
  <si>
    <t>Bad Predivert</t>
  </si>
  <si>
    <t>Realign PE</t>
  </si>
  <si>
    <t>A shoe was detected on the wrong side of the actual package (detected from the PE).</t>
  </si>
  <si>
    <t>Mainline Conveyors (Non Alarm)</t>
  </si>
  <si>
    <t>Photo eye Keeps Flagging</t>
  </si>
  <si>
    <t>PE is being flagged by things besides packages (belt fray, vibrations, etc.)</t>
  </si>
  <si>
    <t>Realign and recalibrate the PE</t>
  </si>
  <si>
    <t>NA</t>
  </si>
  <si>
    <t>Operations will call this out when a belt keeps faulting out with little runtime in between</t>
  </si>
  <si>
    <t>Too much weight on belt</t>
  </si>
  <si>
    <t>Bad motor/VFD</t>
  </si>
  <si>
    <t>Remove weight</t>
  </si>
  <si>
    <t>Operations will call this out when they physically see the belt is not moving but the HMI shows it running.</t>
  </si>
  <si>
    <t>Camera Tunnel (Non Alarm)</t>
  </si>
  <si>
    <t>Low Camera Read Rate (below 97%; PRC1/PS14 below 94%)</t>
  </si>
  <si>
    <t>Dirty Mirror</t>
  </si>
  <si>
    <t>Wrong Camera Server; Dirty Encoders</t>
  </si>
  <si>
    <t>Clean the Camera Mirrors</t>
  </si>
  <si>
    <t>The camera tunnel is not able to decode label information from a higher percentage of packages)</t>
  </si>
  <si>
    <t>Entrance/Exit PE Tracking Fault</t>
  </si>
  <si>
    <t>Divert Control Module (DCM) Stuck in open position</t>
  </si>
  <si>
    <t>Belting or other debris flagging photo-eye (PE)</t>
  </si>
  <si>
    <t>Attempt to force divert at open DCM to reset.  May have to inspect/replace DCM. Remove belting or debris causing PE to flag</t>
  </si>
  <si>
    <t>0:05 - 0:40</t>
  </si>
  <si>
    <t>When a PE in a chute or OTE is flagged when it wasn't anticipating a package.</t>
  </si>
  <si>
    <t>Management</t>
  </si>
  <si>
    <t>Mechanics</t>
  </si>
  <si>
    <t>Name</t>
  </si>
  <si>
    <t>Title</t>
  </si>
  <si>
    <t>Phone</t>
  </si>
  <si>
    <t>Avaliability</t>
  </si>
  <si>
    <t>Chad Rathbun</t>
  </si>
  <si>
    <t>Facilities Engineer</t>
  </si>
  <si>
    <t>303-229-1396</t>
  </si>
  <si>
    <t>24/7</t>
  </si>
  <si>
    <t>Don</t>
  </si>
  <si>
    <t>Preload Mech</t>
  </si>
  <si>
    <t>Aramis Walker</t>
  </si>
  <si>
    <t>Training Manager</t>
  </si>
  <si>
    <t>303-358-1764</t>
  </si>
  <si>
    <t>7am-7pm</t>
  </si>
  <si>
    <t xml:space="preserve">Jeff </t>
  </si>
  <si>
    <t>Preload/ Day Mech</t>
  </si>
  <si>
    <t>??</t>
  </si>
  <si>
    <t>West Region Environmental  Team</t>
  </si>
  <si>
    <t>916-300-7188</t>
  </si>
  <si>
    <t>Sean</t>
  </si>
  <si>
    <t>Brian Cox</t>
  </si>
  <si>
    <t>PE Supervisor</t>
  </si>
  <si>
    <t>303-386-6850</t>
  </si>
  <si>
    <t>12pm-12am</t>
  </si>
  <si>
    <t>Denis</t>
  </si>
  <si>
    <t>Noah Taherkhani</t>
  </si>
  <si>
    <t>303-229-2308</t>
  </si>
  <si>
    <t>6am-6pm</t>
  </si>
  <si>
    <t>Derek</t>
  </si>
  <si>
    <t>Day/Twi Mech</t>
  </si>
  <si>
    <t>Benson Tan</t>
  </si>
  <si>
    <t>303-229-0047</t>
  </si>
  <si>
    <t>12am-12pm</t>
  </si>
  <si>
    <t>Jamie</t>
  </si>
  <si>
    <t>Alex Lieberman</t>
  </si>
  <si>
    <t>PE Specialist</t>
  </si>
  <si>
    <t>x9995</t>
  </si>
  <si>
    <t>Day</t>
  </si>
  <si>
    <t>Andrew</t>
  </si>
  <si>
    <t>Night Mech</t>
  </si>
  <si>
    <t>Oriana Pearl-Thomas</t>
  </si>
  <si>
    <t>Preload</t>
  </si>
  <si>
    <t>Mech 8</t>
  </si>
  <si>
    <t>Rema Thomas</t>
  </si>
  <si>
    <t>Mech 9</t>
  </si>
  <si>
    <t>Marie Dianoune</t>
  </si>
  <si>
    <t>PT PE Supervisor</t>
  </si>
  <si>
    <t>x4439</t>
  </si>
  <si>
    <t>Preload/Day</t>
  </si>
  <si>
    <t>DSC</t>
  </si>
  <si>
    <t>Technology help line</t>
  </si>
  <si>
    <t>844-898-6340</t>
  </si>
  <si>
    <t>Thomas Hagen</t>
  </si>
  <si>
    <t>Siemens</t>
  </si>
  <si>
    <t>24 Hr Center</t>
  </si>
  <si>
    <t>800-938-7378</t>
  </si>
  <si>
    <t>Rida Ezznagui</t>
  </si>
  <si>
    <t>Day/Twi</t>
  </si>
  <si>
    <t>Emergency Services</t>
  </si>
  <si>
    <t>PT 4 sup</t>
  </si>
  <si>
    <t xml:space="preserve">Faulted module </t>
  </si>
  <si>
    <t>x</t>
  </si>
  <si>
    <t xml:space="preserve">faulted moduel </t>
  </si>
  <si>
    <t xml:space="preserve">faulted module </t>
  </si>
  <si>
    <t xml:space="preserve">Sort end </t>
  </si>
  <si>
    <t>PS2 VIs</t>
  </si>
  <si>
    <t xml:space="preserve">Visicon Fault </t>
  </si>
  <si>
    <t>Faulted Module 704</t>
  </si>
  <si>
    <t xml:space="preserve">Reset </t>
  </si>
  <si>
    <t xml:space="preserve">Hugo </t>
  </si>
  <si>
    <t>SSDA-F1-2</t>
  </si>
  <si>
    <t>VFD Fault</t>
  </si>
  <si>
    <t xml:space="preserve">Put on override </t>
  </si>
  <si>
    <t>Check After Sort</t>
  </si>
  <si>
    <t>Jeff</t>
  </si>
  <si>
    <t>PD1-SNG</t>
  </si>
  <si>
    <t>605/606 Faulted Module</t>
  </si>
  <si>
    <t>Alejandro</t>
  </si>
  <si>
    <t>PS3-SNG</t>
  </si>
  <si>
    <t>105/106 Faulted Module</t>
  </si>
  <si>
    <t>Brian</t>
  </si>
  <si>
    <t>Break 5:45</t>
  </si>
  <si>
    <t>UNL-27</t>
  </si>
  <si>
    <t>BTF</t>
  </si>
  <si>
    <t>Misuse</t>
  </si>
  <si>
    <t>Track</t>
  </si>
  <si>
    <t>PS4-21SR</t>
  </si>
  <si>
    <t>Missing Pin 1 Fault</t>
  </si>
  <si>
    <t>Broken Shoe</t>
  </si>
  <si>
    <t>RANDR</t>
  </si>
  <si>
    <t>Jeff/Brian</t>
  </si>
  <si>
    <t>HSLA3 PS2</t>
  </si>
  <si>
    <t>No air pressure</t>
  </si>
  <si>
    <t>Loose blow head</t>
  </si>
  <si>
    <t>AANDA</t>
  </si>
  <si>
    <t>605/606 Module Faulted</t>
  </si>
  <si>
    <t>PS2-16SR</t>
  </si>
  <si>
    <t>Missing Pin 2 Fault</t>
  </si>
  <si>
    <t>2 Broken Shoes</t>
  </si>
  <si>
    <t>Jeff/Brian/Hugo</t>
  </si>
  <si>
    <t>505/506 Module Faulted</t>
  </si>
  <si>
    <t>PS2-SNG</t>
  </si>
  <si>
    <t>707/708</t>
  </si>
  <si>
    <t>UNL-4</t>
  </si>
  <si>
    <t>PF1A-2</t>
  </si>
  <si>
    <t>Bag stuck</t>
  </si>
  <si>
    <t>UNL-9</t>
  </si>
  <si>
    <t xml:space="preserve">Armondo </t>
  </si>
  <si>
    <t>UNL-21</t>
  </si>
  <si>
    <t>PS3-6</t>
  </si>
  <si>
    <t xml:space="preserve">Stuck Brass fitting </t>
  </si>
  <si>
    <t>Defod</t>
  </si>
  <si>
    <t>:Jeff</t>
  </si>
  <si>
    <t>PD1-16SR</t>
  </si>
  <si>
    <t>Slack Chain Fault</t>
  </si>
  <si>
    <t>Fod block PE</t>
  </si>
  <si>
    <t>PS3-4</t>
  </si>
  <si>
    <t>Fod on Belt</t>
  </si>
  <si>
    <t>Alejandro/Armando</t>
  </si>
  <si>
    <t>UNL-28</t>
  </si>
  <si>
    <t>PD1-17SR</t>
  </si>
  <si>
    <t>Business card blocking PE</t>
  </si>
  <si>
    <t>Fod Blocking PE</t>
  </si>
  <si>
    <t>Ceaser</t>
  </si>
  <si>
    <t>Armando</t>
  </si>
  <si>
    <t>SSTT</t>
  </si>
  <si>
    <t xml:space="preserve">DEFOD </t>
  </si>
  <si>
    <t>PS5 DAF-JAM PE Not working properly</t>
  </si>
  <si>
    <t>SSF1-8</t>
  </si>
  <si>
    <t>PS3-18PT</t>
  </si>
  <si>
    <t>Plug fault</t>
  </si>
  <si>
    <t>unknown</t>
  </si>
  <si>
    <t>Unplug/Reset</t>
  </si>
  <si>
    <t>Yaco</t>
  </si>
  <si>
    <t>Reset</t>
  </si>
  <si>
    <t>Robert/Yaco</t>
  </si>
  <si>
    <t>Eric</t>
  </si>
  <si>
    <t>PS3-16</t>
  </si>
  <si>
    <t>Blocked PE</t>
  </si>
  <si>
    <t>PS5-21SR</t>
  </si>
  <si>
    <t xml:space="preserve">PS5 DAF-Jam PE Blocked </t>
  </si>
  <si>
    <t>Unknown</t>
  </si>
  <si>
    <t>Disable PE</t>
  </si>
  <si>
    <t>Unknown / Lubed Chains</t>
  </si>
  <si>
    <t>Faulted Modules (601-604 , 701-704)</t>
  </si>
  <si>
    <t>Re-enable</t>
  </si>
  <si>
    <t>Vsicon Fault</t>
  </si>
  <si>
    <t>Re-seat/ Reset</t>
  </si>
  <si>
    <t>PS4-17</t>
  </si>
  <si>
    <t>Tracking Fault</t>
  </si>
  <si>
    <t>Side Pan needs Welding</t>
  </si>
  <si>
    <t>UNL-14</t>
  </si>
  <si>
    <t>PS3-17</t>
  </si>
  <si>
    <t>Out of alignment</t>
  </si>
  <si>
    <t>Adjust</t>
  </si>
  <si>
    <t>Building Reset at 12:05 PM</t>
  </si>
  <si>
    <t xml:space="preserve"> MAINTENANCE MECHANIC SHIFT BID SHEET - SCHED x9</t>
  </si>
  <si>
    <t>All bid and vacation coverage selections must be made by 1200pm April 2nd, 2021       Effective: SUNDAY, 04/04/2021</t>
  </si>
  <si>
    <t>SHIFT</t>
  </si>
  <si>
    <t>DAYS</t>
  </si>
  <si>
    <t>HOURS</t>
  </si>
  <si>
    <t>00</t>
  </si>
  <si>
    <t>01</t>
  </si>
  <si>
    <t>02</t>
  </si>
  <si>
    <t>03</t>
  </si>
  <si>
    <t>04</t>
  </si>
  <si>
    <t>05</t>
  </si>
  <si>
    <t>06</t>
  </si>
  <si>
    <t>07</t>
  </si>
  <si>
    <t>08</t>
  </si>
  <si>
    <t>09</t>
  </si>
  <si>
    <t>MON-FRI</t>
  </si>
  <si>
    <t>3:00-11:30</t>
  </si>
  <si>
    <t>TUE-SAT</t>
  </si>
  <si>
    <t>5:00-13:30</t>
  </si>
  <si>
    <t>13:00-21:30</t>
  </si>
  <si>
    <t>21:00-05:30</t>
  </si>
  <si>
    <t xml:space="preserve"> </t>
  </si>
  <si>
    <t>BID SHIFT</t>
  </si>
  <si>
    <t>VACATION COVERAGE</t>
  </si>
  <si>
    <t>PRINT</t>
  </si>
  <si>
    <t>SIGN</t>
  </si>
  <si>
    <t>Shift 5: Primary Coverage 1 &amp;2. Secondary Coverage 7</t>
  </si>
  <si>
    <t>Don Bruce</t>
  </si>
  <si>
    <t>Shift 6: Primary Coverage 7. Secondary Coverage 1 &amp;2</t>
  </si>
  <si>
    <t>Jeff Setzer</t>
  </si>
  <si>
    <t>COVERAGE ALL WEEK UNLESS OTHERWISE INDICATED</t>
  </si>
  <si>
    <t>Denis Delacruz</t>
  </si>
  <si>
    <t>Sean Cordova</t>
  </si>
  <si>
    <t>Jamie Merjil</t>
  </si>
  <si>
    <t>Derek Haltom</t>
  </si>
  <si>
    <t>PRI(1st)</t>
  </si>
  <si>
    <t>SEC(2nd)</t>
  </si>
  <si>
    <t>TER(3rd)</t>
  </si>
  <si>
    <t>Andrew Fernandez</t>
  </si>
  <si>
    <t>COVERAGE FOR SATURDAY WILL REPLACE MONDAY SHIFT</t>
  </si>
  <si>
    <t>1300-2130</t>
  </si>
  <si>
    <t>INITIAL</t>
  </si>
  <si>
    <t xml:space="preserve">FOR </t>
  </si>
  <si>
    <t>COVERAGE</t>
  </si>
  <si>
    <r>
      <t xml:space="preserve">To run the automated stats retrieval, select the checkboxes below that correspond to the types of stats you would like to generate and click the       "Auto Fill Stats" button to run the report.
</t>
    </r>
    <r>
      <rPr>
        <b/>
        <sz val="11"/>
        <color theme="1"/>
        <rFont val="Calibri"/>
        <family val="2"/>
        <scheme val="minor"/>
      </rPr>
      <t>Please note:</t>
    </r>
    <r>
      <rPr>
        <sz val="11"/>
        <color theme="1"/>
        <rFont val="Calibri"/>
        <family val="2"/>
        <scheme val="minor"/>
      </rPr>
      <t xml:space="preserve"> The stats are typically available to be pulled within a few minutes of a sort being closed in ASX. Typical runtime for pulling the stats is less than 10 seconds.
</t>
    </r>
  </si>
  <si>
    <t>Break Time</t>
  </si>
  <si>
    <t>Recirc</t>
  </si>
  <si>
    <t>Bin Full</t>
  </si>
  <si>
    <t>Bin Closed</t>
  </si>
  <si>
    <t>Thomas</t>
  </si>
  <si>
    <t>Todd</t>
  </si>
  <si>
    <t>DAf1-1</t>
  </si>
  <si>
    <t>T-plate missing segments</t>
  </si>
  <si>
    <t>PS3 Visicon</t>
  </si>
  <si>
    <t>needs reset</t>
  </si>
  <si>
    <t>Abram</t>
  </si>
  <si>
    <t>Door 1</t>
  </si>
  <si>
    <t>Hydraulic system 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</si>
</sst>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42" x14ac:knownFonts="1">
    <font>
      <sz val="11"/>
      <color theme="1"/>
      <name val="Calibri"/>
      <family val="2"/>
      <scheme val="minor"/>
    </font>
    <font>
      <sz val="14"/>
      <color indexed="22"/>
      <name val="Calibri"/>
      <family val="2"/>
    </font>
    <font>
      <b/>
      <sz val="14"/>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1"/>
      <color theme="1" tint="4.9989318521683403E-2"/>
      <name val="Calibri"/>
      <family val="2"/>
      <scheme val="minor"/>
    </font>
    <font>
      <sz val="11"/>
      <color theme="1" tint="4.9989318521683403E-2"/>
      <name val="Calibri"/>
      <family val="2"/>
      <scheme val="minor"/>
    </font>
    <font>
      <b/>
      <sz val="12"/>
      <color theme="1"/>
      <name val="Calibri"/>
      <family val="2"/>
      <scheme val="minor"/>
    </font>
    <font>
      <sz val="12"/>
      <color theme="1"/>
      <name val="Calibri"/>
      <family val="2"/>
      <scheme val="minor"/>
    </font>
    <font>
      <b/>
      <sz val="11"/>
      <color theme="0"/>
      <name val="Calibri"/>
      <family val="2"/>
      <scheme val="minor"/>
    </font>
    <font>
      <b/>
      <sz val="14"/>
      <color theme="1"/>
      <name val="Calibri"/>
      <family val="2"/>
      <scheme val="minor"/>
    </font>
    <font>
      <b/>
      <sz val="18"/>
      <color theme="1"/>
      <name val="Calibri"/>
      <family val="2"/>
      <scheme val="minor"/>
    </font>
    <font>
      <sz val="14"/>
      <color theme="1"/>
      <name val="Calibri"/>
      <family val="2"/>
      <scheme val="minor"/>
    </font>
    <font>
      <sz val="16"/>
      <color theme="1"/>
      <name val="Calibri"/>
      <family val="2"/>
      <scheme val="minor"/>
    </font>
    <font>
      <b/>
      <sz val="11"/>
      <color rgb="FFFF0000"/>
      <name val="Calibri"/>
      <family val="2"/>
      <scheme val="minor"/>
    </font>
    <font>
      <b/>
      <u/>
      <sz val="11"/>
      <color theme="1"/>
      <name val="Calibri"/>
      <family val="2"/>
      <scheme val="minor"/>
    </font>
    <font>
      <sz val="8"/>
      <color rgb="FF000000"/>
      <name val="Segoe UI"/>
      <family val="2"/>
    </font>
    <font>
      <b/>
      <sz val="14"/>
      <color indexed="10"/>
      <name val="Calibri"/>
      <family val="2"/>
      <scheme val="minor"/>
    </font>
    <font>
      <b/>
      <sz val="14"/>
      <color indexed="17"/>
      <name val="Calibri"/>
      <family val="2"/>
      <scheme val="minor"/>
    </font>
    <font>
      <b/>
      <sz val="16"/>
      <color theme="1"/>
      <name val="Calibri"/>
      <family val="2"/>
      <scheme val="minor"/>
    </font>
    <font>
      <sz val="11"/>
      <color rgb="FFFF0000"/>
      <name val="Calibri"/>
      <family val="2"/>
      <scheme val="minor"/>
    </font>
    <font>
      <u/>
      <sz val="11"/>
      <color theme="10"/>
      <name val="Calibri"/>
      <family val="2"/>
      <scheme val="minor"/>
    </font>
    <font>
      <b/>
      <sz val="28"/>
      <color theme="1"/>
      <name val="Calibri"/>
      <family val="2"/>
      <scheme val="minor"/>
    </font>
    <font>
      <sz val="11"/>
      <color theme="0" tint="-4.9989318521683403E-2"/>
      <name val="Calibri"/>
      <family val="2"/>
      <scheme val="minor"/>
    </font>
    <font>
      <sz val="11"/>
      <name val="Calibri"/>
      <family val="2"/>
      <scheme val="minor"/>
    </font>
    <font>
      <b/>
      <sz val="11"/>
      <name val="Calibri"/>
      <family val="2"/>
      <scheme val="minor"/>
    </font>
    <font>
      <b/>
      <sz val="11"/>
      <color rgb="FF000000"/>
      <name val="Calibri"/>
      <family val="2"/>
    </font>
    <font>
      <sz val="11"/>
      <color rgb="FF000000"/>
      <name val="Calibri"/>
      <family val="2"/>
    </font>
    <font>
      <sz val="11"/>
      <color rgb="FFFF0000"/>
      <name val="Calibri"/>
      <family val="2"/>
    </font>
    <font>
      <b/>
      <sz val="11"/>
      <color rgb="FFFF0000"/>
      <name val="Calibri"/>
      <family val="2"/>
    </font>
    <font>
      <b/>
      <sz val="8"/>
      <color theme="0"/>
      <name val="Calibri"/>
      <family val="2"/>
      <scheme val="minor"/>
    </font>
    <font>
      <b/>
      <sz val="8"/>
      <color theme="1"/>
      <name val="Calibri"/>
      <family val="2"/>
      <scheme val="minor"/>
    </font>
    <font>
      <sz val="8"/>
      <color theme="1"/>
      <name val="Calibri"/>
      <family val="2"/>
      <scheme val="minor"/>
    </font>
    <font>
      <b/>
      <i/>
      <sz val="8"/>
      <color theme="1"/>
      <name val="Calibri"/>
      <family val="2"/>
      <scheme val="minor"/>
    </font>
    <font>
      <sz val="8"/>
      <name val="Arial"/>
      <family val="2"/>
    </font>
    <font>
      <sz val="16"/>
      <name val="Arial"/>
      <family val="2"/>
    </font>
    <font>
      <b/>
      <sz val="10"/>
      <name val="Arial"/>
      <family val="2"/>
    </font>
    <font>
      <sz val="10"/>
      <color theme="1"/>
      <name val="Calibri"/>
      <family val="2"/>
      <scheme val="minor"/>
    </font>
    <font>
      <b/>
      <sz val="10"/>
      <color theme="1"/>
      <name val="Calibri"/>
      <family val="2"/>
      <scheme val="minor"/>
    </font>
    <font>
      <sz val="9"/>
      <name val="Arial"/>
      <family val="2"/>
    </font>
    <font>
      <sz val="11"/>
      <color theme="0" tint="-0.14999847407452621"/>
      <name val="Calibri"/>
      <family val="2"/>
      <scheme val="minor"/>
    </font>
  </fonts>
  <fills count="26">
    <fill>
      <patternFill patternType="none"/>
    </fill>
    <fill>
      <patternFill patternType="gray125"/>
    </fill>
    <fill>
      <patternFill patternType="solid">
        <fgColor theme="7"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7"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6ECE2"/>
        <bgColor indexed="64"/>
      </patternFill>
    </fill>
    <fill>
      <patternFill patternType="solid">
        <fgColor theme="0"/>
        <bgColor indexed="64"/>
      </patternFill>
    </fill>
    <fill>
      <patternFill patternType="solid">
        <fgColor rgb="FFBDD7EE"/>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theme="6"/>
        <bgColor theme="6"/>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theme="6" tint="0.79998168889431442"/>
        <bgColor indexed="64"/>
      </patternFill>
    </fill>
    <fill>
      <patternFill patternType="solid">
        <fgColor rgb="FFFFFF00"/>
        <bgColor indexed="64"/>
      </patternFill>
    </fill>
    <fill>
      <patternFill patternType="solid">
        <fgColor rgb="FFA5A5A5"/>
      </patternFill>
    </fill>
    <fill>
      <patternFill patternType="solid">
        <fgColor indexed="8"/>
        <bgColor indexed="64"/>
      </patternFill>
    </fill>
    <fill>
      <patternFill patternType="solid">
        <fgColor theme="4" tint="0.39997558519241921"/>
        <bgColor indexed="64"/>
      </patternFill>
    </fill>
    <fill>
      <patternFill patternType="darkDown">
        <bgColor theme="0"/>
      </patternFill>
    </fill>
  </fills>
  <borders count="9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thin">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bottom style="thin">
        <color theme="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s>
  <cellStyleXfs count="8">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4" fillId="0" borderId="0" applyNumberFormat="0" applyFill="0" applyBorder="0" applyAlignment="0" applyProtection="0"/>
    <xf numFmtId="9" fontId="3" fillId="0" borderId="0" applyFont="0" applyFill="0" applyBorder="0" applyAlignment="0" applyProtection="0"/>
    <xf numFmtId="0" fontId="3" fillId="5" borderId="0">
      <alignment horizontal="center" vertical="center"/>
    </xf>
    <xf numFmtId="0" fontId="10" fillId="22" borderId="79" applyNumberFormat="0" applyAlignment="0" applyProtection="0"/>
  </cellStyleXfs>
  <cellXfs count="615">
    <xf numFmtId="0" fontId="0" fillId="0" borderId="0" xfId="0"/>
    <xf numFmtId="0" fontId="0" fillId="0" borderId="0" xfId="0" applyAlignment="1">
      <alignment horizontal="center" vertical="center"/>
    </xf>
    <xf numFmtId="10" fontId="0" fillId="0" borderId="0" xfId="0" applyNumberFormat="1"/>
    <xf numFmtId="0" fontId="5" fillId="0" borderId="0" xfId="0" applyFont="1"/>
    <xf numFmtId="0" fontId="5" fillId="6" borderId="1" xfId="0" applyFont="1" applyFill="1" applyBorder="1"/>
    <xf numFmtId="0" fontId="5" fillId="0" borderId="2" xfId="0" applyFont="1" applyFill="1" applyBorder="1"/>
    <xf numFmtId="0" fontId="5" fillId="0" borderId="3" xfId="0" applyFont="1" applyFill="1" applyBorder="1"/>
    <xf numFmtId="0" fontId="5" fillId="0" borderId="4" xfId="0" applyFont="1" applyFill="1" applyBorder="1"/>
    <xf numFmtId="0" fontId="0" fillId="0" borderId="0" xfId="0" applyAlignment="1">
      <alignment horizontal="center"/>
    </xf>
    <xf numFmtId="0" fontId="0" fillId="0" borderId="0" xfId="0" applyAlignment="1">
      <alignment horizontal="center" wrapText="1"/>
    </xf>
    <xf numFmtId="0" fontId="5" fillId="0" borderId="0" xfId="0" applyFont="1" applyAlignment="1">
      <alignment vertical="center"/>
    </xf>
    <xf numFmtId="10" fontId="0" fillId="0" borderId="0" xfId="0" applyNumberFormat="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0" fillId="0" borderId="0" xfId="0" applyFill="1" applyBorder="1"/>
    <xf numFmtId="0" fontId="5" fillId="0" borderId="10" xfId="0" applyFont="1" applyFill="1" applyBorder="1" applyAlignment="1">
      <alignment horizontal="right"/>
    </xf>
    <xf numFmtId="0" fontId="0" fillId="0" borderId="0" xfId="0" applyFill="1" applyBorder="1" applyAlignment="1">
      <alignment horizontal="right"/>
    </xf>
    <xf numFmtId="0" fontId="0" fillId="0" borderId="13" xfId="0" applyBorder="1" applyAlignment="1">
      <alignment horizontal="center" wrapText="1"/>
    </xf>
    <xf numFmtId="0" fontId="0" fillId="0" borderId="14" xfId="0" applyBorder="1" applyAlignment="1">
      <alignment horizontal="center" wrapText="1"/>
    </xf>
    <xf numFmtId="10" fontId="0" fillId="0" borderId="16" xfId="0" applyNumberFormat="1" applyBorder="1" applyAlignment="1">
      <alignment horizontal="center" wrapText="1"/>
    </xf>
    <xf numFmtId="10" fontId="0" fillId="0" borderId="17" xfId="0" applyNumberFormat="1" applyBorder="1" applyAlignment="1">
      <alignment horizontal="center" wrapText="1"/>
    </xf>
    <xf numFmtId="10" fontId="0" fillId="0" borderId="12" xfId="0" applyNumberFormat="1" applyBorder="1" applyAlignment="1">
      <alignment horizontal="center" wrapText="1"/>
    </xf>
    <xf numFmtId="10" fontId="0" fillId="0" borderId="8" xfId="0" applyNumberFormat="1" applyBorder="1" applyAlignment="1">
      <alignment horizontal="center" wrapText="1"/>
    </xf>
    <xf numFmtId="0" fontId="0" fillId="0" borderId="0" xfId="0" applyFill="1" applyBorder="1" applyAlignment="1">
      <alignment horizontal="center" vertical="center"/>
    </xf>
    <xf numFmtId="10" fontId="0" fillId="0" borderId="5" xfId="0" applyNumberFormat="1" applyFont="1" applyFill="1" applyBorder="1" applyAlignment="1">
      <alignment horizontal="center" vertical="center"/>
    </xf>
    <xf numFmtId="10" fontId="0" fillId="0" borderId="6" xfId="0" applyNumberFormat="1" applyFont="1" applyFill="1" applyBorder="1" applyAlignment="1">
      <alignment horizontal="center" vertical="center"/>
    </xf>
    <xf numFmtId="10" fontId="0" fillId="0" borderId="7" xfId="0" applyNumberFormat="1" applyFont="1" applyFill="1" applyBorder="1" applyAlignment="1">
      <alignment horizontal="center" vertical="center"/>
    </xf>
    <xf numFmtId="0" fontId="0" fillId="0" borderId="0" xfId="0" applyFill="1"/>
    <xf numFmtId="0" fontId="0" fillId="0" borderId="0" xfId="0" applyFont="1" applyFill="1"/>
    <xf numFmtId="0" fontId="0" fillId="0" borderId="0" xfId="0" applyFont="1"/>
    <xf numFmtId="0" fontId="0" fillId="0" borderId="0" xfId="0" applyAlignment="1">
      <alignment wrapText="1"/>
    </xf>
    <xf numFmtId="0" fontId="5" fillId="6" borderId="1" xfId="0" applyFont="1" applyFill="1" applyBorder="1" applyAlignment="1">
      <alignment horizontal="center" vertical="center" wrapText="1"/>
    </xf>
    <xf numFmtId="0" fontId="0" fillId="0" borderId="0" xfId="0" applyAlignment="1">
      <alignment horizontal="center" vertical="center" wrapText="1"/>
    </xf>
    <xf numFmtId="0" fontId="5" fillId="8" borderId="1" xfId="0" applyFont="1" applyFill="1" applyBorder="1" applyProtection="1"/>
    <xf numFmtId="0" fontId="5" fillId="6" borderId="1" xfId="0" applyFont="1" applyFill="1" applyBorder="1" applyAlignment="1" applyProtection="1">
      <alignment horizontal="center" vertical="center" wrapText="1"/>
    </xf>
    <xf numFmtId="10" fontId="5" fillId="6" borderId="1" xfId="0" applyNumberFormat="1" applyFont="1" applyFill="1" applyBorder="1" applyAlignment="1" applyProtection="1">
      <alignment horizontal="center" vertical="center" wrapText="1"/>
    </xf>
    <xf numFmtId="3" fontId="0" fillId="0" borderId="4" xfId="0" applyNumberFormat="1" applyBorder="1" applyAlignment="1" applyProtection="1">
      <alignment horizontal="center"/>
      <protection locked="0"/>
    </xf>
    <xf numFmtId="3" fontId="0" fillId="6" borderId="4" xfId="0" applyNumberFormat="1" applyFill="1" applyBorder="1" applyAlignment="1">
      <alignment horizontal="center"/>
    </xf>
    <xf numFmtId="3" fontId="0" fillId="6" borderId="2" xfId="0" applyNumberFormat="1" applyFill="1" applyBorder="1" applyAlignment="1">
      <alignment horizontal="center"/>
    </xf>
    <xf numFmtId="3" fontId="0" fillId="6" borderId="3" xfId="0" applyNumberFormat="1" applyFill="1" applyBorder="1" applyAlignment="1">
      <alignment horizontal="center"/>
    </xf>
    <xf numFmtId="3" fontId="5" fillId="6" borderId="1" xfId="0" applyNumberFormat="1" applyFont="1" applyFill="1" applyBorder="1" applyAlignment="1">
      <alignment horizontal="center"/>
    </xf>
    <xf numFmtId="3" fontId="0" fillId="6" borderId="6" xfId="0" applyNumberFormat="1" applyFill="1" applyBorder="1" applyAlignment="1">
      <alignment horizontal="center"/>
    </xf>
    <xf numFmtId="3" fontId="0" fillId="8" borderId="4" xfId="0" applyNumberFormat="1" applyFill="1" applyBorder="1" applyAlignment="1">
      <alignment horizontal="center"/>
    </xf>
    <xf numFmtId="3" fontId="5" fillId="8" borderId="1" xfId="0" applyNumberFormat="1" applyFont="1" applyFill="1" applyBorder="1" applyAlignment="1">
      <alignment horizontal="center"/>
    </xf>
    <xf numFmtId="3" fontId="5" fillId="8" borderId="1" xfId="0" applyNumberFormat="1" applyFont="1" applyFill="1" applyBorder="1" applyAlignment="1" applyProtection="1">
      <alignment horizontal="center"/>
    </xf>
    <xf numFmtId="0" fontId="5" fillId="6" borderId="5" xfId="0" applyFont="1" applyFill="1" applyBorder="1" applyAlignment="1">
      <alignment horizontal="center" vertical="center" wrapText="1"/>
    </xf>
    <xf numFmtId="0" fontId="0" fillId="0" borderId="24" xfId="0" applyBorder="1"/>
    <xf numFmtId="0" fontId="0" fillId="0" borderId="25" xfId="0" applyBorder="1"/>
    <xf numFmtId="0" fontId="0" fillId="0" borderId="25" xfId="0" applyBorder="1" applyAlignment="1">
      <alignment wrapText="1"/>
    </xf>
    <xf numFmtId="0" fontId="5" fillId="0" borderId="0" xfId="0" applyFont="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center" vertical="center" wrapText="1"/>
    </xf>
    <xf numFmtId="0" fontId="0" fillId="0" borderId="0" xfId="0" applyBorder="1" applyAlignment="1">
      <alignment horizontal="center" vertical="center" wrapText="1"/>
    </xf>
    <xf numFmtId="0" fontId="0" fillId="0" borderId="0" xfId="0" applyBorder="1"/>
    <xf numFmtId="0" fontId="0" fillId="0" borderId="0" xfId="0" applyBorder="1" applyAlignment="1">
      <alignment wrapText="1"/>
    </xf>
    <xf numFmtId="0" fontId="5" fillId="0" borderId="0" xfId="0" applyNumberFormat="1" applyFont="1" applyAlignment="1" applyProtection="1">
      <alignment horizontal="center" vertical="center" wrapText="1"/>
    </xf>
    <xf numFmtId="21" fontId="0" fillId="0" borderId="0" xfId="0" applyNumberFormat="1" applyAlignment="1" applyProtection="1">
      <alignment horizontal="center" vertical="center"/>
    </xf>
    <xf numFmtId="0" fontId="8" fillId="9" borderId="1" xfId="3" applyFont="1" applyFill="1" applyBorder="1" applyAlignment="1" applyProtection="1">
      <alignment horizontal="center" vertical="center" wrapText="1"/>
    </xf>
    <xf numFmtId="20" fontId="8" fillId="9" borderId="1" xfId="3" applyNumberFormat="1" applyFont="1" applyFill="1" applyBorder="1" applyAlignment="1" applyProtection="1">
      <alignment horizontal="center" vertical="center" wrapText="1"/>
    </xf>
    <xf numFmtId="164" fontId="0" fillId="11" borderId="1" xfId="0" applyNumberFormat="1" applyFont="1" applyFill="1" applyBorder="1" applyAlignment="1" applyProtection="1">
      <alignment horizontal="center" vertical="center" wrapText="1"/>
      <protection locked="0"/>
    </xf>
    <xf numFmtId="164" fontId="0" fillId="11" borderId="1" xfId="0" applyNumberFormat="1" applyFill="1" applyBorder="1" applyAlignment="1" applyProtection="1">
      <alignment horizontal="center" vertical="center" wrapText="1"/>
      <protection locked="0"/>
    </xf>
    <xf numFmtId="20" fontId="0" fillId="11" borderId="1" xfId="0" applyNumberFormat="1" applyFill="1" applyBorder="1" applyAlignment="1" applyProtection="1">
      <alignment horizontal="center" vertical="center" wrapText="1"/>
      <protection locked="0"/>
    </xf>
    <xf numFmtId="0" fontId="5" fillId="12" borderId="1" xfId="0" applyFont="1" applyFill="1" applyBorder="1" applyAlignment="1" applyProtection="1">
      <alignment horizontal="center" vertical="center" wrapText="1"/>
      <protection locked="0"/>
    </xf>
    <xf numFmtId="0" fontId="0" fillId="11" borderId="1" xfId="0" applyFill="1" applyBorder="1" applyAlignment="1" applyProtection="1">
      <alignment horizontal="center" vertical="center" wrapText="1"/>
      <protection locked="0"/>
    </xf>
    <xf numFmtId="0" fontId="4" fillId="0" borderId="0" xfId="4"/>
    <xf numFmtId="0" fontId="10" fillId="14" borderId="50" xfId="0" applyFont="1" applyFill="1" applyBorder="1"/>
    <xf numFmtId="0" fontId="0" fillId="0" borderId="0" xfId="0" applyBorder="1" applyAlignment="1">
      <alignment horizontal="right" vertical="center" wrapText="1"/>
    </xf>
    <xf numFmtId="14" fontId="0" fillId="0" borderId="0" xfId="0" applyNumberFormat="1" applyBorder="1" applyAlignment="1">
      <alignment horizontal="center" vertical="center"/>
    </xf>
    <xf numFmtId="0" fontId="0" fillId="0" borderId="0" xfId="0" applyBorder="1" applyAlignment="1">
      <alignment horizontal="center" vertical="center"/>
    </xf>
    <xf numFmtId="19" fontId="4" fillId="0" borderId="0" xfId="4" applyNumberFormat="1" applyAlignment="1" applyProtection="1">
      <alignment horizontal="center" vertical="center"/>
    </xf>
    <xf numFmtId="0" fontId="0" fillId="0" borderId="0" xfId="0" applyBorder="1" applyAlignment="1">
      <alignment horizontal="center" vertical="center" wrapText="1"/>
    </xf>
    <xf numFmtId="0" fontId="0" fillId="0" borderId="20" xfId="0" applyBorder="1" applyAlignment="1">
      <alignment horizontal="center" vertical="center"/>
    </xf>
    <xf numFmtId="0" fontId="0" fillId="0" borderId="20" xfId="0" applyFont="1" applyBorder="1" applyAlignment="1">
      <alignment horizontal="center" vertical="center"/>
    </xf>
    <xf numFmtId="0" fontId="0" fillId="0" borderId="10" xfId="0" applyBorder="1" applyAlignment="1">
      <alignment vertical="center" wrapText="1"/>
    </xf>
    <xf numFmtId="0" fontId="0" fillId="0" borderId="37"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18" fillId="0" borderId="10" xfId="0" applyFont="1" applyBorder="1" applyAlignment="1" applyProtection="1">
      <alignment horizontal="center" vertical="center" wrapText="1"/>
      <protection locked="0"/>
    </xf>
    <xf numFmtId="0" fontId="19" fillId="0" borderId="37" xfId="0" applyFont="1" applyBorder="1" applyAlignment="1" applyProtection="1">
      <alignment horizontal="center" vertical="center" wrapText="1"/>
      <protection locked="0"/>
    </xf>
    <xf numFmtId="0" fontId="6" fillId="15" borderId="52" xfId="0" applyFont="1" applyFill="1" applyBorder="1"/>
    <xf numFmtId="0" fontId="6" fillId="0" borderId="52" xfId="0" applyFont="1" applyBorder="1"/>
    <xf numFmtId="0" fontId="6" fillId="15" borderId="53" xfId="0" applyFont="1" applyFill="1" applyBorder="1"/>
    <xf numFmtId="0" fontId="6" fillId="0" borderId="53" xfId="0" applyFont="1" applyBorder="1"/>
    <xf numFmtId="0" fontId="6" fillId="16" borderId="0" xfId="0" applyFont="1" applyFill="1" applyBorder="1"/>
    <xf numFmtId="0" fontId="6" fillId="16" borderId="54" xfId="0" applyFont="1" applyFill="1" applyBorder="1"/>
    <xf numFmtId="3" fontId="0" fillId="0" borderId="0" xfId="0" applyNumberFormat="1" applyFill="1" applyBorder="1" applyAlignment="1" applyProtection="1">
      <alignment horizontal="center"/>
      <protection locked="0"/>
    </xf>
    <xf numFmtId="0" fontId="5" fillId="6" borderId="1" xfId="0" applyFont="1" applyFill="1" applyBorder="1" applyAlignment="1">
      <alignment horizontal="center" vertical="center"/>
    </xf>
    <xf numFmtId="3" fontId="5" fillId="6" borderId="1" xfId="0" applyNumberFormat="1" applyFont="1" applyFill="1" applyBorder="1" applyAlignment="1">
      <alignment horizontal="center" vertical="center"/>
    </xf>
    <xf numFmtId="0" fontId="0" fillId="0" borderId="0" xfId="0" applyBorder="1" applyAlignment="1">
      <alignment vertical="center" wrapText="1"/>
    </xf>
    <xf numFmtId="0" fontId="5" fillId="0" borderId="4" xfId="0" applyFont="1" applyFill="1" applyBorder="1" applyAlignment="1" applyProtection="1">
      <alignment horizontal="center" vertical="center"/>
    </xf>
    <xf numFmtId="10" fontId="0" fillId="17" borderId="4" xfId="0" applyNumberFormat="1" applyFill="1" applyBorder="1" applyAlignment="1" applyProtection="1">
      <alignment horizontal="center" vertical="center"/>
    </xf>
    <xf numFmtId="0" fontId="0" fillId="17" borderId="4" xfId="0" applyNumberForma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5" fillId="18" borderId="1" xfId="0" applyFont="1" applyFill="1" applyBorder="1" applyAlignment="1" applyProtection="1">
      <alignment horizontal="center" vertical="center"/>
    </xf>
    <xf numFmtId="10" fontId="5" fillId="18" borderId="1" xfId="5" applyNumberFormat="1" applyFont="1" applyFill="1" applyBorder="1" applyAlignment="1" applyProtection="1">
      <alignment horizontal="center" vertical="center"/>
    </xf>
    <xf numFmtId="0" fontId="5" fillId="18" borderId="1" xfId="0" applyNumberFormat="1" applyFont="1" applyFill="1" applyBorder="1" applyAlignment="1" applyProtection="1">
      <alignment horizontal="center" vertical="center"/>
    </xf>
    <xf numFmtId="0" fontId="5" fillId="18" borderId="1" xfId="0" applyFont="1" applyFill="1" applyBorder="1" applyAlignment="1" applyProtection="1">
      <alignment horizontal="center" vertical="center" wrapText="1"/>
    </xf>
    <xf numFmtId="3" fontId="5" fillId="18" borderId="5" xfId="0" applyNumberFormat="1" applyFont="1" applyFill="1" applyBorder="1" applyAlignment="1">
      <alignment horizontal="center" vertical="center"/>
    </xf>
    <xf numFmtId="10" fontId="0" fillId="18" borderId="6" xfId="0" applyNumberFormat="1" applyFill="1" applyBorder="1" applyAlignment="1" applyProtection="1">
      <alignment horizontal="center" vertical="center"/>
    </xf>
    <xf numFmtId="10" fontId="5" fillId="18" borderId="1" xfId="0" applyNumberFormat="1" applyFont="1" applyFill="1" applyBorder="1" applyAlignment="1" applyProtection="1">
      <alignment horizontal="center" vertical="center"/>
    </xf>
    <xf numFmtId="10" fontId="5" fillId="18" borderId="6" xfId="0" applyNumberFormat="1" applyFont="1" applyFill="1" applyBorder="1" applyAlignment="1" applyProtection="1">
      <alignment horizontal="center" vertical="center"/>
    </xf>
    <xf numFmtId="3" fontId="5" fillId="6" borderId="24" xfId="0" applyNumberFormat="1" applyFont="1" applyFill="1" applyBorder="1" applyAlignment="1">
      <alignment horizontal="center" vertical="center"/>
    </xf>
    <xf numFmtId="3" fontId="5" fillId="6" borderId="1"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xf>
    <xf numFmtId="3" fontId="5" fillId="18" borderId="1" xfId="0" applyNumberFormat="1" applyFont="1" applyFill="1" applyBorder="1" applyAlignment="1">
      <alignment horizontal="center" vertical="center"/>
    </xf>
    <xf numFmtId="3" fontId="5" fillId="18" borderId="24" xfId="0" applyNumberFormat="1" applyFont="1" applyFill="1" applyBorder="1" applyAlignment="1">
      <alignment horizontal="center" vertical="center"/>
    </xf>
    <xf numFmtId="3" fontId="5" fillId="18" borderId="6" xfId="0" applyNumberFormat="1" applyFont="1" applyFill="1" applyBorder="1" applyAlignment="1">
      <alignment horizontal="center" vertical="center"/>
    </xf>
    <xf numFmtId="0" fontId="5" fillId="6" borderId="1" xfId="0" applyFont="1" applyFill="1" applyBorder="1" applyAlignment="1" applyProtection="1">
      <alignment horizontal="center" vertical="center"/>
    </xf>
    <xf numFmtId="10" fontId="5" fillId="19" borderId="1" xfId="5" applyNumberFormat="1" applyFont="1" applyFill="1" applyBorder="1" applyAlignment="1" applyProtection="1">
      <alignment horizontal="center" vertical="center"/>
    </xf>
    <xf numFmtId="0" fontId="5" fillId="19" borderId="1" xfId="0" applyNumberFormat="1" applyFont="1" applyFill="1" applyBorder="1" applyAlignment="1" applyProtection="1">
      <alignment horizontal="center" vertical="center"/>
    </xf>
    <xf numFmtId="10" fontId="5" fillId="18" borderId="7" xfId="0" applyNumberFormat="1" applyFont="1" applyFill="1" applyBorder="1" applyAlignment="1" applyProtection="1">
      <alignment horizontal="center" vertical="center"/>
    </xf>
    <xf numFmtId="0" fontId="13" fillId="0" borderId="0" xfId="0" applyFont="1" applyBorder="1" applyAlignment="1" applyProtection="1">
      <alignment vertical="center" wrapText="1"/>
    </xf>
    <xf numFmtId="0" fontId="5" fillId="0" borderId="21" xfId="0" applyFont="1" applyFill="1" applyBorder="1" applyAlignment="1">
      <alignment horizontal="center" vertical="center"/>
    </xf>
    <xf numFmtId="0" fontId="5" fillId="0" borderId="22" xfId="0" applyFont="1" applyFill="1" applyBorder="1" applyAlignment="1">
      <alignment horizontal="center" vertical="center"/>
    </xf>
    <xf numFmtId="3" fontId="5" fillId="6" borderId="25" xfId="0" applyNumberFormat="1" applyFont="1" applyFill="1" applyBorder="1" applyAlignment="1" applyProtection="1">
      <alignment horizontal="center" vertical="center"/>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0" fillId="0" borderId="0" xfId="0" applyBorder="1" applyAlignment="1">
      <alignment horizontal="center" vertical="center" wrapText="1"/>
    </xf>
    <xf numFmtId="0" fontId="8" fillId="0" borderId="10" xfId="0" applyFont="1" applyBorder="1" applyAlignment="1">
      <alignment horizontal="right" vertical="center" wrapText="1"/>
    </xf>
    <xf numFmtId="0" fontId="5" fillId="12" borderId="47" xfId="0" applyFont="1" applyFill="1" applyBorder="1" applyAlignment="1" applyProtection="1">
      <alignment horizontal="center" vertical="center"/>
    </xf>
    <xf numFmtId="0" fontId="5" fillId="12" borderId="48" xfId="0" applyFont="1" applyFill="1" applyBorder="1" applyAlignment="1" applyProtection="1">
      <alignment horizontal="center" vertical="center"/>
    </xf>
    <xf numFmtId="0" fontId="5" fillId="12" borderId="10" xfId="0" applyFont="1" applyFill="1" applyBorder="1" applyAlignment="1" applyProtection="1">
      <alignment horizontal="center" vertical="center"/>
    </xf>
    <xf numFmtId="0" fontId="5" fillId="12" borderId="37" xfId="0" applyFont="1" applyFill="1" applyBorder="1" applyAlignment="1" applyProtection="1">
      <alignment horizontal="center" vertical="center"/>
    </xf>
    <xf numFmtId="0" fontId="5" fillId="3" borderId="26" xfId="2" applyFont="1" applyBorder="1" applyAlignment="1" applyProtection="1">
      <alignment horizontal="center" vertical="center"/>
    </xf>
    <xf numFmtId="0" fontId="5" fillId="10" borderId="28" xfId="0" applyFont="1" applyFill="1" applyBorder="1" applyAlignment="1" applyProtection="1">
      <alignment horizontal="center" vertical="center"/>
    </xf>
    <xf numFmtId="0" fontId="5" fillId="10" borderId="60" xfId="0" applyFont="1" applyFill="1" applyBorder="1" applyAlignment="1" applyProtection="1">
      <alignment horizontal="center" vertical="center"/>
    </xf>
    <xf numFmtId="0" fontId="5" fillId="0" borderId="26" xfId="0" applyFont="1" applyBorder="1" applyAlignment="1" applyProtection="1">
      <alignment horizontal="center" vertical="center"/>
    </xf>
    <xf numFmtId="0" fontId="5" fillId="3" borderId="27" xfId="2" applyFont="1" applyBorder="1" applyAlignment="1" applyProtection="1">
      <alignment horizontal="center" vertical="center"/>
    </xf>
    <xf numFmtId="0" fontId="5" fillId="3" borderId="28" xfId="2" applyFont="1" applyBorder="1" applyAlignment="1" applyProtection="1">
      <alignment horizontal="center" vertical="center"/>
    </xf>
    <xf numFmtId="0" fontId="5" fillId="3" borderId="29" xfId="2" applyFont="1" applyBorder="1" applyAlignment="1" applyProtection="1">
      <alignment horizontal="center" vertical="center"/>
    </xf>
    <xf numFmtId="0" fontId="5" fillId="3" borderId="29" xfId="2" applyFont="1" applyBorder="1" applyAlignment="1" applyProtection="1">
      <alignment horizontal="center" vertical="center" wrapText="1"/>
    </xf>
    <xf numFmtId="0" fontId="5" fillId="3" borderId="34" xfId="2" applyFont="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3" borderId="27" xfId="2" applyFont="1" applyBorder="1" applyAlignment="1" applyProtection="1">
      <alignment horizontal="center" vertical="center"/>
      <protection locked="0"/>
    </xf>
    <xf numFmtId="0" fontId="5" fillId="3" borderId="28" xfId="2" applyFont="1" applyBorder="1" applyAlignment="1" applyProtection="1">
      <alignment horizontal="center" vertical="center"/>
      <protection locked="0"/>
    </xf>
    <xf numFmtId="0" fontId="5" fillId="3" borderId="29" xfId="2" applyFont="1" applyBorder="1" applyAlignment="1" applyProtection="1">
      <alignment horizontal="center" vertical="center"/>
      <protection locked="0"/>
    </xf>
    <xf numFmtId="10" fontId="3" fillId="5" borderId="61" xfId="6" applyNumberFormat="1" applyFont="1" applyBorder="1" applyProtection="1">
      <alignment horizontal="center" vertical="center"/>
    </xf>
    <xf numFmtId="3" fontId="3" fillId="5" borderId="31" xfId="6" applyNumberFormat="1" applyFont="1" applyBorder="1" applyProtection="1">
      <alignment horizontal="center" vertical="center"/>
    </xf>
    <xf numFmtId="10" fontId="3" fillId="5" borderId="29" xfId="6" applyNumberFormat="1" applyFont="1" applyBorder="1" applyProtection="1">
      <alignment horizontal="center" vertical="center"/>
    </xf>
    <xf numFmtId="10" fontId="3" fillId="5" borderId="61" xfId="2" applyNumberFormat="1" applyFont="1" applyFill="1" applyBorder="1" applyAlignment="1" applyProtection="1">
      <alignment horizontal="center" vertical="center"/>
    </xf>
    <xf numFmtId="0" fontId="3" fillId="3" borderId="30" xfId="2" applyFont="1" applyBorder="1" applyAlignment="1" applyProtection="1">
      <alignment horizontal="center" vertical="center"/>
      <protection locked="0"/>
    </xf>
    <xf numFmtId="0" fontId="3" fillId="0" borderId="0" xfId="0" applyFont="1" applyAlignment="1" applyProtection="1">
      <alignment horizontal="center" vertical="center"/>
    </xf>
    <xf numFmtId="10" fontId="3" fillId="5" borderId="61" xfId="5" applyNumberFormat="1" applyFont="1" applyFill="1" applyBorder="1" applyAlignment="1" applyProtection="1">
      <alignment horizontal="center" vertical="center"/>
    </xf>
    <xf numFmtId="0" fontId="3" fillId="3" borderId="29" xfId="2" applyFont="1" applyBorder="1" applyAlignment="1" applyProtection="1">
      <alignment horizontal="center" vertical="center"/>
      <protection locked="0"/>
    </xf>
    <xf numFmtId="0" fontId="5" fillId="3" borderId="32" xfId="2"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10" borderId="29" xfId="0" applyFont="1" applyFill="1" applyBorder="1" applyAlignment="1" applyProtection="1">
      <alignment horizontal="center" vertical="center"/>
      <protection locked="0"/>
    </xf>
    <xf numFmtId="0" fontId="3" fillId="10" borderId="30" xfId="0" applyFont="1" applyFill="1" applyBorder="1" applyAlignment="1" applyProtection="1">
      <alignment horizontal="center" vertical="center"/>
      <protection locked="0"/>
    </xf>
    <xf numFmtId="0" fontId="5" fillId="3" borderId="26" xfId="2" applyFont="1" applyBorder="1" applyAlignment="1" applyProtection="1">
      <alignment horizontal="center" vertical="center"/>
      <protection locked="0"/>
    </xf>
    <xf numFmtId="0" fontId="3" fillId="0" borderId="35" xfId="0" applyFont="1" applyBorder="1" applyAlignment="1" applyProtection="1">
      <alignment horizontal="center" vertical="center"/>
      <protection locked="0"/>
    </xf>
    <xf numFmtId="0" fontId="3" fillId="20" borderId="0" xfId="0" applyFont="1" applyFill="1" applyAlignment="1" applyProtection="1">
      <alignment horizontal="center" vertical="center"/>
    </xf>
    <xf numFmtId="0" fontId="5" fillId="20" borderId="10" xfId="2" applyFont="1" applyFill="1" applyBorder="1" applyAlignment="1" applyProtection="1">
      <alignment horizontal="center" vertical="center"/>
      <protection locked="0"/>
    </xf>
    <xf numFmtId="0" fontId="3" fillId="20" borderId="0" xfId="6" applyFont="1" applyFill="1" applyBorder="1" applyProtection="1">
      <alignment horizontal="center" vertical="center"/>
      <protection locked="0"/>
    </xf>
    <xf numFmtId="0" fontId="3" fillId="20" borderId="37" xfId="6" applyFont="1" applyFill="1" applyBorder="1" applyAlignment="1" applyProtection="1">
      <alignment horizontal="center" vertical="center"/>
      <protection locked="0"/>
    </xf>
    <xf numFmtId="3" fontId="5" fillId="6" borderId="0" xfId="0" applyNumberFormat="1" applyFont="1" applyFill="1" applyBorder="1" applyAlignment="1">
      <alignment horizontal="center" vertical="center"/>
    </xf>
    <xf numFmtId="3" fontId="0" fillId="0" borderId="62" xfId="0" applyNumberFormat="1" applyFont="1" applyFill="1" applyBorder="1" applyAlignment="1" applyProtection="1">
      <alignment horizontal="center" vertical="center"/>
      <protection locked="0"/>
    </xf>
    <xf numFmtId="3" fontId="0" fillId="6" borderId="4" xfId="0" applyNumberFormat="1" applyFill="1" applyBorder="1" applyAlignment="1">
      <alignment horizontal="center" vertical="center"/>
    </xf>
    <xf numFmtId="3" fontId="0" fillId="6" borderId="2" xfId="0" applyNumberFormat="1" applyFill="1" applyBorder="1" applyAlignment="1">
      <alignment horizontal="center" vertical="center"/>
    </xf>
    <xf numFmtId="3" fontId="0" fillId="0" borderId="63" xfId="0" applyNumberFormat="1" applyFont="1" applyFill="1" applyBorder="1" applyAlignment="1" applyProtection="1">
      <alignment horizontal="center" vertical="center"/>
      <protection locked="0"/>
    </xf>
    <xf numFmtId="0" fontId="5" fillId="0" borderId="4" xfId="0" applyFont="1" applyFill="1" applyBorder="1" applyAlignment="1">
      <alignment horizontal="center" vertical="center"/>
    </xf>
    <xf numFmtId="0" fontId="5" fillId="0" borderId="2" xfId="0" applyFont="1" applyFill="1" applyBorder="1" applyAlignment="1">
      <alignment horizontal="center" vertical="center"/>
    </xf>
    <xf numFmtId="3" fontId="0" fillId="0" borderId="64" xfId="0" applyNumberFormat="1" applyFont="1" applyFill="1" applyBorder="1" applyAlignment="1" applyProtection="1">
      <alignment horizontal="center" vertical="center"/>
      <protection locked="0"/>
    </xf>
    <xf numFmtId="3" fontId="0" fillId="0" borderId="65" xfId="0" applyNumberFormat="1" applyFont="1" applyFill="1" applyBorder="1" applyAlignment="1" applyProtection="1">
      <alignment horizontal="center" vertical="center"/>
      <protection locked="0"/>
    </xf>
    <xf numFmtId="3" fontId="0" fillId="0" borderId="66" xfId="0" applyNumberFormat="1" applyFont="1" applyFill="1" applyBorder="1" applyAlignment="1" applyProtection="1">
      <alignment horizontal="center" vertical="center"/>
      <protection locked="0"/>
    </xf>
    <xf numFmtId="3" fontId="0" fillId="0" borderId="67" xfId="0" applyNumberFormat="1" applyFont="1" applyFill="1" applyBorder="1" applyAlignment="1" applyProtection="1">
      <alignment horizontal="center" vertical="center"/>
      <protection locked="0"/>
    </xf>
    <xf numFmtId="3" fontId="0" fillId="0" borderId="68" xfId="0" applyNumberFormat="1" applyFont="1" applyFill="1" applyBorder="1" applyAlignment="1" applyProtection="1">
      <alignment horizontal="center" vertical="center"/>
      <protection locked="0"/>
    </xf>
    <xf numFmtId="3" fontId="0" fillId="0" borderId="69" xfId="0" applyNumberFormat="1" applyFont="1" applyFill="1" applyBorder="1" applyAlignment="1" applyProtection="1">
      <alignment horizontal="center" vertical="center"/>
      <protection locked="0"/>
    </xf>
    <xf numFmtId="3" fontId="0" fillId="6" borderId="4" xfId="0" applyNumberFormat="1" applyFill="1" applyBorder="1" applyAlignment="1" applyProtection="1">
      <alignment horizontal="center" vertical="center"/>
      <protection locked="0"/>
    </xf>
    <xf numFmtId="3" fontId="0" fillId="6" borderId="62" xfId="0" applyNumberFormat="1" applyFont="1" applyFill="1" applyBorder="1" applyAlignment="1" applyProtection="1">
      <alignment horizontal="center" vertical="center"/>
      <protection locked="0"/>
    </xf>
    <xf numFmtId="3" fontId="5" fillId="6" borderId="1" xfId="0" applyNumberFormat="1"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21" fillId="0" borderId="0" xfId="0" applyFont="1" applyBorder="1" applyAlignment="1">
      <alignment vertical="center" wrapText="1"/>
    </xf>
    <xf numFmtId="0" fontId="0" fillId="0" borderId="37" xfId="0" applyBorder="1" applyAlignment="1">
      <alignment wrapText="1"/>
    </xf>
    <xf numFmtId="0" fontId="0" fillId="0" borderId="10" xfId="0" applyBorder="1" applyAlignment="1">
      <alignment wrapText="1"/>
    </xf>
    <xf numFmtId="0" fontId="13" fillId="0" borderId="0" xfId="0" applyFont="1" applyBorder="1" applyAlignment="1">
      <alignment vertical="center" wrapText="1"/>
    </xf>
    <xf numFmtId="3" fontId="5" fillId="0" borderId="0" xfId="0" applyNumberFormat="1" applyFont="1" applyFill="1" applyBorder="1" applyAlignment="1" applyProtection="1">
      <alignment horizontal="center" vertical="center"/>
    </xf>
    <xf numFmtId="3" fontId="5" fillId="19" borderId="1" xfId="0" applyNumberFormat="1" applyFont="1" applyFill="1" applyBorder="1" applyAlignment="1" applyProtection="1">
      <alignment horizontal="center" vertical="center"/>
    </xf>
    <xf numFmtId="0" fontId="5" fillId="0" borderId="0" xfId="0" applyFont="1" applyAlignment="1">
      <alignment horizontal="center" vertical="center"/>
    </xf>
    <xf numFmtId="0" fontId="4" fillId="0" borderId="49" xfId="4" applyFill="1" applyBorder="1"/>
    <xf numFmtId="0" fontId="4" fillId="0" borderId="0" xfId="4" applyFont="1" applyFill="1" applyBorder="1"/>
    <xf numFmtId="0" fontId="22" fillId="0" borderId="0" xfId="4" applyFont="1" applyFill="1" applyBorder="1"/>
    <xf numFmtId="0" fontId="3" fillId="10" borderId="31" xfId="0" applyFont="1" applyFill="1" applyBorder="1" applyAlignment="1" applyProtection="1">
      <alignment horizontal="center" vertical="center"/>
    </xf>
    <xf numFmtId="0" fontId="0" fillId="0" borderId="34" xfId="0" applyFont="1" applyBorder="1" applyAlignment="1" applyProtection="1">
      <alignment horizontal="center" vertical="center"/>
      <protection locked="0"/>
    </xf>
    <xf numFmtId="0" fontId="0" fillId="0" borderId="35" xfId="0" applyFont="1" applyBorder="1" applyAlignment="1" applyProtection="1">
      <alignment horizontal="center" vertical="center"/>
      <protection locked="0"/>
    </xf>
    <xf numFmtId="0" fontId="5" fillId="3" borderId="60" xfId="2" applyFont="1" applyBorder="1" applyAlignment="1" applyProtection="1">
      <alignment horizontal="center" vertical="center"/>
    </xf>
    <xf numFmtId="0" fontId="5" fillId="0" borderId="47" xfId="3" applyFont="1" applyFill="1" applyBorder="1" applyAlignment="1" applyProtection="1">
      <alignment vertical="center"/>
      <protection locked="0"/>
    </xf>
    <xf numFmtId="0" fontId="5" fillId="0" borderId="48" xfId="3" applyFont="1" applyFill="1" applyBorder="1" applyAlignment="1" applyProtection="1">
      <alignment vertical="center"/>
      <protection locked="0"/>
    </xf>
    <xf numFmtId="0" fontId="9" fillId="5" borderId="27" xfId="6" applyFont="1" applyBorder="1" applyProtection="1">
      <alignment horizontal="center" vertical="center"/>
      <protection locked="0"/>
    </xf>
    <xf numFmtId="3" fontId="9" fillId="5" borderId="30" xfId="6" applyNumberFormat="1" applyFont="1" applyBorder="1" applyProtection="1">
      <alignment horizontal="center" vertical="center"/>
      <protection locked="0"/>
    </xf>
    <xf numFmtId="3" fontId="9" fillId="5" borderId="31" xfId="6" applyNumberFormat="1" applyFont="1" applyBorder="1" applyAlignment="1" applyProtection="1">
      <alignment horizontal="center" vertical="center"/>
      <protection locked="0"/>
    </xf>
    <xf numFmtId="164" fontId="9" fillId="5" borderId="30" xfId="6" applyNumberFormat="1" applyFont="1" applyBorder="1" applyProtection="1">
      <alignment horizontal="center" vertical="center"/>
      <protection locked="0"/>
    </xf>
    <xf numFmtId="164" fontId="9" fillId="5" borderId="31" xfId="6" applyNumberFormat="1" applyFont="1" applyBorder="1" applyAlignment="1" applyProtection="1">
      <alignment horizontal="center" vertical="center"/>
      <protection locked="0"/>
    </xf>
    <xf numFmtId="0" fontId="9" fillId="5" borderId="28" xfId="6" applyFont="1" applyBorder="1" applyAlignment="1" applyProtection="1">
      <alignment horizontal="center" vertical="center"/>
      <protection locked="0"/>
    </xf>
    <xf numFmtId="0" fontId="9" fillId="5" borderId="30" xfId="6" applyFont="1" applyBorder="1" applyProtection="1">
      <alignment horizontal="center" vertical="center"/>
      <protection locked="0"/>
    </xf>
    <xf numFmtId="0" fontId="9" fillId="5" borderId="31" xfId="6" applyFont="1" applyBorder="1" applyAlignment="1" applyProtection="1">
      <alignment horizontal="center" vertical="center"/>
      <protection locked="0"/>
    </xf>
    <xf numFmtId="164" fontId="9" fillId="5" borderId="30" xfId="6" applyNumberFormat="1" applyFont="1" applyBorder="1" applyProtection="1">
      <alignment horizontal="center" vertical="center"/>
    </xf>
    <xf numFmtId="164" fontId="9" fillId="5" borderId="31" xfId="6" applyNumberFormat="1" applyFont="1" applyBorder="1" applyProtection="1">
      <alignment horizontal="center" vertical="center"/>
    </xf>
    <xf numFmtId="164" fontId="9" fillId="5" borderId="31" xfId="6" applyNumberFormat="1" applyFont="1" applyBorder="1" applyAlignment="1" applyProtection="1">
      <alignment horizontal="center" vertical="center"/>
    </xf>
    <xf numFmtId="164" fontId="9" fillId="5" borderId="35" xfId="6" applyNumberFormat="1" applyFont="1" applyBorder="1" applyProtection="1">
      <alignment horizontal="center" vertical="center"/>
    </xf>
    <xf numFmtId="164" fontId="9" fillId="5" borderId="36" xfId="6" applyNumberFormat="1" applyFont="1" applyBorder="1" applyProtection="1">
      <alignment horizontal="center" vertical="center"/>
    </xf>
    <xf numFmtId="0" fontId="6" fillId="6" borderId="24" xfId="0" applyFont="1" applyFill="1" applyBorder="1" applyAlignment="1">
      <alignment horizontal="center" vertical="center" wrapText="1"/>
    </xf>
    <xf numFmtId="10" fontId="6" fillId="6" borderId="75" xfId="0" applyNumberFormat="1" applyFont="1" applyFill="1" applyBorder="1" applyAlignment="1">
      <alignment horizontal="center" vertical="center" wrapText="1"/>
    </xf>
    <xf numFmtId="0" fontId="6" fillId="6" borderId="76" xfId="0" applyFont="1" applyFill="1" applyBorder="1" applyAlignment="1">
      <alignment horizontal="center" vertical="center" wrapText="1"/>
    </xf>
    <xf numFmtId="10" fontId="6" fillId="6" borderId="77" xfId="0" applyNumberFormat="1" applyFont="1" applyFill="1" applyBorder="1" applyAlignment="1">
      <alignment horizontal="center" vertical="center" wrapText="1"/>
    </xf>
    <xf numFmtId="0" fontId="6" fillId="6" borderId="78"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7" fillId="6" borderId="19" xfId="0" applyFont="1" applyFill="1" applyBorder="1" applyAlignment="1">
      <alignment horizontal="right"/>
    </xf>
    <xf numFmtId="0" fontId="5" fillId="0" borderId="19" xfId="0" applyFont="1" applyFill="1" applyBorder="1" applyAlignment="1">
      <alignment horizontal="center" vertical="center" wrapText="1"/>
    </xf>
    <xf numFmtId="0" fontId="5" fillId="0" borderId="1" xfId="0" applyFont="1" applyBorder="1" applyAlignment="1">
      <alignment vertical="center"/>
    </xf>
    <xf numFmtId="0" fontId="5" fillId="7" borderId="47" xfId="0" applyFont="1" applyFill="1" applyBorder="1" applyAlignment="1">
      <alignment horizontal="center"/>
    </xf>
    <xf numFmtId="0" fontId="5" fillId="7" borderId="10" xfId="0" applyFont="1" applyFill="1" applyBorder="1" applyAlignment="1">
      <alignment horizontal="center"/>
    </xf>
    <xf numFmtId="0" fontId="5" fillId="7" borderId="38" xfId="0" applyFont="1" applyFill="1" applyBorder="1" applyAlignment="1">
      <alignment horizontal="center" vertical="center"/>
    </xf>
    <xf numFmtId="10" fontId="0" fillId="0" borderId="9" xfId="0" applyNumberFormat="1" applyBorder="1" applyAlignment="1">
      <alignment horizontal="center" vertical="center" wrapText="1"/>
    </xf>
    <xf numFmtId="0" fontId="0" fillId="0" borderId="15" xfId="0" applyBorder="1" applyAlignment="1">
      <alignment horizontal="center" vertical="center" wrapText="1"/>
    </xf>
    <xf numFmtId="10" fontId="0" fillId="0" borderId="18" xfId="0" applyNumberFormat="1" applyBorder="1" applyAlignment="1">
      <alignment horizontal="center" vertical="center" wrapText="1"/>
    </xf>
    <xf numFmtId="0" fontId="0" fillId="0" borderId="7" xfId="0" applyBorder="1" applyAlignment="1">
      <alignment horizontal="center" vertical="center" wrapText="1"/>
    </xf>
    <xf numFmtId="0" fontId="5" fillId="0" borderId="38" xfId="0" applyFont="1" applyFill="1" applyBorder="1" applyAlignment="1">
      <alignment horizontal="right" vertical="center"/>
    </xf>
    <xf numFmtId="0" fontId="0" fillId="0" borderId="0" xfId="0" applyAlignment="1">
      <alignment vertical="center"/>
    </xf>
    <xf numFmtId="0" fontId="0" fillId="3" borderId="61" xfId="2" applyFont="1" applyBorder="1" applyAlignment="1" applyProtection="1">
      <alignment horizontal="center" vertical="center"/>
      <protection locked="0"/>
    </xf>
    <xf numFmtId="0" fontId="0" fillId="3" borderId="30" xfId="2" applyFont="1" applyBorder="1" applyAlignment="1" applyProtection="1">
      <alignment horizontal="center" vertical="center"/>
      <protection locked="0"/>
    </xf>
    <xf numFmtId="0" fontId="0" fillId="3" borderId="74" xfId="2" applyFont="1" applyBorder="1" applyAlignment="1" applyProtection="1">
      <alignment horizontal="center" vertical="center"/>
      <protection locked="0"/>
    </xf>
    <xf numFmtId="0" fontId="0" fillId="3" borderId="73" xfId="2" applyFont="1" applyBorder="1" applyAlignment="1" applyProtection="1">
      <alignment horizontal="center" vertical="center"/>
      <protection locked="0"/>
    </xf>
    <xf numFmtId="0" fontId="0" fillId="13" borderId="72" xfId="2" applyFont="1" applyFill="1" applyBorder="1" applyAlignment="1" applyProtection="1">
      <alignment horizontal="center" vertical="center"/>
      <protection locked="0"/>
    </xf>
    <xf numFmtId="0" fontId="0" fillId="0" borderId="29" xfId="0" applyFont="1" applyBorder="1" applyAlignment="1" applyProtection="1">
      <alignment horizontal="center" vertical="center"/>
      <protection locked="0"/>
    </xf>
    <xf numFmtId="0" fontId="0" fillId="0" borderId="71" xfId="0" applyFont="1" applyBorder="1" applyAlignment="1" applyProtection="1">
      <alignment horizontal="center" vertical="center"/>
      <protection locked="0"/>
    </xf>
    <xf numFmtId="0" fontId="0" fillId="0" borderId="33" xfId="0" applyFont="1" applyBorder="1" applyAlignment="1" applyProtection="1">
      <alignment horizontal="center" vertical="center"/>
      <protection locked="0"/>
    </xf>
    <xf numFmtId="0" fontId="5" fillId="6" borderId="8" xfId="0" applyFont="1" applyFill="1" applyBorder="1" applyAlignment="1">
      <alignment horizontal="center" vertical="center" wrapText="1"/>
    </xf>
    <xf numFmtId="10" fontId="5" fillId="6" borderId="11" xfId="0" applyNumberFormat="1" applyFont="1" applyFill="1" applyBorder="1" applyAlignment="1">
      <alignment horizontal="center" vertical="center" wrapText="1"/>
    </xf>
    <xf numFmtId="0" fontId="0" fillId="8" borderId="11" xfId="0" applyFont="1" applyFill="1" applyBorder="1"/>
    <xf numFmtId="10" fontId="5" fillId="6" borderId="14" xfId="0" applyNumberFormat="1" applyFont="1" applyFill="1" applyBorder="1" applyAlignment="1">
      <alignment horizontal="center" vertical="center" wrapText="1"/>
    </xf>
    <xf numFmtId="0" fontId="0" fillId="0" borderId="30" xfId="0" applyBorder="1" applyAlignment="1">
      <alignment horizontal="center"/>
    </xf>
    <xf numFmtId="10" fontId="0" fillId="0" borderId="30" xfId="5" applyNumberFormat="1" applyFont="1" applyBorder="1" applyAlignment="1">
      <alignment horizontal="center"/>
    </xf>
    <xf numFmtId="0" fontId="0" fillId="0" borderId="30" xfId="0" applyNumberFormat="1" applyBorder="1"/>
    <xf numFmtId="0" fontId="0" fillId="0" borderId="30" xfId="0" applyBorder="1"/>
    <xf numFmtId="0" fontId="0" fillId="7" borderId="26" xfId="0" applyFill="1" applyBorder="1" applyAlignment="1">
      <alignment horizontal="center" vertical="center"/>
    </xf>
    <xf numFmtId="0" fontId="0" fillId="0" borderId="27" xfId="0" applyBorder="1" applyAlignment="1">
      <alignment horizontal="center"/>
    </xf>
    <xf numFmtId="10" fontId="0" fillId="0" borderId="27" xfId="5" applyNumberFormat="1" applyFont="1" applyBorder="1" applyAlignment="1">
      <alignment horizontal="center"/>
    </xf>
    <xf numFmtId="0" fontId="0" fillId="0" borderId="27" xfId="0" applyNumberFormat="1" applyBorder="1"/>
    <xf numFmtId="10" fontId="0" fillId="0" borderId="28" xfId="0" applyNumberFormat="1" applyFont="1" applyFill="1" applyBorder="1" applyAlignment="1">
      <alignment horizontal="center" vertical="center"/>
    </xf>
    <xf numFmtId="0" fontId="0" fillId="7" borderId="29" xfId="0" applyFill="1" applyBorder="1" applyAlignment="1">
      <alignment horizontal="center" vertical="center"/>
    </xf>
    <xf numFmtId="10" fontId="0" fillId="0" borderId="31" xfId="0" applyNumberFormat="1" applyFont="1" applyFill="1" applyBorder="1" applyAlignment="1">
      <alignment horizontal="center" vertical="center"/>
    </xf>
    <xf numFmtId="0" fontId="0" fillId="7" borderId="34" xfId="0" applyFill="1" applyBorder="1" applyAlignment="1">
      <alignment horizontal="center" vertical="center"/>
    </xf>
    <xf numFmtId="0" fontId="0" fillId="0" borderId="35" xfId="0" applyBorder="1" applyAlignment="1">
      <alignment horizontal="center"/>
    </xf>
    <xf numFmtId="10" fontId="0" fillId="0" borderId="35" xfId="5" applyNumberFormat="1" applyFont="1" applyBorder="1" applyAlignment="1">
      <alignment horizontal="center"/>
    </xf>
    <xf numFmtId="0" fontId="0" fillId="0" borderId="35" xfId="0" applyNumberFormat="1" applyBorder="1"/>
    <xf numFmtId="10" fontId="0" fillId="0" borderId="36" xfId="0" applyNumberFormat="1" applyFont="1" applyFill="1" applyBorder="1" applyAlignment="1">
      <alignment horizontal="center" vertical="center"/>
    </xf>
    <xf numFmtId="0" fontId="0" fillId="0" borderId="27" xfId="0" applyBorder="1"/>
    <xf numFmtId="0" fontId="0" fillId="0" borderId="28" xfId="0" applyBorder="1" applyAlignment="1">
      <alignment horizontal="center"/>
    </xf>
    <xf numFmtId="0" fontId="0" fillId="0" borderId="31" xfId="0" applyBorder="1" applyAlignment="1">
      <alignment horizontal="center"/>
    </xf>
    <xf numFmtId="0" fontId="0" fillId="0" borderId="35" xfId="0" applyBorder="1"/>
    <xf numFmtId="0" fontId="0" fillId="0" borderId="36" xfId="0" applyBorder="1" applyAlignment="1">
      <alignment horizontal="center"/>
    </xf>
    <xf numFmtId="0" fontId="0" fillId="0" borderId="7" xfId="0" applyBorder="1" applyAlignment="1">
      <alignment horizontal="center" wrapText="1"/>
    </xf>
    <xf numFmtId="3" fontId="0" fillId="21" borderId="62" xfId="0" applyNumberFormat="1" applyFont="1" applyFill="1" applyBorder="1" applyAlignment="1" applyProtection="1">
      <alignment horizontal="center" vertical="center"/>
      <protection locked="0"/>
    </xf>
    <xf numFmtId="0" fontId="0" fillId="0" borderId="10" xfId="0" applyBorder="1" applyAlignment="1">
      <alignment horizontal="center" vertical="center" wrapText="1"/>
    </xf>
    <xf numFmtId="0" fontId="0" fillId="0" borderId="10" xfId="0" applyBorder="1"/>
    <xf numFmtId="0" fontId="25" fillId="0" borderId="0" xfId="0" applyFont="1" applyFill="1" applyAlignment="1">
      <alignment horizontal="center"/>
    </xf>
    <xf numFmtId="0" fontId="24" fillId="0" borderId="0" xfId="0" applyFont="1" applyFill="1" applyAlignment="1">
      <alignment horizontal="center"/>
    </xf>
    <xf numFmtId="3" fontId="0" fillId="0" borderId="1" xfId="0" applyNumberFormat="1" applyFill="1" applyBorder="1" applyAlignment="1" applyProtection="1">
      <alignment horizontal="center" vertical="center"/>
      <protection locked="0"/>
    </xf>
    <xf numFmtId="3" fontId="5" fillId="6" borderId="0" xfId="0" applyNumberFormat="1" applyFont="1" applyFill="1" applyAlignment="1">
      <alignment horizontal="center" vertical="center"/>
    </xf>
    <xf numFmtId="3" fontId="5" fillId="6" borderId="24" xfId="0" applyNumberFormat="1" applyFont="1" applyFill="1" applyBorder="1" applyAlignment="1">
      <alignment horizontal="center" vertical="center" wrapText="1"/>
    </xf>
    <xf numFmtId="3" fontId="26" fillId="6" borderId="5" xfId="7" applyNumberFormat="1" applyFont="1" applyFill="1" applyBorder="1" applyAlignment="1">
      <alignment horizontal="center" vertical="center" wrapText="1"/>
    </xf>
    <xf numFmtId="3" fontId="5" fillId="6" borderId="25" xfId="0" applyNumberFormat="1" applyFont="1" applyFill="1" applyBorder="1" applyAlignment="1">
      <alignment horizontal="center" vertical="center" wrapText="1"/>
    </xf>
    <xf numFmtId="3" fontId="10" fillId="6" borderId="1" xfId="7" applyNumberFormat="1" applyFill="1" applyBorder="1" applyAlignment="1">
      <alignment horizontal="center" vertical="center"/>
    </xf>
    <xf numFmtId="3" fontId="0" fillId="6" borderId="70" xfId="0" applyNumberFormat="1" applyFont="1" applyFill="1" applyBorder="1" applyAlignment="1" applyProtection="1">
      <alignment horizontal="center" vertical="center"/>
      <protection locked="0"/>
    </xf>
    <xf numFmtId="0" fontId="8" fillId="9" borderId="1" xfId="3" applyFont="1" applyFill="1" applyBorder="1" applyAlignment="1" applyProtection="1">
      <alignment horizontal="center" vertical="center" wrapText="1"/>
    </xf>
    <xf numFmtId="0" fontId="0" fillId="0" borderId="0" xfId="0" applyAlignment="1">
      <alignment horizontal="center"/>
    </xf>
    <xf numFmtId="0" fontId="8" fillId="20" borderId="24" xfId="3" applyFont="1" applyFill="1" applyBorder="1" applyAlignment="1" applyProtection="1">
      <alignment horizontal="right" vertical="center"/>
    </xf>
    <xf numFmtId="0" fontId="8" fillId="20" borderId="44" xfId="3" applyFont="1" applyFill="1" applyBorder="1" applyAlignment="1" applyProtection="1">
      <alignment horizontal="center" vertical="center"/>
    </xf>
    <xf numFmtId="0" fontId="8" fillId="20" borderId="44" xfId="0" applyFont="1" applyFill="1" applyBorder="1" applyAlignment="1">
      <alignment horizontal="center" vertical="center"/>
    </xf>
    <xf numFmtId="0" fontId="9" fillId="0" borderId="0" xfId="0" applyFont="1"/>
    <xf numFmtId="0" fontId="8" fillId="0" borderId="0" xfId="0" applyFont="1"/>
    <xf numFmtId="164" fontId="9" fillId="11" borderId="1" xfId="0" applyNumberFormat="1" applyFont="1" applyFill="1" applyBorder="1" applyAlignment="1">
      <alignment horizontal="center" vertical="center" wrapText="1"/>
    </xf>
    <xf numFmtId="20" fontId="9" fillId="11" borderId="1" xfId="0" applyNumberFormat="1" applyFont="1" applyFill="1" applyBorder="1" applyAlignment="1">
      <alignment horizontal="center" vertical="center" wrapText="1"/>
    </xf>
    <xf numFmtId="0" fontId="8" fillId="12" borderId="1" xfId="0" applyFont="1" applyFill="1" applyBorder="1" applyAlignment="1">
      <alignment horizontal="center" vertical="center" wrapText="1"/>
    </xf>
    <xf numFmtId="0" fontId="9" fillId="11" borderId="1" xfId="0" applyFont="1" applyFill="1" applyBorder="1" applyAlignment="1">
      <alignment horizontal="center" vertical="center" wrapText="1"/>
    </xf>
    <xf numFmtId="0" fontId="8" fillId="0" borderId="39" xfId="0" applyFont="1" applyBorder="1"/>
    <xf numFmtId="0" fontId="31" fillId="19" borderId="30" xfId="0" applyFont="1" applyFill="1" applyBorder="1" applyAlignment="1">
      <alignment horizontal="center" vertical="center"/>
    </xf>
    <xf numFmtId="0" fontId="31" fillId="19" borderId="30" xfId="0" applyFont="1" applyFill="1" applyBorder="1" applyAlignment="1">
      <alignment horizontal="center" vertical="center" wrapText="1"/>
    </xf>
    <xf numFmtId="0" fontId="32" fillId="0" borderId="30" xfId="0" applyFont="1" applyBorder="1" applyAlignment="1">
      <alignment horizontal="center" vertical="center" wrapText="1"/>
    </xf>
    <xf numFmtId="0" fontId="33" fillId="0" borderId="30" xfId="0" applyFont="1" applyBorder="1" applyAlignment="1">
      <alignment horizontal="center" vertical="center"/>
    </xf>
    <xf numFmtId="0" fontId="33" fillId="0" borderId="30" xfId="0" applyFont="1" applyBorder="1" applyAlignment="1">
      <alignment horizontal="center" vertical="center" wrapText="1"/>
    </xf>
    <xf numFmtId="164" fontId="33" fillId="0" borderId="30" xfId="0" applyNumberFormat="1" applyFont="1" applyBorder="1" applyAlignment="1">
      <alignment horizontal="center" vertical="center"/>
    </xf>
    <xf numFmtId="0" fontId="34" fillId="0" borderId="30" xfId="0" applyFont="1" applyBorder="1" applyAlignment="1">
      <alignment horizontal="center" vertical="center" wrapText="1"/>
    </xf>
    <xf numFmtId="0" fontId="32" fillId="12" borderId="30" xfId="0" applyFont="1" applyFill="1" applyBorder="1" applyAlignment="1">
      <alignment horizontal="center" vertical="center" wrapText="1"/>
    </xf>
    <xf numFmtId="0" fontId="33" fillId="12" borderId="30" xfId="0" applyFont="1" applyFill="1" applyBorder="1" applyAlignment="1">
      <alignment horizontal="center" vertical="center"/>
    </xf>
    <xf numFmtId="0" fontId="33" fillId="12" borderId="30" xfId="0" applyFont="1" applyFill="1" applyBorder="1" applyAlignment="1">
      <alignment horizontal="center" vertical="center" wrapText="1"/>
    </xf>
    <xf numFmtId="0" fontId="21" fillId="0" borderId="0" xfId="0" applyFont="1"/>
    <xf numFmtId="14" fontId="0" fillId="0" borderId="0" xfId="0" applyNumberFormat="1"/>
    <xf numFmtId="19" fontId="0" fillId="0" borderId="0" xfId="0" applyNumberFormat="1"/>
    <xf numFmtId="10" fontId="0" fillId="0" borderId="30" xfId="0" applyNumberFormat="1" applyBorder="1"/>
    <xf numFmtId="19" fontId="0" fillId="0" borderId="30" xfId="0" applyNumberFormat="1" applyBorder="1"/>
    <xf numFmtId="10" fontId="0" fillId="0" borderId="30" xfId="5" applyNumberFormat="1" applyFont="1" applyBorder="1"/>
    <xf numFmtId="0" fontId="0" fillId="11" borderId="0" xfId="0" applyFill="1"/>
    <xf numFmtId="0" fontId="0" fillId="19" borderId="0" xfId="0" applyFill="1"/>
    <xf numFmtId="0" fontId="35" fillId="19" borderId="0" xfId="0" applyFont="1" applyFill="1" applyAlignment="1">
      <alignment horizontal="center"/>
    </xf>
    <xf numFmtId="0" fontId="0" fillId="19" borderId="0" xfId="0" applyFill="1" applyAlignment="1">
      <alignment horizontal="center"/>
    </xf>
    <xf numFmtId="0" fontId="35" fillId="0" borderId="47" xfId="0" applyFont="1" applyBorder="1" applyAlignment="1">
      <alignment horizontal="center"/>
    </xf>
    <xf numFmtId="0" fontId="0" fillId="0" borderId="19" xfId="0" applyBorder="1"/>
    <xf numFmtId="0" fontId="0" fillId="0" borderId="53" xfId="0" applyBorder="1" applyAlignment="1">
      <alignment horizontal="center"/>
    </xf>
    <xf numFmtId="0" fontId="0" fillId="23" borderId="71" xfId="0" applyFill="1" applyBorder="1"/>
    <xf numFmtId="0" fontId="35" fillId="0" borderId="10" xfId="0" applyFont="1" applyBorder="1" applyAlignment="1">
      <alignment horizontal="center"/>
    </xf>
    <xf numFmtId="0" fontId="0" fillId="0" borderId="37" xfId="0" applyBorder="1" applyAlignment="1">
      <alignment horizontal="center"/>
    </xf>
    <xf numFmtId="0" fontId="0" fillId="23" borderId="0" xfId="0" applyFill="1"/>
    <xf numFmtId="0" fontId="0" fillId="19" borderId="0" xfId="0" applyFill="1" applyAlignment="1">
      <alignment vertical="center"/>
    </xf>
    <xf numFmtId="0" fontId="37" fillId="0" borderId="10" xfId="0" applyFont="1" applyBorder="1" applyAlignment="1">
      <alignment horizontal="center" vertical="center" wrapText="1"/>
    </xf>
    <xf numFmtId="0" fontId="37" fillId="0" borderId="0" xfId="0" applyFont="1" applyAlignment="1">
      <alignment horizontal="center" vertical="center" wrapText="1"/>
    </xf>
    <xf numFmtId="49" fontId="0" fillId="0" borderId="80" xfId="0" applyNumberFormat="1" applyBorder="1" applyAlignment="1">
      <alignment horizontal="center" vertical="center"/>
    </xf>
    <xf numFmtId="49" fontId="0" fillId="0" borderId="0" xfId="0" applyNumberFormat="1" applyAlignment="1">
      <alignment horizontal="center" vertical="center"/>
    </xf>
    <xf numFmtId="0" fontId="0" fillId="0" borderId="80" xfId="0" applyBorder="1" applyAlignment="1">
      <alignment horizontal="center" vertical="center"/>
    </xf>
    <xf numFmtId="0" fontId="0" fillId="0" borderId="37" xfId="0" applyBorder="1" applyAlignment="1">
      <alignment horizontal="center" vertical="center"/>
    </xf>
    <xf numFmtId="0" fontId="0" fillId="23" borderId="80" xfId="0" applyFill="1" applyBorder="1" applyAlignment="1">
      <alignment vertical="center"/>
    </xf>
    <xf numFmtId="0" fontId="37" fillId="0" borderId="0" xfId="0" applyFont="1" applyAlignment="1">
      <alignment horizontal="center" vertical="center"/>
    </xf>
    <xf numFmtId="0" fontId="35" fillId="0" borderId="10" xfId="0" applyFont="1" applyBorder="1" applyAlignment="1">
      <alignment horizontal="center" vertical="center"/>
    </xf>
    <xf numFmtId="0" fontId="35" fillId="0" borderId="0" xfId="0" applyFont="1" applyAlignment="1">
      <alignment horizontal="center" vertical="center"/>
    </xf>
    <xf numFmtId="49" fontId="0" fillId="0" borderId="0" xfId="0" quotePrefix="1" applyNumberFormat="1" applyAlignment="1">
      <alignment horizontal="center" vertical="center"/>
    </xf>
    <xf numFmtId="0" fontId="0" fillId="0" borderId="61" xfId="0" applyBorder="1" applyAlignment="1">
      <alignment horizontal="center"/>
    </xf>
    <xf numFmtId="0" fontId="35" fillId="24" borderId="10" xfId="0" applyFont="1" applyFill="1" applyBorder="1" applyAlignment="1">
      <alignment horizontal="center" vertical="center"/>
    </xf>
    <xf numFmtId="0" fontId="0" fillId="0" borderId="71" xfId="0" applyBorder="1" applyAlignment="1">
      <alignment horizontal="center"/>
    </xf>
    <xf numFmtId="0" fontId="0" fillId="0" borderId="33" xfId="0" applyBorder="1" applyAlignment="1">
      <alignment horizontal="center"/>
    </xf>
    <xf numFmtId="0" fontId="0" fillId="0" borderId="81" xfId="0" applyBorder="1" applyAlignment="1">
      <alignment horizontal="center"/>
    </xf>
    <xf numFmtId="0" fontId="38" fillId="0" borderId="61" xfId="0" applyFont="1" applyBorder="1" applyAlignment="1">
      <alignment horizontal="center"/>
    </xf>
    <xf numFmtId="0" fontId="38" fillId="0" borderId="30" xfId="0" applyFont="1" applyBorder="1" applyAlignment="1">
      <alignment horizontal="center"/>
    </xf>
    <xf numFmtId="0" fontId="38" fillId="0" borderId="31" xfId="0" applyFont="1" applyBorder="1" applyAlignment="1">
      <alignment horizontal="center"/>
    </xf>
    <xf numFmtId="0" fontId="38" fillId="19" borderId="30" xfId="0" applyFont="1" applyFill="1" applyBorder="1" applyAlignment="1">
      <alignment horizontal="center"/>
    </xf>
    <xf numFmtId="0" fontId="5" fillId="25" borderId="33" xfId="0" applyFont="1" applyFill="1" applyBorder="1"/>
    <xf numFmtId="0" fontId="0" fillId="25" borderId="27" xfId="0" applyFill="1" applyBorder="1"/>
    <xf numFmtId="0" fontId="38" fillId="0" borderId="61" xfId="0" applyFont="1" applyBorder="1" applyAlignment="1">
      <alignment horizontal="center" wrapText="1"/>
    </xf>
    <xf numFmtId="0" fontId="38" fillId="0" borderId="30" xfId="0" applyFont="1" applyBorder="1" applyAlignment="1">
      <alignment horizontal="center" wrapText="1"/>
    </xf>
    <xf numFmtId="0" fontId="38" fillId="0" borderId="31" xfId="0" applyFont="1" applyBorder="1" applyAlignment="1">
      <alignment horizontal="center" wrapText="1"/>
    </xf>
    <xf numFmtId="0" fontId="38" fillId="19" borderId="30" xfId="0" applyFont="1" applyFill="1" applyBorder="1" applyAlignment="1">
      <alignment horizontal="center" wrapText="1"/>
    </xf>
    <xf numFmtId="0" fontId="0" fillId="25" borderId="35" xfId="0" applyFill="1" applyBorder="1"/>
    <xf numFmtId="0" fontId="0" fillId="19" borderId="30" xfId="0" applyFill="1" applyBorder="1" applyAlignment="1">
      <alignment horizontal="center"/>
    </xf>
    <xf numFmtId="0" fontId="40" fillId="19" borderId="0" xfId="0" applyFont="1" applyFill="1"/>
    <xf numFmtId="0" fontId="38" fillId="0" borderId="52" xfId="0" applyFont="1" applyBorder="1" applyAlignment="1">
      <alignment wrapText="1"/>
    </xf>
    <xf numFmtId="0" fontId="38" fillId="0" borderId="53" xfId="0" applyFont="1" applyBorder="1" applyAlignment="1">
      <alignment wrapText="1"/>
    </xf>
    <xf numFmtId="0" fontId="38" fillId="0" borderId="71" xfId="0" applyFont="1" applyBorder="1" applyAlignment="1">
      <alignment wrapText="1"/>
    </xf>
    <xf numFmtId="0" fontId="40" fillId="0" borderId="0" xfId="0" applyFont="1"/>
    <xf numFmtId="0" fontId="38" fillId="0" borderId="74" xfId="0" applyFont="1" applyBorder="1" applyAlignment="1">
      <alignment wrapText="1"/>
    </xf>
    <xf numFmtId="0" fontId="38" fillId="0" borderId="80" xfId="0" applyFont="1" applyBorder="1" applyAlignment="1">
      <alignment wrapText="1"/>
    </xf>
    <xf numFmtId="0" fontId="38" fillId="0" borderId="87" xfId="0" applyFont="1" applyBorder="1" applyAlignment="1">
      <alignment wrapText="1"/>
    </xf>
    <xf numFmtId="0" fontId="0" fillId="25" borderId="73" xfId="0" applyFill="1" applyBorder="1"/>
    <xf numFmtId="0" fontId="0" fillId="0" borderId="22" xfId="0" applyBorder="1" applyAlignment="1">
      <alignment horizontal="center"/>
    </xf>
    <xf numFmtId="0" fontId="0" fillId="0" borderId="59"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25" borderId="30" xfId="0" applyFill="1" applyBorder="1"/>
    <xf numFmtId="0" fontId="35" fillId="0" borderId="38" xfId="0" applyFont="1" applyBorder="1" applyAlignment="1">
      <alignment horizontal="center" vertical="center"/>
    </xf>
    <xf numFmtId="0" fontId="35" fillId="0" borderId="20" xfId="0" applyFont="1" applyBorder="1" applyAlignment="1">
      <alignment horizontal="center" vertical="center"/>
    </xf>
    <xf numFmtId="49" fontId="0" fillId="0" borderId="18" xfId="0" quotePrefix="1" applyNumberFormat="1" applyBorder="1" applyAlignment="1">
      <alignment horizontal="center" vertical="center"/>
    </xf>
    <xf numFmtId="0" fontId="0" fillId="0" borderId="88" xfId="0" applyBorder="1"/>
    <xf numFmtId="0" fontId="35" fillId="0" borderId="38" xfId="0" applyFont="1" applyBorder="1" applyAlignment="1">
      <alignment horizontal="center"/>
    </xf>
    <xf numFmtId="0" fontId="0" fillId="0" borderId="20" xfId="0" applyBorder="1"/>
    <xf numFmtId="0" fontId="0" fillId="0" borderId="20" xfId="0" applyBorder="1" applyAlignment="1">
      <alignment horizontal="center"/>
    </xf>
    <xf numFmtId="0" fontId="0" fillId="0" borderId="39" xfId="0" applyBorder="1" applyAlignment="1">
      <alignment horizontal="center"/>
    </xf>
    <xf numFmtId="0" fontId="0" fillId="0" borderId="19" xfId="0" applyBorder="1" applyAlignment="1">
      <alignment horizontal="center" vertical="center"/>
    </xf>
    <xf numFmtId="0" fontId="0" fillId="0" borderId="48" xfId="0" applyBorder="1" applyAlignment="1">
      <alignment horizontal="center" vertical="center"/>
    </xf>
    <xf numFmtId="0" fontId="0" fillId="0" borderId="37" xfId="0" applyBorder="1"/>
    <xf numFmtId="0" fontId="0" fillId="0" borderId="80" xfId="0" applyBorder="1"/>
    <xf numFmtId="0" fontId="40" fillId="0" borderId="59" xfId="0" applyFont="1" applyBorder="1"/>
    <xf numFmtId="0" fontId="40" fillId="0" borderId="37" xfId="0" applyFont="1" applyBorder="1"/>
    <xf numFmtId="0" fontId="0" fillId="0" borderId="59" xfId="0" applyBorder="1"/>
    <xf numFmtId="0" fontId="0" fillId="0" borderId="39" xfId="0" applyBorder="1"/>
    <xf numFmtId="0" fontId="35" fillId="0" borderId="0" xfId="0" applyFont="1" applyAlignment="1">
      <alignment horizontal="center"/>
    </xf>
    <xf numFmtId="0" fontId="0" fillId="0" borderId="0" xfId="0" applyFill="1" applyBorder="1" applyAlignment="1">
      <alignment wrapText="1"/>
    </xf>
    <xf numFmtId="0" fontId="0" fillId="0" borderId="0" xfId="0" applyFill="1" applyBorder="1" applyAlignment="1">
      <alignment vertical="center" wrapText="1"/>
    </xf>
    <xf numFmtId="0" fontId="0" fillId="0" borderId="10" xfId="0" applyFill="1" applyBorder="1" applyAlignment="1">
      <alignment vertical="center" wrapText="1"/>
    </xf>
    <xf numFmtId="0" fontId="0" fillId="0" borderId="10" xfId="0" applyFill="1" applyBorder="1" applyAlignment="1">
      <alignment wrapText="1"/>
    </xf>
    <xf numFmtId="0" fontId="0" fillId="0" borderId="37" xfId="0" applyFill="1" applyBorder="1" applyAlignment="1">
      <alignment vertical="center" wrapText="1"/>
    </xf>
    <xf numFmtId="0" fontId="0" fillId="0" borderId="37" xfId="0" applyFill="1" applyBorder="1" applyAlignment="1">
      <alignment horizontal="center" vertical="center" wrapText="1"/>
    </xf>
    <xf numFmtId="0" fontId="41" fillId="0" borderId="0" xfId="0" applyFont="1"/>
    <xf numFmtId="0" fontId="4" fillId="0" borderId="51" xfId="4" applyFont="1" applyFill="1" applyBorder="1"/>
    <xf numFmtId="0" fontId="0" fillId="0" borderId="30" xfId="0" applyFont="1" applyBorder="1" applyAlignment="1" applyProtection="1">
      <alignment horizontal="center" vertical="center"/>
      <protection locked="0"/>
    </xf>
    <xf numFmtId="3" fontId="26" fillId="6" borderId="1" xfId="7" applyNumberFormat="1" applyFont="1" applyFill="1" applyBorder="1" applyAlignment="1">
      <alignment horizontal="center" vertical="center" wrapText="1"/>
    </xf>
    <xf numFmtId="10" fontId="0" fillId="17" borderId="21" xfId="0" applyNumberFormat="1" applyFill="1" applyBorder="1" applyAlignment="1">
      <alignment horizontal="center" vertical="center"/>
    </xf>
    <xf numFmtId="10" fontId="0" fillId="17" borderId="4" xfId="0" applyNumberFormat="1" applyFill="1" applyBorder="1" applyAlignment="1">
      <alignment horizontal="center" vertical="center"/>
    </xf>
    <xf numFmtId="10" fontId="0" fillId="17" borderId="80" xfId="0" applyNumberFormat="1" applyFill="1" applyBorder="1" applyAlignment="1">
      <alignment horizontal="center" vertical="center"/>
    </xf>
    <xf numFmtId="10" fontId="0" fillId="17" borderId="1" xfId="0" applyNumberFormat="1" applyFill="1" applyBorder="1" applyAlignment="1">
      <alignment horizontal="center" vertical="center"/>
    </xf>
    <xf numFmtId="10" fontId="0" fillId="17" borderId="58" xfId="0" applyNumberFormat="1" applyFill="1" applyBorder="1" applyAlignment="1">
      <alignment horizontal="center" vertical="center"/>
    </xf>
    <xf numFmtId="3" fontId="5" fillId="18" borderId="1" xfId="0" applyNumberFormat="1" applyFont="1" applyFill="1" applyBorder="1" applyAlignment="1">
      <alignment horizontal="center" vertical="center" wrapText="1"/>
    </xf>
    <xf numFmtId="3" fontId="0" fillId="21" borderId="62" xfId="0" applyNumberFormat="1" applyFont="1" applyFill="1" applyBorder="1" applyAlignment="1" applyProtection="1">
      <alignment horizontal="center" vertical="center"/>
      <protection locked="0"/>
    </xf>
    <xf numFmtId="3" fontId="0" fillId="21" borderId="4" xfId="0" applyNumberFormat="1" applyFill="1" applyBorder="1" applyAlignment="1" applyProtection="1">
      <alignment horizontal="center" vertical="center"/>
      <protection locked="0"/>
    </xf>
    <xf numFmtId="0" fontId="0" fillId="11" borderId="1" xfId="0" applyFill="1" applyBorder="1" applyAlignment="1" applyProtection="1">
      <alignment horizontal="center" vertical="center" wrapText="1"/>
      <protection locked="0"/>
    </xf>
    <xf numFmtId="0" fontId="0" fillId="11" borderId="24" xfId="0" applyFill="1" applyBorder="1" applyAlignment="1" applyProtection="1">
      <alignment horizontal="center" vertical="center"/>
    </xf>
    <xf numFmtId="0" fontId="0" fillId="11" borderId="44" xfId="0" applyFill="1" applyBorder="1" applyAlignment="1" applyProtection="1">
      <alignment horizontal="center" vertical="center"/>
    </xf>
    <xf numFmtId="0" fontId="0" fillId="11" borderId="25" xfId="0" applyFill="1" applyBorder="1" applyAlignment="1" applyProtection="1">
      <alignment horizontal="center" vertical="center"/>
    </xf>
    <xf numFmtId="10" fontId="3" fillId="11" borderId="24" xfId="5" applyNumberFormat="1" applyFont="1" applyFill="1" applyBorder="1" applyAlignment="1" applyProtection="1">
      <alignment horizontal="center" vertical="center"/>
    </xf>
    <xf numFmtId="10" fontId="3" fillId="11" borderId="25" xfId="5" applyNumberFormat="1" applyFont="1" applyFill="1" applyBorder="1" applyAlignment="1" applyProtection="1">
      <alignment horizontal="center" vertical="center"/>
    </xf>
    <xf numFmtId="0" fontId="0" fillId="11" borderId="1" xfId="0" applyFill="1" applyBorder="1" applyAlignment="1" applyProtection="1">
      <alignment horizontal="center" vertical="center"/>
    </xf>
    <xf numFmtId="0" fontId="8" fillId="9" borderId="24" xfId="0" applyFont="1" applyFill="1" applyBorder="1" applyAlignment="1" applyProtection="1">
      <alignment horizontal="center" vertical="center"/>
    </xf>
    <xf numFmtId="0" fontId="8" fillId="9" borderId="44" xfId="0" applyFont="1" applyFill="1" applyBorder="1" applyAlignment="1" applyProtection="1">
      <alignment horizontal="center" vertical="center"/>
    </xf>
    <xf numFmtId="0" fontId="8" fillId="9" borderId="25" xfId="0" applyFont="1" applyFill="1" applyBorder="1" applyAlignment="1" applyProtection="1">
      <alignment horizontal="center" vertical="center"/>
    </xf>
    <xf numFmtId="0" fontId="8" fillId="9" borderId="1" xfId="2" applyFont="1" applyFill="1" applyBorder="1" applyAlignment="1" applyProtection="1">
      <alignment horizontal="center" vertical="center"/>
    </xf>
    <xf numFmtId="0" fontId="8" fillId="9" borderId="1" xfId="3" applyFont="1" applyFill="1" applyBorder="1" applyAlignment="1" applyProtection="1">
      <alignment horizontal="center" vertical="center"/>
    </xf>
    <xf numFmtId="0" fontId="5" fillId="9" borderId="24" xfId="3" applyFont="1" applyFill="1" applyBorder="1" applyAlignment="1" applyProtection="1">
      <alignment horizontal="center" vertical="center"/>
      <protection locked="0"/>
    </xf>
    <xf numFmtId="0" fontId="5" fillId="9" borderId="44" xfId="3" applyFont="1" applyFill="1" applyBorder="1" applyAlignment="1" applyProtection="1">
      <alignment horizontal="center" vertical="center"/>
      <protection locked="0"/>
    </xf>
    <xf numFmtId="19" fontId="0" fillId="11" borderId="1" xfId="0" applyNumberFormat="1" applyFill="1" applyBorder="1" applyAlignment="1" applyProtection="1">
      <alignment horizontal="center" vertical="center" wrapText="1"/>
      <protection locked="0"/>
    </xf>
    <xf numFmtId="10" fontId="5" fillId="5" borderId="46" xfId="2" applyNumberFormat="1" applyFont="1" applyFill="1" applyBorder="1" applyAlignment="1" applyProtection="1">
      <alignment horizontal="center" vertical="center"/>
    </xf>
    <xf numFmtId="10" fontId="5" fillId="5" borderId="41" xfId="2" applyNumberFormat="1" applyFont="1" applyFill="1" applyBorder="1" applyAlignment="1" applyProtection="1">
      <alignment horizontal="center" vertical="center"/>
    </xf>
    <xf numFmtId="0" fontId="10" fillId="0" borderId="38" xfId="2" applyFont="1" applyFill="1" applyBorder="1" applyAlignment="1" applyProtection="1">
      <alignment horizontal="center" vertical="center"/>
      <protection locked="0"/>
    </xf>
    <xf numFmtId="0" fontId="10" fillId="0" borderId="39" xfId="2" applyFont="1" applyFill="1" applyBorder="1" applyAlignment="1" applyProtection="1">
      <alignment horizontal="center" vertical="center"/>
      <protection locked="0"/>
    </xf>
    <xf numFmtId="0" fontId="8" fillId="9" borderId="1" xfId="3" applyFont="1" applyFill="1" applyBorder="1" applyAlignment="1" applyProtection="1">
      <alignment horizontal="center" vertical="center" wrapText="1"/>
    </xf>
    <xf numFmtId="0" fontId="5" fillId="3" borderId="22" xfId="2" applyFont="1" applyBorder="1" applyAlignment="1" applyProtection="1">
      <alignment horizontal="center" vertical="center"/>
    </xf>
    <xf numFmtId="0" fontId="5" fillId="3" borderId="43" xfId="2" applyFont="1" applyBorder="1" applyAlignment="1" applyProtection="1">
      <alignment horizontal="center" vertical="center"/>
    </xf>
    <xf numFmtId="10" fontId="11" fillId="5" borderId="46" xfId="2" applyNumberFormat="1" applyFont="1" applyFill="1" applyBorder="1" applyAlignment="1" applyProtection="1">
      <alignment horizontal="center" vertical="center"/>
    </xf>
    <xf numFmtId="10" fontId="11" fillId="5" borderId="41" xfId="2" applyNumberFormat="1" applyFont="1" applyFill="1" applyBorder="1" applyAlignment="1" applyProtection="1">
      <alignment horizontal="center" vertical="center"/>
    </xf>
    <xf numFmtId="0" fontId="5" fillId="10" borderId="24" xfId="6" applyFont="1" applyFill="1" applyBorder="1" applyAlignment="1" applyProtection="1">
      <alignment horizontal="center" vertical="center" wrapText="1"/>
    </xf>
    <xf numFmtId="0" fontId="5" fillId="10" borderId="25" xfId="6" applyFont="1" applyFill="1" applyBorder="1" applyAlignment="1" applyProtection="1">
      <alignment horizontal="center" vertical="center" wrapText="1"/>
    </xf>
    <xf numFmtId="0" fontId="8" fillId="9" borderId="27" xfId="3" applyFont="1" applyFill="1" applyBorder="1" applyAlignment="1" applyProtection="1">
      <alignment horizontal="center" vertical="center"/>
      <protection locked="0"/>
    </xf>
    <xf numFmtId="0" fontId="8" fillId="9" borderId="28" xfId="3" applyFont="1" applyFill="1" applyBorder="1" applyAlignment="1" applyProtection="1">
      <alignment horizontal="center" vertical="center"/>
      <protection locked="0"/>
    </xf>
    <xf numFmtId="0" fontId="8" fillId="9" borderId="34" xfId="3" applyFont="1" applyFill="1" applyBorder="1" applyAlignment="1" applyProtection="1">
      <alignment horizontal="center" vertical="center"/>
      <protection locked="0"/>
    </xf>
    <xf numFmtId="0" fontId="8" fillId="9" borderId="35" xfId="3" applyFont="1" applyFill="1" applyBorder="1" applyAlignment="1" applyProtection="1">
      <alignment horizontal="center" vertical="center"/>
      <protection locked="0"/>
    </xf>
    <xf numFmtId="0" fontId="8" fillId="9" borderId="36" xfId="3" applyFont="1" applyFill="1" applyBorder="1" applyAlignment="1" applyProtection="1">
      <alignment horizontal="center" vertical="center"/>
      <protection locked="0"/>
    </xf>
    <xf numFmtId="3" fontId="3" fillId="5" borderId="42" xfId="6" applyNumberFormat="1" applyFont="1" applyFill="1" applyBorder="1" applyProtection="1">
      <alignment horizontal="center" vertical="center"/>
    </xf>
    <xf numFmtId="0" fontId="3" fillId="5" borderId="43" xfId="6" applyNumberFormat="1" applyFont="1" applyFill="1" applyBorder="1" applyProtection="1">
      <alignment horizontal="center" vertical="center"/>
    </xf>
    <xf numFmtId="10" fontId="11" fillId="5" borderId="24" xfId="6" applyNumberFormat="1" applyFont="1" applyBorder="1" applyAlignment="1" applyProtection="1">
      <alignment horizontal="center" vertical="center"/>
    </xf>
    <xf numFmtId="10" fontId="11" fillId="5" borderId="44" xfId="6" applyNumberFormat="1" applyFont="1" applyBorder="1" applyAlignment="1" applyProtection="1">
      <alignment horizontal="center" vertical="center"/>
    </xf>
    <xf numFmtId="10" fontId="11" fillId="5" borderId="25" xfId="6" applyNumberFormat="1" applyFont="1" applyBorder="1" applyAlignment="1" applyProtection="1">
      <alignment horizontal="center" vertical="center"/>
    </xf>
    <xf numFmtId="0" fontId="5" fillId="10" borderId="45" xfId="6" applyFont="1" applyFill="1" applyBorder="1" applyAlignment="1" applyProtection="1">
      <alignment horizontal="center" vertical="center" wrapText="1"/>
    </xf>
    <xf numFmtId="0" fontId="5" fillId="10" borderId="41" xfId="6" applyFont="1" applyFill="1" applyBorder="1" applyAlignment="1" applyProtection="1">
      <alignment horizontal="center" vertical="center" wrapText="1"/>
    </xf>
    <xf numFmtId="164" fontId="5" fillId="10" borderId="10" xfId="6" applyNumberFormat="1" applyFont="1" applyFill="1" applyBorder="1" applyAlignment="1" applyProtection="1">
      <alignment horizontal="center" vertical="center"/>
    </xf>
    <xf numFmtId="164" fontId="5" fillId="10" borderId="37" xfId="6" applyNumberFormat="1" applyFont="1" applyFill="1" applyBorder="1" applyAlignment="1" applyProtection="1">
      <alignment horizontal="center" vertical="center"/>
    </xf>
    <xf numFmtId="0" fontId="5" fillId="9" borderId="24" xfId="3" applyFont="1" applyFill="1" applyBorder="1" applyAlignment="1" applyProtection="1">
      <alignment horizontal="center" vertical="center"/>
    </xf>
    <xf numFmtId="0" fontId="5" fillId="9" borderId="44" xfId="3" applyFont="1" applyFill="1" applyBorder="1" applyAlignment="1" applyProtection="1">
      <alignment horizontal="center" vertical="center"/>
    </xf>
    <xf numFmtId="0" fontId="5" fillId="9" borderId="25" xfId="3" applyFont="1" applyFill="1" applyBorder="1" applyAlignment="1" applyProtection="1">
      <alignment horizontal="center" vertical="center"/>
    </xf>
    <xf numFmtId="0" fontId="3" fillId="2" borderId="38" xfId="1" applyBorder="1" applyAlignment="1" applyProtection="1">
      <alignment horizontal="center" vertical="center"/>
      <protection locked="0"/>
    </xf>
    <xf numFmtId="0" fontId="3" fillId="2" borderId="20" xfId="1" applyBorder="1" applyAlignment="1" applyProtection="1">
      <alignment horizontal="center" vertical="center"/>
      <protection locked="0"/>
    </xf>
    <xf numFmtId="0" fontId="3" fillId="2" borderId="39" xfId="1" applyBorder="1" applyAlignment="1" applyProtection="1">
      <alignment horizontal="center" vertical="center"/>
      <protection locked="0"/>
    </xf>
    <xf numFmtId="0" fontId="5" fillId="9" borderId="24" xfId="2" applyFont="1" applyFill="1" applyBorder="1" applyAlignment="1" applyProtection="1">
      <alignment horizontal="center" vertical="center"/>
      <protection locked="0"/>
    </xf>
    <xf numFmtId="0" fontId="5" fillId="9" borderId="44" xfId="2" applyFont="1" applyFill="1" applyBorder="1" applyAlignment="1" applyProtection="1">
      <alignment horizontal="center" vertical="center"/>
      <protection locked="0"/>
    </xf>
    <xf numFmtId="0" fontId="5" fillId="9" borderId="25" xfId="2" applyFont="1" applyFill="1" applyBorder="1" applyAlignment="1" applyProtection="1">
      <alignment horizontal="center" vertical="center"/>
      <protection locked="0"/>
    </xf>
    <xf numFmtId="0" fontId="11" fillId="5" borderId="5" xfId="3" applyFont="1" applyFill="1" applyBorder="1" applyAlignment="1" applyProtection="1">
      <alignment horizontal="center" vertical="center"/>
      <protection locked="0"/>
    </xf>
    <xf numFmtId="0" fontId="11" fillId="5" borderId="6" xfId="3" applyFont="1" applyFill="1" applyBorder="1" applyAlignment="1" applyProtection="1">
      <alignment horizontal="center" vertical="center"/>
      <protection locked="0"/>
    </xf>
    <xf numFmtId="0" fontId="23" fillId="9" borderId="19" xfId="3" applyFont="1" applyFill="1" applyBorder="1" applyAlignment="1" applyProtection="1">
      <alignment horizontal="center" vertical="center"/>
      <protection locked="0"/>
    </xf>
    <xf numFmtId="0" fontId="23" fillId="9" borderId="48" xfId="3" applyFont="1" applyFill="1" applyBorder="1" applyAlignment="1" applyProtection="1">
      <alignment horizontal="center" vertical="center"/>
      <protection locked="0"/>
    </xf>
    <xf numFmtId="0" fontId="23" fillId="9" borderId="0" xfId="3" applyFont="1" applyFill="1" applyBorder="1" applyAlignment="1" applyProtection="1">
      <alignment horizontal="center" vertical="center"/>
      <protection locked="0"/>
    </xf>
    <xf numFmtId="0" fontId="23" fillId="9" borderId="37" xfId="3" applyFont="1" applyFill="1" applyBorder="1" applyAlignment="1" applyProtection="1">
      <alignment horizontal="center" vertical="center"/>
      <protection locked="0"/>
    </xf>
    <xf numFmtId="0" fontId="23" fillId="9" borderId="20" xfId="3" applyFont="1" applyFill="1" applyBorder="1" applyAlignment="1" applyProtection="1">
      <alignment horizontal="center" vertical="center"/>
      <protection locked="0"/>
    </xf>
    <xf numFmtId="0" fontId="23" fillId="9" borderId="39" xfId="3" applyFont="1" applyFill="1" applyBorder="1" applyAlignment="1" applyProtection="1">
      <alignment horizontal="center" vertical="center"/>
      <protection locked="0"/>
    </xf>
    <xf numFmtId="0" fontId="3" fillId="2" borderId="47" xfId="1" applyBorder="1" applyAlignment="1" applyProtection="1">
      <alignment horizontal="center" vertical="center"/>
      <protection locked="0"/>
    </xf>
    <xf numFmtId="0" fontId="3" fillId="2" borderId="10" xfId="1" applyBorder="1" applyAlignment="1" applyProtection="1">
      <alignment horizontal="center" vertical="center"/>
      <protection locked="0"/>
    </xf>
    <xf numFmtId="0" fontId="8" fillId="9" borderId="26" xfId="3" applyFont="1" applyFill="1" applyBorder="1" applyAlignment="1" applyProtection="1">
      <alignment horizontal="center" vertical="center"/>
      <protection locked="0"/>
    </xf>
    <xf numFmtId="0" fontId="3" fillId="2" borderId="44" xfId="1" applyBorder="1" applyAlignment="1" applyProtection="1">
      <alignment horizontal="center" vertical="center"/>
      <protection locked="0"/>
    </xf>
    <xf numFmtId="0" fontId="3" fillId="2" borderId="25" xfId="1" applyBorder="1" applyAlignment="1" applyProtection="1">
      <alignment horizontal="center" vertical="center"/>
      <protection locked="0"/>
    </xf>
    <xf numFmtId="0" fontId="11" fillId="9" borderId="5" xfId="3" applyFont="1" applyFill="1" applyBorder="1" applyAlignment="1" applyProtection="1">
      <alignment horizontal="center" vertical="center"/>
      <protection locked="0"/>
    </xf>
    <xf numFmtId="0" fontId="11" fillId="9" borderId="7" xfId="3" applyFont="1" applyFill="1" applyBorder="1" applyAlignment="1" applyProtection="1">
      <alignment horizontal="center" vertical="center"/>
      <protection locked="0"/>
    </xf>
    <xf numFmtId="0" fontId="8" fillId="9" borderId="5" xfId="3" applyFont="1" applyFill="1" applyBorder="1" applyAlignment="1" applyProtection="1">
      <alignment horizontal="center" vertical="center"/>
      <protection locked="0"/>
    </xf>
    <xf numFmtId="0" fontId="8" fillId="9" borderId="7" xfId="3" applyFont="1" applyFill="1" applyBorder="1" applyAlignment="1" applyProtection="1">
      <alignment horizontal="center" vertical="center"/>
      <protection locked="0"/>
    </xf>
    <xf numFmtId="0" fontId="11" fillId="9" borderId="12" xfId="3" applyFont="1" applyFill="1" applyBorder="1" applyAlignment="1" applyProtection="1">
      <alignment horizontal="center" vertical="center"/>
      <protection locked="0"/>
    </xf>
    <xf numFmtId="0" fontId="11" fillId="9" borderId="9" xfId="3" applyFont="1" applyFill="1" applyBorder="1" applyAlignment="1" applyProtection="1">
      <alignment horizontal="center" vertical="center"/>
      <protection locked="0"/>
    </xf>
    <xf numFmtId="14" fontId="11" fillId="9" borderId="47" xfId="3" applyNumberFormat="1" applyFont="1" applyFill="1" applyBorder="1" applyAlignment="1" applyProtection="1">
      <alignment horizontal="center" vertical="center"/>
      <protection locked="0"/>
    </xf>
    <xf numFmtId="14" fontId="11" fillId="9" borderId="48" xfId="3" applyNumberFormat="1" applyFont="1" applyFill="1" applyBorder="1" applyAlignment="1" applyProtection="1">
      <alignment horizontal="center" vertical="center"/>
      <protection locked="0"/>
    </xf>
    <xf numFmtId="14" fontId="11" fillId="9" borderId="38" xfId="3" applyNumberFormat="1" applyFont="1" applyFill="1" applyBorder="1" applyAlignment="1" applyProtection="1">
      <alignment horizontal="center" vertical="center"/>
      <protection locked="0"/>
    </xf>
    <xf numFmtId="14" fontId="11" fillId="9" borderId="39" xfId="3" applyNumberFormat="1" applyFont="1" applyFill="1" applyBorder="1" applyAlignment="1" applyProtection="1">
      <alignment horizontal="center" vertical="center"/>
      <protection locked="0"/>
    </xf>
    <xf numFmtId="164" fontId="5" fillId="10" borderId="22" xfId="6" applyNumberFormat="1" applyFont="1" applyFill="1" applyBorder="1" applyAlignment="1" applyProtection="1">
      <alignment horizontal="center" vertical="center"/>
    </xf>
    <xf numFmtId="164" fontId="5" fillId="10" borderId="43" xfId="6" applyNumberFormat="1" applyFont="1" applyFill="1" applyBorder="1" applyAlignment="1" applyProtection="1">
      <alignment horizontal="center" vertical="center"/>
    </xf>
    <xf numFmtId="164" fontId="5" fillId="10" borderId="23" xfId="6" applyNumberFormat="1" applyFont="1" applyFill="1" applyBorder="1" applyAlignment="1" applyProtection="1">
      <alignment horizontal="center" vertical="center"/>
    </xf>
    <xf numFmtId="164" fontId="5" fillId="10" borderId="57" xfId="6" applyNumberFormat="1" applyFont="1" applyFill="1" applyBorder="1" applyAlignment="1" applyProtection="1">
      <alignment horizontal="center" vertical="center"/>
    </xf>
    <xf numFmtId="0" fontId="5" fillId="9" borderId="25" xfId="3" applyFont="1" applyFill="1" applyBorder="1" applyAlignment="1" applyProtection="1">
      <alignment horizontal="center" vertical="center"/>
      <protection locked="0"/>
    </xf>
    <xf numFmtId="0" fontId="5" fillId="10" borderId="27" xfId="2" applyFont="1" applyFill="1" applyBorder="1" applyAlignment="1" applyProtection="1">
      <alignment horizontal="center" vertical="center"/>
    </xf>
    <xf numFmtId="0" fontId="5" fillId="10" borderId="28" xfId="2" applyFont="1" applyFill="1" applyBorder="1" applyAlignment="1" applyProtection="1">
      <alignment horizontal="center" vertical="center"/>
    </xf>
    <xf numFmtId="164" fontId="5" fillId="10" borderId="22" xfId="6" applyNumberFormat="1" applyFont="1" applyFill="1" applyBorder="1" applyAlignment="1" applyProtection="1">
      <alignment horizontal="center" vertical="center"/>
      <protection locked="0"/>
    </xf>
    <xf numFmtId="164" fontId="5" fillId="10" borderId="43" xfId="6" applyNumberFormat="1" applyFont="1" applyFill="1" applyBorder="1" applyAlignment="1" applyProtection="1">
      <alignment horizontal="center" vertical="center"/>
      <protection locked="0"/>
    </xf>
    <xf numFmtId="0" fontId="5" fillId="10" borderId="55" xfId="0" applyFont="1" applyFill="1" applyBorder="1" applyAlignment="1" applyProtection="1">
      <alignment horizontal="center" vertical="center"/>
    </xf>
    <xf numFmtId="0" fontId="5" fillId="10" borderId="56" xfId="0" applyFont="1" applyFill="1" applyBorder="1" applyAlignment="1" applyProtection="1">
      <alignment horizontal="center" vertical="center"/>
    </xf>
    <xf numFmtId="3" fontId="3" fillId="5" borderId="42" xfId="6" applyNumberFormat="1" applyFont="1" applyBorder="1" applyAlignment="1" applyProtection="1">
      <alignment horizontal="center" vertical="center"/>
    </xf>
    <xf numFmtId="0" fontId="3" fillId="5" borderId="43" xfId="6" applyFont="1" applyBorder="1" applyAlignment="1" applyProtection="1">
      <alignment horizontal="center" vertical="center"/>
    </xf>
    <xf numFmtId="0" fontId="5" fillId="3" borderId="22" xfId="2" applyFont="1" applyBorder="1" applyAlignment="1" applyProtection="1">
      <alignment horizontal="center" vertical="center"/>
      <protection locked="0"/>
    </xf>
    <xf numFmtId="0" fontId="5" fillId="3" borderId="43" xfId="2" applyFont="1" applyBorder="1" applyAlignment="1" applyProtection="1">
      <alignment horizontal="center" vertical="center"/>
      <protection locked="0"/>
    </xf>
    <xf numFmtId="0" fontId="5" fillId="10" borderId="45" xfId="6" applyFont="1" applyFill="1" applyBorder="1" applyAlignment="1" applyProtection="1">
      <alignment horizontal="center" vertical="center"/>
      <protection locked="0"/>
    </xf>
    <xf numFmtId="0" fontId="5" fillId="10" borderId="41" xfId="6" applyFont="1" applyFill="1" applyBorder="1" applyAlignment="1" applyProtection="1">
      <alignment horizontal="center" vertical="center"/>
      <protection locked="0"/>
    </xf>
    <xf numFmtId="0" fontId="0" fillId="9" borderId="10" xfId="0" applyFont="1" applyFill="1" applyBorder="1" applyAlignment="1" applyProtection="1">
      <alignment horizontal="center" vertical="center" wrapText="1"/>
    </xf>
    <xf numFmtId="0" fontId="3" fillId="9" borderId="0" xfId="0" applyFont="1" applyFill="1" applyBorder="1" applyAlignment="1" applyProtection="1">
      <alignment horizontal="center" vertical="center" wrapText="1"/>
    </xf>
    <xf numFmtId="0" fontId="3" fillId="9" borderId="37" xfId="0" applyFont="1" applyFill="1" applyBorder="1" applyAlignment="1" applyProtection="1">
      <alignment horizontal="center" vertical="center" wrapText="1"/>
    </xf>
    <xf numFmtId="0" fontId="3" fillId="9" borderId="10" xfId="0" applyFont="1" applyFill="1" applyBorder="1" applyAlignment="1" applyProtection="1">
      <alignment horizontal="center" vertical="center" wrapText="1"/>
    </xf>
    <xf numFmtId="0" fontId="3" fillId="9" borderId="38" xfId="0" applyFont="1" applyFill="1" applyBorder="1" applyAlignment="1" applyProtection="1">
      <alignment horizontal="center" vertical="center" wrapText="1"/>
    </xf>
    <xf numFmtId="0" fontId="3" fillId="9" borderId="20" xfId="0" applyFont="1" applyFill="1" applyBorder="1" applyAlignment="1" applyProtection="1">
      <alignment horizontal="center" vertical="center" wrapText="1"/>
    </xf>
    <xf numFmtId="0" fontId="3" fillId="9" borderId="39" xfId="0" applyFont="1" applyFill="1" applyBorder="1" applyAlignment="1" applyProtection="1">
      <alignment horizontal="center" vertical="center" wrapText="1"/>
    </xf>
    <xf numFmtId="0" fontId="0" fillId="11" borderId="10" xfId="0" applyFill="1" applyBorder="1" applyAlignment="1" applyProtection="1">
      <alignment horizontal="center" vertical="center" wrapText="1"/>
      <protection locked="0"/>
    </xf>
    <xf numFmtId="0" fontId="0" fillId="11" borderId="0" xfId="0" applyFill="1" applyBorder="1" applyAlignment="1" applyProtection="1">
      <alignment horizontal="center" vertical="center" wrapText="1"/>
      <protection locked="0"/>
    </xf>
    <xf numFmtId="20" fontId="3" fillId="5" borderId="40" xfId="6" applyNumberFormat="1" applyFont="1" applyBorder="1" applyAlignment="1" applyProtection="1">
      <alignment horizontal="center" vertical="center"/>
      <protection locked="0"/>
    </xf>
    <xf numFmtId="20" fontId="3" fillId="5" borderId="41" xfId="6" applyNumberFormat="1" applyFont="1" applyBorder="1" applyAlignment="1" applyProtection="1">
      <alignment horizontal="center" vertical="center"/>
      <protection locked="0"/>
    </xf>
    <xf numFmtId="0" fontId="3" fillId="5" borderId="59" xfId="6" applyFont="1" applyBorder="1" applyAlignment="1" applyProtection="1">
      <alignment horizontal="center" vertical="center"/>
    </xf>
    <xf numFmtId="0" fontId="3" fillId="5" borderId="42" xfId="6" applyFont="1" applyBorder="1" applyAlignment="1" applyProtection="1">
      <alignment horizontal="center" vertical="center"/>
    </xf>
    <xf numFmtId="10" fontId="5" fillId="5" borderId="45" xfId="6" applyNumberFormat="1" applyFont="1" applyBorder="1" applyAlignment="1" applyProtection="1">
      <alignment horizontal="center" vertical="center"/>
    </xf>
    <xf numFmtId="10" fontId="5" fillId="5" borderId="46" xfId="6" applyNumberFormat="1" applyFont="1" applyBorder="1" applyAlignment="1" applyProtection="1">
      <alignment horizontal="center" vertical="center"/>
    </xf>
    <xf numFmtId="10" fontId="5" fillId="5" borderId="41" xfId="6" applyNumberFormat="1" applyFont="1" applyBorder="1" applyAlignment="1" applyProtection="1">
      <alignment horizontal="center" vertical="center"/>
    </xf>
    <xf numFmtId="3" fontId="5" fillId="10" borderId="21" xfId="6" applyNumberFormat="1" applyFont="1" applyFill="1" applyBorder="1" applyAlignment="1" applyProtection="1">
      <alignment horizontal="center" vertical="center"/>
      <protection locked="0"/>
    </xf>
    <xf numFmtId="3" fontId="5" fillId="10" borderId="58" xfId="6" applyNumberFormat="1" applyFont="1" applyFill="1" applyBorder="1" applyAlignment="1" applyProtection="1">
      <alignment horizontal="center" vertical="center"/>
      <protection locked="0"/>
    </xf>
    <xf numFmtId="0" fontId="5" fillId="3" borderId="22" xfId="2" applyFont="1" applyBorder="1" applyAlignment="1" applyProtection="1">
      <alignment horizontal="center" vertical="center" wrapText="1"/>
      <protection locked="0"/>
    </xf>
    <xf numFmtId="0" fontId="5" fillId="3" borderId="43" xfId="2" applyFont="1" applyBorder="1" applyAlignment="1" applyProtection="1">
      <alignment horizontal="center" vertical="center" wrapText="1"/>
      <protection locked="0"/>
    </xf>
    <xf numFmtId="0" fontId="5" fillId="3" borderId="22" xfId="2" applyFont="1" applyBorder="1" applyAlignment="1" applyProtection="1">
      <alignment horizontal="center" vertical="center" wrapText="1"/>
    </xf>
    <xf numFmtId="0" fontId="5" fillId="3" borderId="43" xfId="2" applyFont="1" applyBorder="1" applyAlignment="1" applyProtection="1">
      <alignment horizontal="center" vertical="center" wrapText="1"/>
    </xf>
    <xf numFmtId="0" fontId="9" fillId="11" borderId="1" xfId="0" applyFont="1" applyFill="1" applyBorder="1" applyAlignment="1">
      <alignment horizontal="center" vertical="center" wrapText="1"/>
    </xf>
    <xf numFmtId="0" fontId="9" fillId="0" borderId="20" xfId="0" applyFont="1" applyBorder="1" applyAlignment="1">
      <alignment horizontal="left"/>
    </xf>
    <xf numFmtId="0" fontId="8" fillId="20" borderId="44" xfId="0" applyFont="1" applyFill="1" applyBorder="1" applyAlignment="1">
      <alignment horizontal="right" vertical="center"/>
    </xf>
    <xf numFmtId="14" fontId="8" fillId="20" borderId="44" xfId="0" applyNumberFormat="1" applyFont="1" applyFill="1" applyBorder="1" applyAlignment="1">
      <alignment horizontal="center" vertical="center"/>
    </xf>
    <xf numFmtId="0" fontId="8" fillId="20" borderId="25" xfId="0" applyFont="1" applyFill="1" applyBorder="1" applyAlignment="1">
      <alignment horizontal="center" vertical="center"/>
    </xf>
    <xf numFmtId="0" fontId="9" fillId="11" borderId="24" xfId="0" applyFont="1" applyFill="1" applyBorder="1" applyAlignment="1">
      <alignment horizontal="center" vertical="center" wrapText="1"/>
    </xf>
    <xf numFmtId="0" fontId="9" fillId="11" borderId="44" xfId="0" applyFont="1" applyFill="1" applyBorder="1" applyAlignment="1">
      <alignment horizontal="center" vertical="center" wrapText="1"/>
    </xf>
    <xf numFmtId="0" fontId="9" fillId="11" borderId="25" xfId="0" applyFont="1" applyFill="1" applyBorder="1" applyAlignment="1">
      <alignment horizontal="center" vertical="center" wrapText="1"/>
    </xf>
    <xf numFmtId="0" fontId="12" fillId="6" borderId="1" xfId="0" applyFont="1" applyFill="1" applyBorder="1" applyAlignment="1">
      <alignment horizontal="center" vertical="center"/>
    </xf>
    <xf numFmtId="0" fontId="13" fillId="0" borderId="5" xfId="0" applyFont="1" applyBorder="1" applyAlignment="1" applyProtection="1">
      <alignment horizontal="center" vertical="center" wrapText="1"/>
    </xf>
    <xf numFmtId="0" fontId="13" fillId="0" borderId="6" xfId="0" applyFont="1" applyBorder="1" applyAlignment="1" applyProtection="1">
      <alignment horizontal="center" vertical="center" wrapText="1"/>
    </xf>
    <xf numFmtId="0" fontId="13" fillId="0" borderId="7" xfId="0" applyFont="1" applyBorder="1" applyAlignment="1" applyProtection="1">
      <alignment horizontal="center" vertical="center" wrapText="1"/>
    </xf>
    <xf numFmtId="0" fontId="13" fillId="0" borderId="0" xfId="0" applyFont="1" applyBorder="1" applyAlignment="1">
      <alignment horizontal="center" vertical="center" wrapText="1"/>
    </xf>
    <xf numFmtId="3" fontId="8" fillId="12" borderId="19" xfId="0" applyNumberFormat="1" applyFont="1" applyFill="1" applyBorder="1" applyAlignment="1" applyProtection="1">
      <alignment horizontal="center" vertical="center" wrapText="1"/>
    </xf>
    <xf numFmtId="3" fontId="8" fillId="12" borderId="20" xfId="0" applyNumberFormat="1" applyFont="1" applyFill="1" applyBorder="1" applyAlignment="1" applyProtection="1">
      <alignment horizontal="center" vertical="center" wrapText="1"/>
    </xf>
    <xf numFmtId="0" fontId="0" fillId="0" borderId="38" xfId="0" applyBorder="1" applyAlignment="1">
      <alignment horizontal="center" vertical="center" wrapText="1"/>
    </xf>
    <xf numFmtId="0" fontId="0" fillId="0" borderId="20" xfId="0" applyBorder="1" applyAlignment="1">
      <alignment horizontal="center" vertical="center" wrapText="1"/>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0" fillId="0" borderId="10" xfId="0" applyBorder="1" applyAlignment="1">
      <alignment horizontal="center" vertical="top" wrapText="1"/>
    </xf>
    <xf numFmtId="0" fontId="0" fillId="0" borderId="0" xfId="0" applyBorder="1" applyAlignment="1">
      <alignment horizontal="center" vertical="top" wrapText="1"/>
    </xf>
    <xf numFmtId="0" fontId="15" fillId="0" borderId="6" xfId="0" applyFont="1" applyBorder="1" applyAlignment="1">
      <alignment horizontal="center" vertical="top" wrapText="1"/>
    </xf>
    <xf numFmtId="0" fontId="15" fillId="0" borderId="10" xfId="0" applyFont="1" applyBorder="1" applyAlignment="1">
      <alignment horizontal="center" vertical="top" wrapText="1"/>
    </xf>
    <xf numFmtId="0" fontId="8" fillId="0" borderId="10" xfId="0" applyFont="1" applyBorder="1" applyAlignment="1">
      <alignment horizontal="right" vertical="center" wrapText="1"/>
    </xf>
    <xf numFmtId="0" fontId="9" fillId="0" borderId="0" xfId="0" applyFont="1" applyBorder="1" applyAlignment="1">
      <alignment horizontal="left" vertical="center" wrapText="1"/>
    </xf>
    <xf numFmtId="0" fontId="0" fillId="0" borderId="47" xfId="0" applyBorder="1" applyAlignment="1">
      <alignment horizontal="center" vertical="top" wrapText="1"/>
    </xf>
    <xf numFmtId="0" fontId="0" fillId="0" borderId="48" xfId="0" applyBorder="1" applyAlignment="1">
      <alignment horizontal="center" vertical="top" wrapText="1"/>
    </xf>
    <xf numFmtId="0" fontId="0" fillId="0" borderId="6" xfId="0" applyBorder="1" applyAlignment="1">
      <alignment horizontal="center" vertical="center" wrapText="1"/>
    </xf>
    <xf numFmtId="0" fontId="15" fillId="0" borderId="6"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0" borderId="37" xfId="0" applyFont="1" applyBorder="1" applyAlignment="1">
      <alignment horizontal="center" vertical="center" wrapText="1"/>
    </xf>
    <xf numFmtId="0" fontId="0" fillId="0" borderId="0" xfId="0" applyAlignment="1">
      <alignment horizontal="center" vertical="center" wrapText="1"/>
    </xf>
    <xf numFmtId="0" fontId="16" fillId="0" borderId="47" xfId="0" applyFont="1" applyBorder="1" applyAlignment="1">
      <alignment horizontal="center" vertical="center" wrapText="1"/>
    </xf>
    <xf numFmtId="0" fontId="16" fillId="0" borderId="48" xfId="0" applyFont="1" applyBorder="1" applyAlignment="1">
      <alignment horizontal="center" vertical="center" wrapText="1"/>
    </xf>
    <xf numFmtId="0" fontId="0" fillId="0" borderId="39" xfId="0" applyBorder="1" applyAlignment="1">
      <alignment horizontal="center" vertical="center" wrapText="1"/>
    </xf>
    <xf numFmtId="0" fontId="0" fillId="0" borderId="10" xfId="0" applyBorder="1" applyAlignment="1">
      <alignment horizontal="center" wrapText="1"/>
    </xf>
    <xf numFmtId="0" fontId="0" fillId="0" borderId="37" xfId="0" applyBorder="1" applyAlignment="1">
      <alignment horizontal="center" wrapText="1"/>
    </xf>
    <xf numFmtId="0" fontId="15" fillId="0" borderId="5" xfId="0" applyFont="1" applyBorder="1" applyAlignment="1">
      <alignment horizontal="center" vertical="center" wrapText="1"/>
    </xf>
    <xf numFmtId="0" fontId="15" fillId="0" borderId="47"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xf>
    <xf numFmtId="0" fontId="20" fillId="0" borderId="0" xfId="0" applyFont="1" applyAlignment="1">
      <alignment horizontal="center"/>
    </xf>
    <xf numFmtId="0" fontId="0" fillId="0" borderId="0" xfId="0" applyAlignment="1">
      <alignment horizontal="left" vertical="top" wrapText="1"/>
    </xf>
    <xf numFmtId="0" fontId="12" fillId="0" borderId="1" xfId="0" applyFont="1" applyFill="1" applyBorder="1" applyAlignment="1">
      <alignment horizontal="center" vertical="center"/>
    </xf>
    <xf numFmtId="0" fontId="31" fillId="19" borderId="42" xfId="0" applyFont="1" applyFill="1" applyBorder="1" applyAlignment="1">
      <alignment horizontal="center" vertical="center" wrapText="1"/>
    </xf>
    <xf numFmtId="0" fontId="31" fillId="19" borderId="59" xfId="0" applyFont="1" applyFill="1" applyBorder="1" applyAlignment="1">
      <alignment horizontal="center" vertical="center" wrapText="1"/>
    </xf>
    <xf numFmtId="0" fontId="31" fillId="19" borderId="61" xfId="0" applyFont="1" applyFill="1" applyBorder="1" applyAlignment="1">
      <alignment horizontal="center" vertical="center" wrapText="1"/>
    </xf>
    <xf numFmtId="0" fontId="31" fillId="19" borderId="42" xfId="0" applyFont="1" applyFill="1" applyBorder="1" applyAlignment="1">
      <alignment horizontal="center" vertical="center"/>
    </xf>
    <xf numFmtId="0" fontId="31" fillId="19" borderId="59" xfId="0" applyFont="1" applyFill="1" applyBorder="1" applyAlignment="1">
      <alignment horizontal="center" vertical="center"/>
    </xf>
    <xf numFmtId="0" fontId="31" fillId="19" borderId="61" xfId="0" applyFont="1" applyFill="1" applyBorder="1" applyAlignment="1">
      <alignment horizontal="center" vertical="center"/>
    </xf>
    <xf numFmtId="0" fontId="36" fillId="0" borderId="19" xfId="0" applyFont="1" applyBorder="1" applyAlignment="1">
      <alignment horizontal="center"/>
    </xf>
    <xf numFmtId="0" fontId="36" fillId="0" borderId="48" xfId="0" applyFont="1" applyBorder="1" applyAlignment="1">
      <alignment horizontal="center"/>
    </xf>
    <xf numFmtId="0" fontId="0" fillId="0" borderId="0" xfId="0"/>
    <xf numFmtId="0" fontId="5" fillId="0" borderId="47" xfId="0" applyFont="1" applyBorder="1" applyAlignment="1">
      <alignment horizontal="center"/>
    </xf>
    <xf numFmtId="0" fontId="5" fillId="0" borderId="19" xfId="0" applyFont="1" applyBorder="1" applyAlignment="1">
      <alignment horizontal="center"/>
    </xf>
    <xf numFmtId="0" fontId="5" fillId="0" borderId="16"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8" fillId="0" borderId="27" xfId="0" applyFont="1" applyBorder="1" applyAlignment="1">
      <alignment horizontal="center"/>
    </xf>
    <xf numFmtId="0" fontId="8" fillId="0" borderId="55" xfId="0" applyFont="1" applyBorder="1" applyAlignment="1">
      <alignment horizontal="center"/>
    </xf>
    <xf numFmtId="0" fontId="8" fillId="0" borderId="75" xfId="0" applyFont="1" applyBorder="1" applyAlignment="1">
      <alignment horizontal="center"/>
    </xf>
    <xf numFmtId="0" fontId="8" fillId="0" borderId="82" xfId="0" applyFont="1" applyBorder="1" applyAlignment="1">
      <alignment horizontal="center"/>
    </xf>
    <xf numFmtId="0" fontId="8" fillId="0" borderId="76" xfId="0" applyFont="1" applyBorder="1" applyAlignment="1">
      <alignment horizontal="center"/>
    </xf>
    <xf numFmtId="0" fontId="39" fillId="0" borderId="33" xfId="0" applyFont="1" applyBorder="1" applyAlignment="1">
      <alignment horizontal="center"/>
    </xf>
    <xf numFmtId="0" fontId="39" fillId="0" borderId="52" xfId="0" applyFont="1" applyBorder="1" applyAlignment="1">
      <alignment horizontal="center"/>
    </xf>
    <xf numFmtId="0" fontId="0" fillId="0" borderId="72" xfId="0" quotePrefix="1" applyBorder="1" applyAlignment="1">
      <alignment horizontal="center" vertical="center" wrapText="1"/>
    </xf>
    <xf numFmtId="0" fontId="0" fillId="0" borderId="73" xfId="0" quotePrefix="1" applyBorder="1" applyAlignment="1">
      <alignment horizontal="center" vertical="center" wrapText="1"/>
    </xf>
    <xf numFmtId="0" fontId="0" fillId="0" borderId="83" xfId="0" quotePrefix="1" applyBorder="1" applyAlignment="1">
      <alignment horizontal="center" vertical="center" wrapText="1"/>
    </xf>
    <xf numFmtId="0" fontId="0" fillId="0" borderId="29" xfId="0" quotePrefix="1" applyBorder="1" applyAlignment="1">
      <alignment horizontal="center" vertical="center" wrapText="1"/>
    </xf>
    <xf numFmtId="0" fontId="0" fillId="0" borderId="30" xfId="0" quotePrefix="1" applyBorder="1" applyAlignment="1">
      <alignment horizontal="center" vertical="center" wrapText="1"/>
    </xf>
    <xf numFmtId="0" fontId="0" fillId="0" borderId="31" xfId="0" quotePrefix="1" applyBorder="1" applyAlignment="1">
      <alignment horizontal="center" vertical="center" wrapText="1"/>
    </xf>
    <xf numFmtId="0" fontId="25" fillId="0" borderId="55" xfId="0" applyFont="1" applyBorder="1" applyAlignment="1">
      <alignment horizontal="center"/>
    </xf>
    <xf numFmtId="0" fontId="25" fillId="0" borderId="84" xfId="0" applyFont="1" applyBorder="1" applyAlignment="1">
      <alignment horizontal="center"/>
    </xf>
    <xf numFmtId="0" fontId="25" fillId="0" borderId="60" xfId="0" applyFont="1" applyBorder="1" applyAlignment="1">
      <alignment horizontal="center"/>
    </xf>
    <xf numFmtId="0" fontId="0" fillId="0" borderId="27" xfId="0" applyBorder="1" applyAlignment="1">
      <alignment horizontal="center"/>
    </xf>
    <xf numFmtId="0" fontId="0" fillId="0" borderId="55" xfId="0" applyBorder="1" applyAlignment="1">
      <alignment horizontal="center"/>
    </xf>
    <xf numFmtId="0" fontId="21" fillId="0" borderId="40" xfId="0" applyFont="1" applyBorder="1" applyAlignment="1">
      <alignment horizontal="center"/>
    </xf>
    <xf numFmtId="0" fontId="21" fillId="0" borderId="46" xfId="0" applyFont="1" applyBorder="1" applyAlignment="1">
      <alignment horizontal="center"/>
    </xf>
    <xf numFmtId="0" fontId="21" fillId="0" borderId="85" xfId="0" applyFont="1" applyBorder="1" applyAlignment="1">
      <alignment horizontal="center"/>
    </xf>
    <xf numFmtId="0" fontId="0" fillId="0" borderId="35" xfId="0" applyBorder="1" applyAlignment="1">
      <alignment horizontal="center"/>
    </xf>
    <xf numFmtId="0" fontId="0" fillId="0" borderId="40" xfId="0" applyBorder="1" applyAlignment="1">
      <alignment horizontal="center"/>
    </xf>
    <xf numFmtId="0" fontId="0" fillId="0" borderId="34" xfId="0" quotePrefix="1" applyBorder="1" applyAlignment="1">
      <alignment horizontal="center" vertical="center" wrapText="1"/>
    </xf>
    <xf numFmtId="0" fontId="0" fillId="0" borderId="35" xfId="0" quotePrefix="1" applyBorder="1" applyAlignment="1">
      <alignment horizontal="center" vertical="center" wrapText="1"/>
    </xf>
    <xf numFmtId="0" fontId="0" fillId="0" borderId="36" xfId="0" quotePrefix="1" applyBorder="1" applyAlignment="1">
      <alignment horizontal="center" vertical="center" wrapText="1"/>
    </xf>
    <xf numFmtId="0" fontId="38" fillId="0" borderId="42" xfId="0" applyFont="1" applyBorder="1" applyAlignment="1">
      <alignment horizontal="center"/>
    </xf>
    <xf numFmtId="0" fontId="38" fillId="0" borderId="59" xfId="0" applyFont="1" applyBorder="1" applyAlignment="1">
      <alignment horizontal="center"/>
    </xf>
    <xf numFmtId="0" fontId="38" fillId="0" borderId="61" xfId="0" applyFont="1" applyBorder="1" applyAlignment="1">
      <alignment horizontal="center"/>
    </xf>
    <xf numFmtId="0" fontId="0" fillId="0" borderId="28" xfId="0" applyBorder="1" applyAlignment="1">
      <alignment horizontal="center"/>
    </xf>
    <xf numFmtId="0" fontId="0" fillId="0" borderId="10" xfId="0" quotePrefix="1" applyBorder="1" applyAlignment="1">
      <alignment horizontal="center" vertical="center" wrapText="1"/>
    </xf>
    <xf numFmtId="0" fontId="0" fillId="0" borderId="0" xfId="0" quotePrefix="1" applyAlignment="1">
      <alignment horizontal="center" vertical="center" wrapText="1"/>
    </xf>
    <xf numFmtId="0" fontId="0" fillId="0" borderId="86" xfId="0" applyBorder="1" applyAlignment="1">
      <alignment horizontal="center"/>
    </xf>
    <xf numFmtId="0" fontId="0" fillId="0" borderId="84" xfId="0" applyBorder="1" applyAlignment="1">
      <alignment horizontal="center"/>
    </xf>
    <xf numFmtId="0" fontId="0" fillId="0" borderId="60" xfId="0" applyBorder="1" applyAlignment="1">
      <alignment horizontal="center"/>
    </xf>
    <xf numFmtId="0" fontId="0" fillId="0" borderId="56" xfId="0" applyBorder="1" applyAlignment="1">
      <alignment horizontal="center"/>
    </xf>
    <xf numFmtId="0" fontId="0" fillId="0" borderId="36" xfId="0" applyBorder="1" applyAlignment="1">
      <alignment horizontal="center"/>
    </xf>
    <xf numFmtId="0" fontId="0" fillId="0" borderId="22" xfId="0" applyBorder="1" applyAlignment="1">
      <alignment horizontal="center"/>
    </xf>
    <xf numFmtId="0" fontId="0" fillId="0" borderId="59" xfId="0" applyBorder="1" applyAlignment="1">
      <alignment horizontal="center"/>
    </xf>
    <xf numFmtId="0" fontId="0" fillId="0" borderId="6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33"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21" fillId="0" borderId="35" xfId="0" applyFont="1" applyBorder="1" applyAlignment="1">
      <alignment horizontal="center"/>
    </xf>
    <xf numFmtId="0" fontId="40" fillId="0" borderId="30" xfId="0" applyFont="1" applyBorder="1" applyAlignment="1">
      <alignment horizontal="center"/>
    </xf>
    <xf numFmtId="0" fontId="25" fillId="0" borderId="27" xfId="0" applyFont="1" applyBorder="1" applyAlignment="1">
      <alignment horizontal="center"/>
    </xf>
    <xf numFmtId="0" fontId="0" fillId="0" borderId="20" xfId="0" quotePrefix="1" applyBorder="1" applyAlignment="1">
      <alignment horizontal="center" vertical="center" wrapText="1"/>
    </xf>
    <xf numFmtId="0" fontId="0" fillId="0" borderId="88" xfId="0" applyBorder="1" applyAlignment="1">
      <alignment horizontal="center"/>
    </xf>
    <xf numFmtId="0" fontId="0" fillId="0" borderId="89" xfId="0" applyBorder="1" applyAlignment="1">
      <alignment horizontal="center"/>
    </xf>
    <xf numFmtId="0" fontId="5" fillId="0" borderId="47" xfId="0" applyFont="1" applyBorder="1" applyAlignment="1">
      <alignment horizontal="center" vertical="center"/>
    </xf>
    <xf numFmtId="0" fontId="5" fillId="0" borderId="19" xfId="0" applyFont="1" applyBorder="1" applyAlignment="1">
      <alignment horizontal="center" vertical="center"/>
    </xf>
    <xf numFmtId="0" fontId="5" fillId="0" borderId="48" xfId="0" applyFont="1" applyBorder="1" applyAlignment="1">
      <alignment horizontal="center" vertical="center"/>
    </xf>
    <xf numFmtId="0" fontId="5" fillId="0" borderId="38" xfId="0" applyFont="1" applyBorder="1" applyAlignment="1">
      <alignment horizontal="center" vertical="center"/>
    </xf>
    <xf numFmtId="0" fontId="5" fillId="0" borderId="20" xfId="0" applyFont="1" applyBorder="1" applyAlignment="1">
      <alignment horizontal="center" vertical="center"/>
    </xf>
    <xf numFmtId="0" fontId="5" fillId="0" borderId="39" xfId="0" applyFont="1" applyBorder="1" applyAlignment="1">
      <alignment horizontal="center" vertical="center"/>
    </xf>
    <xf numFmtId="0" fontId="5" fillId="0" borderId="48" xfId="0" applyFont="1" applyFill="1" applyBorder="1" applyAlignment="1">
      <alignment horizontal="center" vertical="center" textRotation="90" wrapText="1"/>
    </xf>
    <xf numFmtId="0" fontId="5" fillId="0" borderId="37" xfId="0" applyFont="1" applyFill="1" applyBorder="1" applyAlignment="1">
      <alignment horizontal="center" vertical="center" textRotation="90"/>
    </xf>
    <xf numFmtId="0" fontId="5" fillId="0" borderId="39" xfId="0" applyFont="1" applyFill="1" applyBorder="1" applyAlignment="1">
      <alignment horizontal="center" vertical="center" textRotation="90"/>
    </xf>
    <xf numFmtId="0" fontId="14" fillId="0" borderId="47" xfId="0" applyFont="1" applyBorder="1" applyAlignment="1">
      <alignment horizontal="center" vertical="center" textRotation="90" wrapText="1"/>
    </xf>
    <xf numFmtId="0" fontId="14" fillId="0" borderId="10" xfId="0" applyFont="1" applyBorder="1" applyAlignment="1">
      <alignment horizontal="center" vertical="center" textRotation="90" wrapText="1"/>
    </xf>
    <xf numFmtId="0" fontId="14" fillId="0" borderId="38" xfId="0" applyFont="1" applyBorder="1" applyAlignment="1">
      <alignment horizontal="center" vertical="center" textRotation="90" wrapText="1"/>
    </xf>
  </cellXfs>
  <cellStyles count="8">
    <cellStyle name="20% - Accent4" xfId="1" builtinId="42"/>
    <cellStyle name="40% - Accent1" xfId="2" builtinId="31"/>
    <cellStyle name="40% - Accent3" xfId="3" builtinId="39"/>
    <cellStyle name="Check Cell" xfId="7" builtinId="23"/>
    <cellStyle name="Hyperlink" xfId="4" builtinId="8"/>
    <cellStyle name="Normal" xfId="0" builtinId="0"/>
    <cellStyle name="Percent" xfId="5" builtinId="5"/>
    <cellStyle name="Style 1" xfId="6"/>
  </cellStyles>
  <dxfs count="147">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bottom" textRotation="0" wrapText="0" indent="0" justifyLastLine="0" shrinkToFit="0" readingOrder="0"/>
      <border diagonalUp="0" diagonalDown="0">
        <left/>
        <right/>
        <top style="medium">
          <color auto="1"/>
        </top>
        <bottom style="medium">
          <color auto="1"/>
        </bottom>
        <vertical/>
        <horizontal style="medium">
          <color auto="1"/>
        </horizontal>
      </border>
    </dxf>
    <dxf>
      <border outline="0">
        <left style="medium">
          <color indexed="64"/>
        </left>
      </border>
    </dxf>
    <dxf>
      <font>
        <strike val="0"/>
        <outline val="0"/>
        <shadow val="0"/>
        <u val="none"/>
        <vertAlign val="baseline"/>
        <sz val="11"/>
        <color theme="1"/>
        <name val="Calibri"/>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ill>
        <patternFill>
          <bgColor theme="0" tint="-4.9989318521683403E-2"/>
        </patternFill>
      </fill>
    </dxf>
    <dxf>
      <fill>
        <patternFill>
          <bgColor theme="0" tint="-4.9989318521683403E-2"/>
        </patternFill>
      </fill>
    </dxf>
    <dxf>
      <font>
        <b val="0"/>
        <i val="0"/>
        <strike val="0"/>
        <condense val="0"/>
        <extend val="0"/>
        <outline val="0"/>
        <shadow val="0"/>
        <u/>
        <vertAlign val="baseline"/>
        <sz val="11"/>
        <color theme="10"/>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ertAlign val="baseline"/>
        <sz val="11"/>
        <color theme="10"/>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right/>
        <top style="thin">
          <color indexed="64"/>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tint="4.9989318521683403E-2"/>
        <name val="Calibri"/>
        <scheme val="minor"/>
      </font>
    </dxf>
    <dxf>
      <font>
        <b/>
        <i val="0"/>
        <strike val="0"/>
        <condense val="0"/>
        <extend val="0"/>
        <outline val="0"/>
        <shadow val="0"/>
        <u val="none"/>
        <vertAlign val="baseline"/>
        <sz val="11"/>
        <color theme="1" tint="4.9989318521683403E-2"/>
        <name val="Calibri"/>
        <scheme val="minor"/>
      </font>
      <fill>
        <patternFill patternType="solid">
          <fgColor theme="6"/>
          <bgColor theme="6"/>
        </patternFill>
      </fill>
      <border diagonalUp="0" diagonalDown="0" outline="0">
        <left style="thin">
          <color indexed="64"/>
        </left>
        <right style="thin">
          <color indexed="64"/>
        </right>
        <top/>
        <bottom/>
      </border>
    </dxf>
    <dxf>
      <font>
        <color rgb="FF9C0006"/>
      </font>
      <fill>
        <patternFill>
          <bgColor rgb="FFFFC7CE"/>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patternType="none">
          <bgColor auto="1"/>
        </patternFill>
      </fill>
    </dxf>
    <dxf>
      <fill>
        <patternFill>
          <bgColor rgb="FF00B0F0"/>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
      <fill>
        <patternFill>
          <bgColor rgb="FF56CE6D"/>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s>
  <tableStyles count="0" defaultTableStyle="TableStyleMedium2" defaultPivotStyle="PivotStyleLight16"/>
  <colors>
    <mruColors>
      <color rgb="FFC92D15"/>
      <color rgb="FFC94015"/>
      <color rgb="FF9D1D13"/>
      <color rgb="FF56CE6D"/>
      <color rgb="FF05F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52917</xdr:colOff>
      <xdr:row>42</xdr:row>
      <xdr:rowOff>158750</xdr:rowOff>
    </xdr:from>
    <xdr:to>
      <xdr:col>2</xdr:col>
      <xdr:colOff>285750</xdr:colOff>
      <xdr:row>44</xdr:row>
      <xdr:rowOff>158751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2917" y="14732000"/>
          <a:ext cx="2095500" cy="59266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ysClr val="windowText" lastClr="000000"/>
              </a:solidFill>
            </a:rPr>
            <a:t>Original code from UTLKE Edited by Alex Lieberman     </a:t>
          </a:r>
        </a:p>
        <a:p>
          <a:endParaRPr lang="en-US" sz="1100">
            <a:solidFill>
              <a:sysClr val="windowText" lastClr="000000"/>
            </a:solidFill>
          </a:endParaRPr>
        </a:p>
        <a:p>
          <a:r>
            <a:rPr lang="en-US" sz="1100">
              <a:solidFill>
                <a:schemeClr val="bg1">
                  <a:lumMod val="50000"/>
                </a:schemeClr>
              </a:solidFill>
            </a:rPr>
            <a:t>Pass:</a:t>
          </a:r>
          <a:r>
            <a:rPr lang="en-US" sz="1100" baseline="0">
              <a:solidFill>
                <a:schemeClr val="bg1">
                  <a:lumMod val="50000"/>
                </a:schemeClr>
              </a:solidFill>
            </a:rPr>
            <a:t>  UPSCOORAstats</a:t>
          </a:r>
          <a:endParaRPr lang="en-US" sz="1100">
            <a:solidFill>
              <a:schemeClr val="bg1">
                <a:lumMod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4</xdr:row>
          <xdr:rowOff>323850</xdr:rowOff>
        </xdr:from>
        <xdr:to>
          <xdr:col>4</xdr:col>
          <xdr:colOff>914400</xdr:colOff>
          <xdr:row>7</xdr:row>
          <xdr:rowOff>95250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End</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923925</xdr:colOff>
          <xdr:row>13</xdr:row>
          <xdr:rowOff>47625</xdr:rowOff>
        </xdr:from>
        <xdr:to>
          <xdr:col>5</xdr:col>
          <xdr:colOff>2828925</xdr:colOff>
          <xdr:row>15</xdr:row>
          <xdr:rowOff>66675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13</xdr:row>
          <xdr:rowOff>47625</xdr:rowOff>
        </xdr:from>
        <xdr:to>
          <xdr:col>6</xdr:col>
          <xdr:colOff>962025</xdr:colOff>
          <xdr:row>15</xdr:row>
          <xdr:rowOff>66675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PD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1466850</xdr:colOff>
          <xdr:row>13</xdr:row>
          <xdr:rowOff>38100</xdr:rowOff>
        </xdr:from>
        <xdr:to>
          <xdr:col>6</xdr:col>
          <xdr:colOff>3371850</xdr:colOff>
          <xdr:row>15</xdr:row>
          <xdr:rowOff>57150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Smalls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16</xdr:row>
          <xdr:rowOff>152400</xdr:rowOff>
        </xdr:from>
        <xdr:to>
          <xdr:col>6</xdr:col>
          <xdr:colOff>962025</xdr:colOff>
          <xdr:row>18</xdr:row>
          <xdr:rowOff>171450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Reset Entire Stats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5</xdr:row>
          <xdr:rowOff>0</xdr:rowOff>
        </xdr:from>
        <xdr:to>
          <xdr:col>4</xdr:col>
          <xdr:colOff>3705225</xdr:colOff>
          <xdr:row>6</xdr:row>
          <xdr:rowOff>47625</xdr:rowOff>
        </xdr:to>
        <xdr:sp macro="" textlink="">
          <xdr:nvSpPr>
            <xdr:cNvPr id="4113" name="cbPSstat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PS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6</xdr:row>
          <xdr:rowOff>28575</xdr:rowOff>
        </xdr:from>
        <xdr:to>
          <xdr:col>4</xdr:col>
          <xdr:colOff>4248150</xdr:colOff>
          <xdr:row>7</xdr:row>
          <xdr:rowOff>76200</xdr:rowOff>
        </xdr:to>
        <xdr:sp macro="" textlink="">
          <xdr:nvSpPr>
            <xdr:cNvPr id="4114" name="cbPDstats"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Outbound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4</xdr:row>
          <xdr:rowOff>333375</xdr:rowOff>
        </xdr:from>
        <xdr:to>
          <xdr:col>4</xdr:col>
          <xdr:colOff>4295775</xdr:colOff>
          <xdr:row>7</xdr:row>
          <xdr:rowOff>114300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Stats Type Selection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3333750</xdr:colOff>
          <xdr:row>3</xdr:row>
          <xdr:rowOff>171450</xdr:rowOff>
        </xdr:from>
        <xdr:to>
          <xdr:col>6</xdr:col>
          <xdr:colOff>952500</xdr:colOff>
          <xdr:row>4</xdr:row>
          <xdr:rowOff>95250</xdr:rowOff>
        </xdr:to>
        <xdr:sp macro="" textlink="">
          <xdr:nvSpPr>
            <xdr:cNvPr id="4116" name="EditEmailBtn"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3324225</xdr:colOff>
          <xdr:row>4</xdr:row>
          <xdr:rowOff>333375</xdr:rowOff>
        </xdr:from>
        <xdr:to>
          <xdr:col>6</xdr:col>
          <xdr:colOff>942975</xdr:colOff>
          <xdr:row>6</xdr:row>
          <xdr:rowOff>104775</xdr:rowOff>
        </xdr:to>
        <xdr:sp macro="" textlink="">
          <xdr:nvSpPr>
            <xdr:cNvPr id="4117" name="EditEmailBtn"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3190875</xdr:colOff>
          <xdr:row>22</xdr:row>
          <xdr:rowOff>247650</xdr:rowOff>
        </xdr:from>
        <xdr:to>
          <xdr:col>6</xdr:col>
          <xdr:colOff>1066800</xdr:colOff>
          <xdr:row>23</xdr:row>
          <xdr:rowOff>133350</xdr:rowOff>
        </xdr:to>
        <xdr:sp macro="" textlink="">
          <xdr:nvSpPr>
            <xdr:cNvPr id="4118" name="TextBoxPasswor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24</xdr:row>
          <xdr:rowOff>19050</xdr:rowOff>
        </xdr:from>
        <xdr:to>
          <xdr:col>6</xdr:col>
          <xdr:colOff>1057275</xdr:colOff>
          <xdr:row>25</xdr:row>
          <xdr:rowOff>114300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3190875</xdr:colOff>
          <xdr:row>24</xdr:row>
          <xdr:rowOff>9525</xdr:rowOff>
        </xdr:from>
        <xdr:to>
          <xdr:col>5</xdr:col>
          <xdr:colOff>4171950</xdr:colOff>
          <xdr:row>25</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15</xdr:row>
          <xdr:rowOff>85725</xdr:rowOff>
        </xdr:from>
        <xdr:to>
          <xdr:col>4</xdr:col>
          <xdr:colOff>904875</xdr:colOff>
          <xdr:row>17</xdr:row>
          <xdr:rowOff>28575</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933450</xdr:colOff>
          <xdr:row>17</xdr:row>
          <xdr:rowOff>257175</xdr:rowOff>
        </xdr:from>
        <xdr:to>
          <xdr:col>4</xdr:col>
          <xdr:colOff>438150</xdr:colOff>
          <xdr:row>19</xdr:row>
          <xdr:rowOff>9525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Instructions</a:t>
              </a:r>
            </a:p>
          </xdr:txBody>
        </xdr:sp>
        <xdr:clientData fPrintsWithSheet="0"/>
      </xdr:twoCellAnchor>
    </mc:Choice>
    <mc:Fallback/>
  </mc:AlternateContent>
  <xdr:twoCellAnchor>
    <xdr:from>
      <xdr:col>1</xdr:col>
      <xdr:colOff>409575</xdr:colOff>
      <xdr:row>3</xdr:row>
      <xdr:rowOff>409575</xdr:rowOff>
    </xdr:from>
    <xdr:to>
      <xdr:col>2</xdr:col>
      <xdr:colOff>695325</xdr:colOff>
      <xdr:row>5</xdr:row>
      <xdr:rowOff>85725</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600075" y="1628775"/>
          <a:ext cx="1762125" cy="5905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1314450</xdr:colOff>
          <xdr:row>5</xdr:row>
          <xdr:rowOff>9525</xdr:rowOff>
        </xdr:from>
        <xdr:to>
          <xdr:col>4</xdr:col>
          <xdr:colOff>2438400</xdr:colOff>
          <xdr:row>6</xdr:row>
          <xdr:rowOff>47625</xdr:rowOff>
        </xdr:to>
        <xdr:sp macro="" textlink="">
          <xdr:nvSpPr>
            <xdr:cNvPr id="4130" name="All Stats"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All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xdr:row>
          <xdr:rowOff>9525</xdr:rowOff>
        </xdr:from>
        <xdr:to>
          <xdr:col>4</xdr:col>
          <xdr:colOff>2638425</xdr:colOff>
          <xdr:row>7</xdr:row>
          <xdr:rowOff>95250</xdr:rowOff>
        </xdr:to>
        <xdr:sp macro="" textlink="">
          <xdr:nvSpPr>
            <xdr:cNvPr id="4131" name="cbSSstats"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Smalls Stats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37466</xdr:colOff>
      <xdr:row>4</xdr:row>
      <xdr:rowOff>155573</xdr:rowOff>
    </xdr:from>
    <xdr:to>
      <xdr:col>15</xdr:col>
      <xdr:colOff>222250</xdr:colOff>
      <xdr:row>4</xdr:row>
      <xdr:rowOff>155574</xdr:rowOff>
    </xdr:to>
    <xdr:sp macro="" textlink="">
      <xdr:nvSpPr>
        <xdr:cNvPr id="2" name="Line 7">
          <a:extLst>
            <a:ext uri="{FF2B5EF4-FFF2-40B4-BE49-F238E27FC236}">
              <a16:creationId xmlns:a16="http://schemas.microsoft.com/office/drawing/2014/main" id="{00000000-0008-0000-0900-000002000000}"/>
            </a:ext>
          </a:extLst>
        </xdr:cNvPr>
        <xdr:cNvSpPr>
          <a:spLocks noChangeShapeType="1"/>
        </xdr:cNvSpPr>
      </xdr:nvSpPr>
      <xdr:spPr bwMode="auto">
        <a:xfrm>
          <a:off x="2790191" y="984248"/>
          <a:ext cx="2470784"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xdr:colOff>
      <xdr:row>7</xdr:row>
      <xdr:rowOff>130808</xdr:rowOff>
    </xdr:from>
    <xdr:to>
      <xdr:col>17</xdr:col>
      <xdr:colOff>219075</xdr:colOff>
      <xdr:row>7</xdr:row>
      <xdr:rowOff>142876</xdr:rowOff>
    </xdr:to>
    <xdr:sp macro="" textlink="">
      <xdr:nvSpPr>
        <xdr:cNvPr id="3" name="Line 3">
          <a:extLst>
            <a:ext uri="{FF2B5EF4-FFF2-40B4-BE49-F238E27FC236}">
              <a16:creationId xmlns:a16="http://schemas.microsoft.com/office/drawing/2014/main" id="{00000000-0008-0000-0900-000003000000}"/>
            </a:ext>
          </a:extLst>
        </xdr:cNvPr>
        <xdr:cNvSpPr>
          <a:spLocks noChangeShapeType="1"/>
        </xdr:cNvSpPr>
      </xdr:nvSpPr>
      <xdr:spPr bwMode="auto">
        <a:xfrm>
          <a:off x="3324226" y="1759583"/>
          <a:ext cx="2505074" cy="12068"/>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10795</xdr:colOff>
      <xdr:row>9</xdr:row>
      <xdr:rowOff>139699</xdr:rowOff>
    </xdr:from>
    <xdr:to>
      <xdr:col>25</xdr:col>
      <xdr:colOff>216535</xdr:colOff>
      <xdr:row>9</xdr:row>
      <xdr:rowOff>151130</xdr:rowOff>
    </xdr:to>
    <xdr:sp macro="" textlink="">
      <xdr:nvSpPr>
        <xdr:cNvPr id="4" name="Line 13">
          <a:extLst>
            <a:ext uri="{FF2B5EF4-FFF2-40B4-BE49-F238E27FC236}">
              <a16:creationId xmlns:a16="http://schemas.microsoft.com/office/drawing/2014/main" id="{00000000-0008-0000-0900-000004000000}"/>
            </a:ext>
          </a:extLst>
        </xdr:cNvPr>
        <xdr:cNvSpPr>
          <a:spLocks noChangeShapeType="1"/>
        </xdr:cNvSpPr>
      </xdr:nvSpPr>
      <xdr:spPr bwMode="auto">
        <a:xfrm>
          <a:off x="5621020" y="2301874"/>
          <a:ext cx="2491740" cy="1143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17146</xdr:colOff>
      <xdr:row>10</xdr:row>
      <xdr:rowOff>145414</xdr:rowOff>
    </xdr:from>
    <xdr:to>
      <xdr:col>25</xdr:col>
      <xdr:colOff>213360</xdr:colOff>
      <xdr:row>10</xdr:row>
      <xdr:rowOff>151129</xdr:rowOff>
    </xdr:to>
    <xdr:sp macro="" textlink="">
      <xdr:nvSpPr>
        <xdr:cNvPr id="5" name="Line 13">
          <a:extLst>
            <a:ext uri="{FF2B5EF4-FFF2-40B4-BE49-F238E27FC236}">
              <a16:creationId xmlns:a16="http://schemas.microsoft.com/office/drawing/2014/main" id="{00000000-0008-0000-0900-000005000000}"/>
            </a:ext>
          </a:extLst>
        </xdr:cNvPr>
        <xdr:cNvSpPr>
          <a:spLocks noChangeShapeType="1"/>
        </xdr:cNvSpPr>
      </xdr:nvSpPr>
      <xdr:spPr bwMode="auto">
        <a:xfrm flipV="1">
          <a:off x="5627371" y="2574289"/>
          <a:ext cx="2482214" cy="5715"/>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18</xdr:col>
      <xdr:colOff>1905</xdr:colOff>
      <xdr:row>6</xdr:row>
      <xdr:rowOff>22860</xdr:rowOff>
    </xdr:from>
    <xdr:ext cx="731520" cy="274320"/>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5897880" y="1384935"/>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JEFF</a:t>
          </a:r>
        </a:p>
      </xdr:txBody>
    </xdr:sp>
    <xdr:clientData/>
  </xdr:oneCellAnchor>
  <xdr:oneCellAnchor>
    <xdr:from>
      <xdr:col>9</xdr:col>
      <xdr:colOff>102869</xdr:colOff>
      <xdr:row>10</xdr:row>
      <xdr:rowOff>265747</xdr:rowOff>
    </xdr:from>
    <xdr:ext cx="763905" cy="280205"/>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3427094" y="2694622"/>
          <a:ext cx="763905"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ANDREW</a:t>
          </a:r>
        </a:p>
      </xdr:txBody>
    </xdr:sp>
    <xdr:clientData/>
  </xdr:oneCellAnchor>
  <xdr:oneCellAnchor>
    <xdr:from>
      <xdr:col>17</xdr:col>
      <xdr:colOff>268605</xdr:colOff>
      <xdr:row>7</xdr:row>
      <xdr:rowOff>249639</xdr:rowOff>
    </xdr:from>
    <xdr:ext cx="731520" cy="274320"/>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5878830" y="1878414"/>
          <a:ext cx="731520" cy="27432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SEAN</a:t>
          </a:r>
        </a:p>
      </xdr:txBody>
    </xdr:sp>
    <xdr:clientData/>
  </xdr:oneCellAnchor>
  <xdr:oneCellAnchor>
    <xdr:from>
      <xdr:col>25</xdr:col>
      <xdr:colOff>238125</xdr:colOff>
      <xdr:row>8</xdr:row>
      <xdr:rowOff>226779</xdr:rowOff>
    </xdr:from>
    <xdr:ext cx="731520" cy="274320"/>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8134350" y="2122254"/>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JAIME</a:t>
          </a:r>
        </a:p>
      </xdr:txBody>
    </xdr:sp>
    <xdr:clientData/>
  </xdr:oneCellAnchor>
  <xdr:oneCellAnchor>
    <xdr:from>
      <xdr:col>9</xdr:col>
      <xdr:colOff>139065</xdr:colOff>
      <xdr:row>12</xdr:row>
      <xdr:rowOff>37147</xdr:rowOff>
    </xdr:from>
    <xdr:ext cx="731520" cy="280205"/>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3463290" y="29994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endParaRPr lang="en-US" sz="1200">
            <a:solidFill>
              <a:srgbClr val="FF0000"/>
            </a:solidFill>
          </a:endParaRPr>
        </a:p>
      </xdr:txBody>
    </xdr:sp>
    <xdr:clientData/>
  </xdr:oneCellAnchor>
  <xdr:oneCellAnchor>
    <xdr:from>
      <xdr:col>16</xdr:col>
      <xdr:colOff>24765</xdr:colOff>
      <xdr:row>4</xdr:row>
      <xdr:rowOff>260032</xdr:rowOff>
    </xdr:from>
    <xdr:ext cx="731520" cy="280205"/>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5349240" y="1088707"/>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ctr"/>
          <a:endParaRPr lang="en-US" sz="1200">
            <a:solidFill>
              <a:schemeClr val="dk1"/>
            </a:solidFill>
            <a:latin typeface="+mn-lt"/>
            <a:ea typeface="+mn-ea"/>
            <a:cs typeface="+mn-cs"/>
          </a:endParaRPr>
        </a:p>
      </xdr:txBody>
    </xdr:sp>
    <xdr:clientData/>
  </xdr:oneCellAnchor>
  <xdr:oneCellAnchor>
    <xdr:from>
      <xdr:col>18</xdr:col>
      <xdr:colOff>40005</xdr:colOff>
      <xdr:row>7</xdr:row>
      <xdr:rowOff>15114</xdr:rowOff>
    </xdr:from>
    <xdr:ext cx="685800" cy="274320"/>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5935980" y="1643889"/>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DENNIS</a:t>
          </a:r>
        </a:p>
      </xdr:txBody>
    </xdr:sp>
    <xdr:clientData/>
  </xdr:oneCellAnchor>
  <xdr:oneCellAnchor>
    <xdr:from>
      <xdr:col>15</xdr:col>
      <xdr:colOff>217172</xdr:colOff>
      <xdr:row>3</xdr:row>
      <xdr:rowOff>238125</xdr:rowOff>
    </xdr:from>
    <xdr:ext cx="685800" cy="274320"/>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5255897" y="819150"/>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200"/>
            <a:t>DON</a:t>
          </a:r>
          <a:endParaRPr lang="en-US" sz="1200">
            <a:solidFill>
              <a:srgbClr val="FF0000"/>
            </a:solidFill>
          </a:endParaRPr>
        </a:p>
      </xdr:txBody>
    </xdr:sp>
    <xdr:clientData/>
  </xdr:oneCellAnchor>
  <xdr:twoCellAnchor>
    <xdr:from>
      <xdr:col>3</xdr:col>
      <xdr:colOff>678181</xdr:colOff>
      <xdr:row>12</xdr:row>
      <xdr:rowOff>123826</xdr:rowOff>
    </xdr:from>
    <xdr:to>
      <xdr:col>9</xdr:col>
      <xdr:colOff>28575</xdr:colOff>
      <xdr:row>12</xdr:row>
      <xdr:rowOff>137160</xdr:rowOff>
    </xdr:to>
    <xdr:sp macro="" textlink="">
      <xdr:nvSpPr>
        <xdr:cNvPr id="14" name="Line 12">
          <a:extLst>
            <a:ext uri="{FF2B5EF4-FFF2-40B4-BE49-F238E27FC236}">
              <a16:creationId xmlns:a16="http://schemas.microsoft.com/office/drawing/2014/main" id="{00000000-0008-0000-0900-00000E000000}"/>
            </a:ext>
          </a:extLst>
        </xdr:cNvPr>
        <xdr:cNvSpPr>
          <a:spLocks noChangeShapeType="1"/>
        </xdr:cNvSpPr>
      </xdr:nvSpPr>
      <xdr:spPr bwMode="auto">
        <a:xfrm flipV="1">
          <a:off x="1878331" y="3086101"/>
          <a:ext cx="1474469" cy="13334"/>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3174</xdr:colOff>
      <xdr:row>12</xdr:row>
      <xdr:rowOff>139699</xdr:rowOff>
    </xdr:from>
    <xdr:to>
      <xdr:col>37</xdr:col>
      <xdr:colOff>19049</xdr:colOff>
      <xdr:row>12</xdr:row>
      <xdr:rowOff>152399</xdr:rowOff>
    </xdr:to>
    <xdr:sp macro="" textlink="">
      <xdr:nvSpPr>
        <xdr:cNvPr id="15" name="Line 14">
          <a:extLst>
            <a:ext uri="{FF2B5EF4-FFF2-40B4-BE49-F238E27FC236}">
              <a16:creationId xmlns:a16="http://schemas.microsoft.com/office/drawing/2014/main" id="{00000000-0008-0000-0900-00000F000000}"/>
            </a:ext>
          </a:extLst>
        </xdr:cNvPr>
        <xdr:cNvSpPr>
          <a:spLocks noChangeShapeType="1"/>
        </xdr:cNvSpPr>
      </xdr:nvSpPr>
      <xdr:spPr bwMode="auto">
        <a:xfrm>
          <a:off x="7899399" y="3101974"/>
          <a:ext cx="1158875" cy="12700"/>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133350</xdr:rowOff>
    </xdr:from>
    <xdr:to>
      <xdr:col>9</xdr:col>
      <xdr:colOff>47625</xdr:colOff>
      <xdr:row>11</xdr:row>
      <xdr:rowOff>142875</xdr:rowOff>
    </xdr:to>
    <xdr:sp macro="" textlink="">
      <xdr:nvSpPr>
        <xdr:cNvPr id="16" name="Line 12">
          <a:extLst>
            <a:ext uri="{FF2B5EF4-FFF2-40B4-BE49-F238E27FC236}">
              <a16:creationId xmlns:a16="http://schemas.microsoft.com/office/drawing/2014/main" id="{00000000-0008-0000-0900-000010000000}"/>
            </a:ext>
          </a:extLst>
        </xdr:cNvPr>
        <xdr:cNvSpPr>
          <a:spLocks noChangeShapeType="1"/>
        </xdr:cNvSpPr>
      </xdr:nvSpPr>
      <xdr:spPr bwMode="auto">
        <a:xfrm flipV="1">
          <a:off x="1905000" y="2828925"/>
          <a:ext cx="1466850" cy="9525"/>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9524</xdr:colOff>
      <xdr:row>11</xdr:row>
      <xdr:rowOff>152399</xdr:rowOff>
    </xdr:from>
    <xdr:to>
      <xdr:col>37</xdr:col>
      <xdr:colOff>9525</xdr:colOff>
      <xdr:row>11</xdr:row>
      <xdr:rowOff>161925</xdr:rowOff>
    </xdr:to>
    <xdr:sp macro="" textlink="">
      <xdr:nvSpPr>
        <xdr:cNvPr id="17" name="Line 14">
          <a:extLst>
            <a:ext uri="{FF2B5EF4-FFF2-40B4-BE49-F238E27FC236}">
              <a16:creationId xmlns:a16="http://schemas.microsoft.com/office/drawing/2014/main" id="{00000000-0008-0000-0900-000011000000}"/>
            </a:ext>
          </a:extLst>
        </xdr:cNvPr>
        <xdr:cNvSpPr>
          <a:spLocks noChangeShapeType="1"/>
        </xdr:cNvSpPr>
      </xdr:nvSpPr>
      <xdr:spPr bwMode="auto">
        <a:xfrm flipV="1">
          <a:off x="7905749" y="2847974"/>
          <a:ext cx="1143001" cy="9526"/>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8</xdr:col>
      <xdr:colOff>276225</xdr:colOff>
      <xdr:row>8</xdr:row>
      <xdr:rowOff>142873</xdr:rowOff>
    </xdr:from>
    <xdr:to>
      <xdr:col>17</xdr:col>
      <xdr:colOff>219075</xdr:colOff>
      <xdr:row>8</xdr:row>
      <xdr:rowOff>142874</xdr:rowOff>
    </xdr:to>
    <xdr:sp macro="" textlink="">
      <xdr:nvSpPr>
        <xdr:cNvPr id="18" name="Line 3">
          <a:extLst>
            <a:ext uri="{FF2B5EF4-FFF2-40B4-BE49-F238E27FC236}">
              <a16:creationId xmlns:a16="http://schemas.microsoft.com/office/drawing/2014/main" id="{00000000-0008-0000-0900-000012000000}"/>
            </a:ext>
          </a:extLst>
        </xdr:cNvPr>
        <xdr:cNvSpPr>
          <a:spLocks noChangeShapeType="1"/>
        </xdr:cNvSpPr>
      </xdr:nvSpPr>
      <xdr:spPr bwMode="auto">
        <a:xfrm>
          <a:off x="3314700" y="2038348"/>
          <a:ext cx="2514600" cy="1"/>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266699</xdr:colOff>
      <xdr:row>6</xdr:row>
      <xdr:rowOff>142875</xdr:rowOff>
    </xdr:from>
    <xdr:to>
      <xdr:col>17</xdr:col>
      <xdr:colOff>219074</xdr:colOff>
      <xdr:row>6</xdr:row>
      <xdr:rowOff>142876</xdr:rowOff>
    </xdr:to>
    <xdr:sp macro="" textlink="">
      <xdr:nvSpPr>
        <xdr:cNvPr id="19" name="Line 3">
          <a:extLst>
            <a:ext uri="{FF2B5EF4-FFF2-40B4-BE49-F238E27FC236}">
              <a16:creationId xmlns:a16="http://schemas.microsoft.com/office/drawing/2014/main" id="{00000000-0008-0000-0900-000013000000}"/>
            </a:ext>
          </a:extLst>
        </xdr:cNvPr>
        <xdr:cNvSpPr>
          <a:spLocks noChangeShapeType="1"/>
        </xdr:cNvSpPr>
      </xdr:nvSpPr>
      <xdr:spPr bwMode="auto">
        <a:xfrm flipV="1">
          <a:off x="3305174" y="1504950"/>
          <a:ext cx="2524125"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47625</xdr:colOff>
      <xdr:row>5</xdr:row>
      <xdr:rowOff>152400</xdr:rowOff>
    </xdr:from>
    <xdr:to>
      <xdr:col>15</xdr:col>
      <xdr:colOff>209551</xdr:colOff>
      <xdr:row>5</xdr:row>
      <xdr:rowOff>161925</xdr:rowOff>
    </xdr:to>
    <xdr:sp macro="" textlink="">
      <xdr:nvSpPr>
        <xdr:cNvPr id="20" name="Line 3">
          <a:extLst>
            <a:ext uri="{FF2B5EF4-FFF2-40B4-BE49-F238E27FC236}">
              <a16:creationId xmlns:a16="http://schemas.microsoft.com/office/drawing/2014/main" id="{00000000-0008-0000-0900-000014000000}"/>
            </a:ext>
          </a:extLst>
        </xdr:cNvPr>
        <xdr:cNvSpPr>
          <a:spLocks noChangeShapeType="1"/>
        </xdr:cNvSpPr>
      </xdr:nvSpPr>
      <xdr:spPr bwMode="auto">
        <a:xfrm flipV="1">
          <a:off x="2800350" y="1247775"/>
          <a:ext cx="2447926" cy="9525"/>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25</xdr:col>
      <xdr:colOff>234315</xdr:colOff>
      <xdr:row>9</xdr:row>
      <xdr:rowOff>265747</xdr:rowOff>
    </xdr:from>
    <xdr:ext cx="731520" cy="280205"/>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8130540" y="24279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solidFill>
                <a:srgbClr val="FF0000"/>
              </a:solidFill>
            </a:rPr>
            <a:t>DEREK</a:t>
          </a:r>
        </a:p>
      </xdr:txBody>
    </xdr:sp>
    <xdr:clientData/>
  </xdr:oneCellAnchor>
</xdr:wsDr>
</file>

<file path=xl/tables/table1.xml><?xml version="1.0" encoding="utf-8"?>
<table xmlns="http://schemas.openxmlformats.org/spreadsheetml/2006/main" id="8" name="Table8" displayName="Table8" ref="F2:P40" totalsRowShown="0" headerRowDxfId="56" dataDxfId="55" tableBorderDxfId="54">
  <autoFilter ref="F2:P40"/>
  <tableColumns count="11">
    <tableColumn id="1" name="Location" dataDxfId="53"/>
    <tableColumn id="2" name="Date" dataDxfId="52"/>
    <tableColumn id="3" name="Start Time" dataDxfId="51"/>
    <tableColumn id="4" name="End Time" dataDxfId="50"/>
    <tableColumn id="5" name="Duration" dataDxfId="49"/>
    <tableColumn id="6" name="Reported by" dataDxfId="48"/>
    <tableColumn id="7" name="Material" dataDxfId="47"/>
    <tableColumn id="8" name="Light Curtain" dataDxfId="46"/>
    <tableColumn id="9" name="Matrix Modules" dataDxfId="45"/>
    <tableColumn id="10" name="Bottom Mirror" dataDxfId="44"/>
    <tableColumn id="11" name="Comments" dataDxfId="43"/>
  </tableColumns>
  <tableStyleInfo name="TableStyleMedium2" showFirstColumn="0" showLastColumn="0" showRowStripes="1" showColumnStripes="0"/>
</table>
</file>

<file path=xl/tables/table2.xml><?xml version="1.0" encoding="utf-8"?>
<table xmlns="http://schemas.openxmlformats.org/spreadsheetml/2006/main" id="3" name="MSEmailTable" displayName="MSEmailTable" ref="A1:A11" totalsRowShown="0" dataCellStyle="Hyperlink">
  <autoFilter ref="A1:A11"/>
  <sortState ref="A2:A27">
    <sortCondition ref="A1:A27"/>
  </sortState>
  <tableColumns count="1">
    <tableColumn id="1" name="Preload Email" dataCellStyle="Hyperlink"/>
  </tableColumns>
  <tableStyleInfo name="TableStyleMedium2" showFirstColumn="0" showLastColumn="0" showRowStripes="1" showColumnStripes="0"/>
</table>
</file>

<file path=xl/tables/table3.xml><?xml version="1.0" encoding="utf-8"?>
<table xmlns="http://schemas.openxmlformats.org/spreadsheetml/2006/main" id="4" name="PSEmailTable" displayName="PSEmailTable" ref="C1:C4" totalsRowShown="0" headerRowDxfId="42" dataDxfId="40" headerRowBorderDxfId="41" tableBorderDxfId="39" totalsRowBorderDxfId="38" dataCellStyle="Hyperlink">
  <autoFilter ref="C1:C4"/>
  <sortState ref="C2:C26">
    <sortCondition ref="C1:C26"/>
  </sortState>
  <tableColumns count="1">
    <tableColumn id="1" name="Day/ Twi Email" dataDxfId="37" dataCellStyle="Hyperlink"/>
  </tableColumns>
  <tableStyleInfo name="TableStyleMedium2" showFirstColumn="0" showLastColumn="0" showRowStripes="1" showColumnStripes="0"/>
</table>
</file>

<file path=xl/tables/table4.xml><?xml version="1.0" encoding="utf-8"?>
<table xmlns="http://schemas.openxmlformats.org/spreadsheetml/2006/main" id="2" name="Table14" displayName="Table14" ref="A2:D15" totalsRowShown="0" headerRowDxfId="34">
  <autoFilter ref="A2:D15"/>
  <tableColumns count="4">
    <tableColumn id="1" name="Name"/>
    <tableColumn id="2" name="Title"/>
    <tableColumn id="3" name="Phone"/>
    <tableColumn id="4" name="Avaliability"/>
  </tableColumns>
  <tableStyleInfo name="TableStyleMedium2" showFirstColumn="0" showLastColumn="0" showRowStripes="1" showColumnStripes="0"/>
</table>
</file>

<file path=xl/tables/table5.xml><?xml version="1.0" encoding="utf-8"?>
<table xmlns="http://schemas.openxmlformats.org/spreadsheetml/2006/main" id="5" name="Table135" displayName="Table135" ref="G2:I14" totalsRowShown="0" headerRowDxfId="33">
  <autoFilter ref="G2:I14"/>
  <tableColumns count="3">
    <tableColumn id="1" name="Name"/>
    <tableColumn id="2" name="Title"/>
    <tableColumn id="3" name="Phone"/>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3:O16" totalsRowShown="0" headerRowDxfId="16" tableBorderDxfId="15">
  <autoFilter ref="A3:O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Sorter" dataDxfId="14"/>
    <tableColumn id="2" name="No Read" dataDxfId="13">
      <calculatedColumnFormula>IF(Stats!$N6 &lt;&gt; 0, Stats!D28, 0)</calculatedColumnFormula>
    </tableColumn>
    <tableColumn id="3" name="NR_x000a_Rank" dataDxfId="12">
      <calculatedColumnFormula>IF(B4, RANK(B4,B$14:B$16,1) - COUNTIF(B$14:B$16,0),0)</calculatedColumnFormula>
    </tableColumn>
    <tableColumn id="4" name="No PLC ID" dataDxfId="11">
      <calculatedColumnFormula>IF(Stats!$N6 &lt;&gt; 0, Stats!H28, 0)</calculatedColumnFormula>
    </tableColumn>
    <tableColumn id="5" name="NPID_x000a_Rank" dataDxfId="10">
      <calculatedColumnFormula>IF(D4, RANK(D4,D$14:D$16,1) - COUNTIF(D$14:D$16,0),0)</calculatedColumnFormula>
    </tableColumn>
    <tableColumn id="6" name="Lost in Tracking" dataDxfId="9">
      <calculatedColumnFormula>IF(Stats!$N6 &lt;&gt; 0, Stats!G28, 0)</calculatedColumnFormula>
    </tableColumn>
    <tableColumn id="7" name="LT_x000a_Rank" dataDxfId="8">
      <calculatedColumnFormula>IF(F4, RANK(F4,F$14:F$16,1) - COUNTIF(F$14:F$16,0),0)</calculatedColumnFormula>
    </tableColumn>
    <tableColumn id="8" name="Spacing Error" dataDxfId="7">
      <calculatedColumnFormula>IF(Stats!$N6 &lt;&gt; 0, Stats!E28, 0)</calculatedColumnFormula>
    </tableColumn>
    <tableColumn id="9" name="SE_x000a_Rank" dataDxfId="6">
      <calculatedColumnFormula>IF(H4, RANK(H4,H$14:H$16,1) - COUNTIF(H$14:H$16,0),0)</calculatedColumnFormula>
    </tableColumn>
    <tableColumn id="10" name="Diverter Failed" dataDxfId="5">
      <calculatedColumnFormula>IF(Stats!$N6 &lt;&gt; 0, Stats!I28, 0)</calculatedColumnFormula>
    </tableColumn>
    <tableColumn id="11" name="DF_x000a_Rank" dataDxfId="4">
      <calculatedColumnFormula>IF(J4, RANK(J4,J$14:J$16,1) - COUNTIF(J$14:J$16,0),0)</calculatedColumnFormula>
    </tableColumn>
    <tableColumn id="12" name="Average Rank" dataDxfId="3">
      <calculatedColumnFormula>(C4+E4+G4+I4+K4)/5</calculatedColumnFormula>
    </tableColumn>
    <tableColumn id="13" name="Column6" dataDxfId="2"/>
    <tableColumn id="14" name="Total OTE %" dataDxfId="1">
      <calculatedColumnFormula>SUM(B4,D4,F4,H4,J4)</calculatedColumnFormula>
    </tableColumn>
    <tableColumn id="15" name="Column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2.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4.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AppData/" TargetMode="External"/><Relationship Id="rId1" Type="http://schemas.openxmlformats.org/officeDocument/2006/relationships/hyperlink" Target="http://10.29.136.44/trending_bigs/"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hyperlink" Target="mailto:jrburke@ups.com" TargetMode="External"/><Relationship Id="rId13" Type="http://schemas.openxmlformats.org/officeDocument/2006/relationships/table" Target="../tables/table3.xml"/><Relationship Id="rId3" Type="http://schemas.openxmlformats.org/officeDocument/2006/relationships/hyperlink" Target="mailto:hwashington@ups.com" TargetMode="External"/><Relationship Id="rId7" Type="http://schemas.openxmlformats.org/officeDocument/2006/relationships/hyperlink" Target="mailto:ngustafson@ups.com" TargetMode="External"/><Relationship Id="rId12" Type="http://schemas.openxmlformats.org/officeDocument/2006/relationships/table" Target="../tables/table2.xml"/><Relationship Id="rId2" Type="http://schemas.openxmlformats.org/officeDocument/2006/relationships/hyperlink" Target="mailto:jyounce@ups.com" TargetMode="External"/><Relationship Id="rId1" Type="http://schemas.openxmlformats.org/officeDocument/2006/relationships/hyperlink" Target="mailto:rwoodman@ups.com" TargetMode="External"/><Relationship Id="rId6" Type="http://schemas.openxmlformats.org/officeDocument/2006/relationships/hyperlink" Target="mailto:ashafenberg@ups.com" TargetMode="External"/><Relationship Id="rId11" Type="http://schemas.openxmlformats.org/officeDocument/2006/relationships/hyperlink" Target="mailto:jyounce@ups.com" TargetMode="External"/><Relationship Id="rId5" Type="http://schemas.openxmlformats.org/officeDocument/2006/relationships/hyperlink" Target="mailto:relmessan@ups.com" TargetMode="External"/><Relationship Id="rId10" Type="http://schemas.openxmlformats.org/officeDocument/2006/relationships/hyperlink" Target="mailto:rwoodman@ups.com" TargetMode="External"/><Relationship Id="rId4" Type="http://schemas.openxmlformats.org/officeDocument/2006/relationships/hyperlink" Target="mailto:jrrobles@ups.com" TargetMode="External"/><Relationship Id="rId9" Type="http://schemas.openxmlformats.org/officeDocument/2006/relationships/hyperlink" Target="mailto:cbolena@ups.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X193"/>
  <sheetViews>
    <sheetView showGridLines="0" tabSelected="1" zoomScale="90" zoomScaleNormal="90" workbookViewId="0">
      <selection activeCell="D10" sqref="D10:F14"/>
    </sheetView>
  </sheetViews>
  <sheetFormatPr defaultRowHeight="15" x14ac:dyDescent="0.25"/>
  <cols>
    <col min="1" max="3" width="14" style="50" customWidth="1"/>
    <col min="4" max="4" width="17.42578125" style="50" customWidth="1"/>
    <col min="5" max="10" width="14" style="50" customWidth="1"/>
    <col min="11" max="11" width="7.28515625" style="50" customWidth="1"/>
    <col min="12" max="12" width="15.85546875" style="50" customWidth="1"/>
    <col min="13" max="13" width="19" style="50" customWidth="1"/>
    <col min="14" max="14" width="11.42578125" style="50" customWidth="1"/>
    <col min="15" max="16" width="14" style="50" customWidth="1"/>
    <col min="17" max="17" width="8.85546875" style="50" customWidth="1"/>
    <col min="18" max="18" width="12.5703125" style="50" customWidth="1"/>
    <col min="19" max="19" width="11.7109375" style="50" customWidth="1"/>
    <col min="20" max="20" width="24.42578125" style="50" customWidth="1"/>
    <col min="21" max="22" width="8.85546875" style="50" customWidth="1"/>
    <col min="23" max="16384" width="9.140625" style="50"/>
  </cols>
  <sheetData>
    <row r="1" spans="1:23" s="49" customFormat="1" ht="15.75" customHeight="1" x14ac:dyDescent="0.25">
      <c r="A1" s="444" t="s">
        <v>0</v>
      </c>
      <c r="B1" s="446" t="s">
        <v>20918</v>
      </c>
      <c r="C1" s="448" t="s">
        <v>1</v>
      </c>
      <c r="D1" s="450">
        <v>44559</v>
      </c>
      <c r="E1" s="451"/>
      <c r="F1" s="431"/>
      <c r="G1" s="433" t="s">
        <v>20580</v>
      </c>
      <c r="H1" s="433"/>
      <c r="I1" s="433"/>
      <c r="J1" s="433"/>
      <c r="K1" s="433"/>
      <c r="L1" s="433"/>
      <c r="M1" s="434"/>
      <c r="N1" s="439"/>
      <c r="O1" s="441" t="s">
        <v>2</v>
      </c>
      <c r="P1" s="408"/>
      <c r="Q1" s="408"/>
      <c r="R1" s="408"/>
      <c r="S1" s="408" t="s">
        <v>21087</v>
      </c>
      <c r="T1" s="408"/>
      <c r="U1" s="408"/>
      <c r="V1" s="409"/>
      <c r="W1" s="69"/>
    </row>
    <row r="2" spans="1:23" s="49" customFormat="1" ht="16.5" customHeight="1" thickBot="1" x14ac:dyDescent="0.3">
      <c r="A2" s="445"/>
      <c r="B2" s="447"/>
      <c r="C2" s="449"/>
      <c r="D2" s="452"/>
      <c r="E2" s="453"/>
      <c r="F2" s="432"/>
      <c r="G2" s="435"/>
      <c r="H2" s="435"/>
      <c r="I2" s="435"/>
      <c r="J2" s="435"/>
      <c r="K2" s="435"/>
      <c r="L2" s="435"/>
      <c r="M2" s="436"/>
      <c r="N2" s="440"/>
      <c r="O2" s="410" t="s">
        <v>116</v>
      </c>
      <c r="P2" s="411"/>
      <c r="Q2" s="411"/>
      <c r="R2" s="411"/>
      <c r="S2" s="411" t="s">
        <v>21086</v>
      </c>
      <c r="T2" s="411"/>
      <c r="U2" s="411"/>
      <c r="V2" s="412"/>
    </row>
    <row r="3" spans="1:23" ht="21" customHeight="1" thickBot="1" x14ac:dyDescent="0.3">
      <c r="A3" s="425"/>
      <c r="B3" s="426"/>
      <c r="C3" s="426"/>
      <c r="D3" s="426"/>
      <c r="E3" s="426"/>
      <c r="F3" s="427"/>
      <c r="G3" s="437"/>
      <c r="H3" s="437"/>
      <c r="I3" s="437"/>
      <c r="J3" s="437"/>
      <c r="K3" s="435"/>
      <c r="L3" s="435"/>
      <c r="M3" s="438"/>
      <c r="N3" s="425"/>
      <c r="O3" s="442"/>
      <c r="P3" s="442"/>
      <c r="Q3" s="442"/>
      <c r="R3" s="442"/>
      <c r="S3" s="442"/>
      <c r="T3" s="442"/>
      <c r="U3" s="442"/>
      <c r="V3" s="443"/>
    </row>
    <row r="4" spans="1:23" s="49" customFormat="1" ht="21" customHeight="1" thickBot="1" x14ac:dyDescent="0.3">
      <c r="A4" s="394" t="s">
        <v>3</v>
      </c>
      <c r="B4" s="395"/>
      <c r="C4" s="458"/>
      <c r="D4" s="422" t="s">
        <v>3</v>
      </c>
      <c r="E4" s="423"/>
      <c r="F4" s="424"/>
      <c r="G4" s="394" t="s">
        <v>5</v>
      </c>
      <c r="H4" s="395"/>
      <c r="I4" s="395"/>
      <c r="J4" s="395"/>
      <c r="K4" s="186"/>
      <c r="L4" s="187"/>
      <c r="M4" s="423" t="s">
        <v>77</v>
      </c>
      <c r="N4" s="424"/>
      <c r="O4" s="422" t="s">
        <v>20609</v>
      </c>
      <c r="P4" s="423"/>
      <c r="Q4" s="424"/>
      <c r="R4" s="120"/>
      <c r="S4" s="121"/>
      <c r="T4" s="423" t="s">
        <v>20610</v>
      </c>
      <c r="U4" s="423"/>
      <c r="V4" s="424"/>
    </row>
    <row r="5" spans="1:23" s="49" customFormat="1" ht="27" customHeight="1" thickBot="1" x14ac:dyDescent="0.3">
      <c r="A5" s="133"/>
      <c r="B5" s="134" t="s">
        <v>6</v>
      </c>
      <c r="C5" s="135" t="s">
        <v>7</v>
      </c>
      <c r="D5" s="127"/>
      <c r="E5" s="128" t="s">
        <v>6</v>
      </c>
      <c r="F5" s="129" t="s">
        <v>7</v>
      </c>
      <c r="G5" s="223" t="s">
        <v>12</v>
      </c>
      <c r="H5" s="222" t="s">
        <v>13</v>
      </c>
      <c r="I5" s="222" t="s">
        <v>14</v>
      </c>
      <c r="J5" s="221" t="s">
        <v>20616</v>
      </c>
      <c r="K5" s="399"/>
      <c r="L5" s="400"/>
      <c r="M5" s="185" t="s">
        <v>52</v>
      </c>
      <c r="N5" s="125" t="s">
        <v>53</v>
      </c>
      <c r="O5" s="124" t="s">
        <v>52</v>
      </c>
      <c r="P5" s="463" t="s">
        <v>53</v>
      </c>
      <c r="Q5" s="464"/>
      <c r="R5" s="122"/>
      <c r="S5" s="123"/>
      <c r="T5" s="126" t="s">
        <v>52</v>
      </c>
      <c r="U5" s="459" t="s">
        <v>53</v>
      </c>
      <c r="V5" s="460"/>
    </row>
    <row r="6" spans="1:23" ht="27" customHeight="1" x14ac:dyDescent="0.25">
      <c r="A6" s="136" t="s">
        <v>8</v>
      </c>
      <c r="B6" s="189">
        <v>81535</v>
      </c>
      <c r="C6" s="190">
        <v>60000</v>
      </c>
      <c r="D6" s="130" t="s">
        <v>20611</v>
      </c>
      <c r="E6" s="196">
        <v>0.4375</v>
      </c>
      <c r="F6" s="197"/>
      <c r="G6" s="224" t="s">
        <v>20942</v>
      </c>
      <c r="H6" s="372" t="s">
        <v>20942</v>
      </c>
      <c r="I6" s="372" t="s">
        <v>20942</v>
      </c>
      <c r="J6" s="372" t="s">
        <v>20942</v>
      </c>
      <c r="K6" s="487" t="s">
        <v>46</v>
      </c>
      <c r="L6" s="488"/>
      <c r="M6" s="137">
        <f>Stats!B29</f>
        <v>8.3104879768152271E-2</v>
      </c>
      <c r="N6" s="138">
        <f>Stats!B7</f>
        <v>3183</v>
      </c>
      <c r="O6" s="139">
        <f>Stats!B36</f>
        <v>0.12215492508766337</v>
      </c>
      <c r="P6" s="465">
        <f>Stats!B14</f>
        <v>3832</v>
      </c>
      <c r="Q6" s="466"/>
      <c r="R6" s="454" t="s">
        <v>20601</v>
      </c>
      <c r="S6" s="455"/>
      <c r="T6" s="140">
        <f>Stats!B40</f>
        <v>0</v>
      </c>
      <c r="U6" s="413">
        <f>Stats!B20</f>
        <v>10721</v>
      </c>
      <c r="V6" s="414"/>
    </row>
    <row r="7" spans="1:23" ht="27" customHeight="1" x14ac:dyDescent="0.25">
      <c r="A7" s="136" t="s">
        <v>9</v>
      </c>
      <c r="B7" s="191">
        <v>0.45833333333333331</v>
      </c>
      <c r="C7" s="192">
        <v>0.45833333333333331</v>
      </c>
      <c r="D7" s="131" t="s">
        <v>20612</v>
      </c>
      <c r="E7" s="196">
        <v>0.41666666666666669</v>
      </c>
      <c r="F7" s="198">
        <v>0.41805555555555557</v>
      </c>
      <c r="G7" s="220" t="s">
        <v>24</v>
      </c>
      <c r="H7" s="220" t="s">
        <v>25</v>
      </c>
      <c r="I7" s="220" t="s">
        <v>26</v>
      </c>
      <c r="J7" s="182"/>
      <c r="K7" s="461" t="s">
        <v>47</v>
      </c>
      <c r="L7" s="462"/>
      <c r="M7" s="139">
        <f>Stats!C29</f>
        <v>2.3498080990052479E-2</v>
      </c>
      <c r="N7" s="138">
        <f>Stats!C7</f>
        <v>900</v>
      </c>
      <c r="O7" s="139">
        <f>Stats!C36</f>
        <v>9.021357985336308E-3</v>
      </c>
      <c r="P7" s="465">
        <f>Stats!C14</f>
        <v>283</v>
      </c>
      <c r="Q7" s="466"/>
      <c r="R7" s="454" t="s">
        <v>20602</v>
      </c>
      <c r="S7" s="455"/>
      <c r="T7" s="143">
        <f>Stats!B40</f>
        <v>0</v>
      </c>
      <c r="U7" s="413">
        <f>Stats!B18</f>
        <v>0</v>
      </c>
      <c r="V7" s="414"/>
    </row>
    <row r="8" spans="1:23" ht="27" customHeight="1" x14ac:dyDescent="0.25">
      <c r="A8" s="136" t="s">
        <v>10</v>
      </c>
      <c r="B8" s="191">
        <v>0.6875</v>
      </c>
      <c r="C8" s="192">
        <v>0.65347222222222223</v>
      </c>
      <c r="D8" s="130" t="s">
        <v>20613</v>
      </c>
      <c r="E8" s="196">
        <v>0.4201388888888889</v>
      </c>
      <c r="F8" s="198">
        <v>0.44097222222222227</v>
      </c>
      <c r="G8" s="372" t="s">
        <v>20942</v>
      </c>
      <c r="H8" s="372" t="s">
        <v>20942</v>
      </c>
      <c r="I8" s="372" t="s">
        <v>20942</v>
      </c>
      <c r="J8" s="142"/>
      <c r="K8" s="461" t="s">
        <v>48</v>
      </c>
      <c r="L8" s="462"/>
      <c r="M8" s="137">
        <f>Stats!D29</f>
        <v>9.921411973577713E-3</v>
      </c>
      <c r="N8" s="138">
        <f>Stats!D7</f>
        <v>380</v>
      </c>
      <c r="O8" s="139">
        <f>Stats!D36</f>
        <v>5.3554351291042399E-3</v>
      </c>
      <c r="P8" s="465">
        <f>Stats!D14</f>
        <v>168</v>
      </c>
      <c r="Q8" s="466"/>
      <c r="R8" s="456" t="s">
        <v>20603</v>
      </c>
      <c r="S8" s="457"/>
      <c r="T8" s="140">
        <f>Stats!F40</f>
        <v>0</v>
      </c>
      <c r="U8" s="413">
        <f>Stats!F18</f>
        <v>0</v>
      </c>
      <c r="V8" s="414"/>
    </row>
    <row r="9" spans="1:23" ht="27" customHeight="1" thickBot="1" x14ac:dyDescent="0.3">
      <c r="A9" s="136" t="s">
        <v>11</v>
      </c>
      <c r="B9" s="191">
        <v>0.70138888888888884</v>
      </c>
      <c r="C9" s="192">
        <v>0.17361111111111113</v>
      </c>
      <c r="D9" s="132" t="s">
        <v>20614</v>
      </c>
      <c r="E9" s="199">
        <v>0.4236111111111111</v>
      </c>
      <c r="F9" s="200">
        <v>0.43055555555555558</v>
      </c>
      <c r="G9" s="144" t="str">
        <f>Stats!A11</f>
        <v>M4</v>
      </c>
      <c r="H9" s="219" t="s">
        <v>20573</v>
      </c>
      <c r="I9" s="220" t="s">
        <v>20574</v>
      </c>
      <c r="J9" s="141"/>
      <c r="K9" s="461" t="s">
        <v>49</v>
      </c>
      <c r="L9" s="462"/>
      <c r="M9" s="139">
        <f>Stats!E29</f>
        <v>5.770084332001775E-3</v>
      </c>
      <c r="N9" s="138">
        <f>Stats!E7</f>
        <v>221</v>
      </c>
      <c r="O9" s="139">
        <f>Stats!E36</f>
        <v>3.1877590054191903E-3</v>
      </c>
      <c r="P9" s="465">
        <f>Stats!E14</f>
        <v>100</v>
      </c>
      <c r="Q9" s="466"/>
      <c r="R9" s="420" t="s">
        <v>20604</v>
      </c>
      <c r="S9" s="421"/>
      <c r="T9" s="140">
        <f>Stats!E40</f>
        <v>0</v>
      </c>
      <c r="U9" s="413">
        <f>Stats!E18</f>
        <v>0</v>
      </c>
      <c r="V9" s="414"/>
    </row>
    <row r="10" spans="1:23" ht="27" customHeight="1" thickBot="1" x14ac:dyDescent="0.3">
      <c r="A10" s="145" t="s">
        <v>21082</v>
      </c>
      <c r="B10" s="480">
        <v>0.54166666666666663</v>
      </c>
      <c r="C10" s="481"/>
      <c r="D10" s="471"/>
      <c r="E10" s="472"/>
      <c r="F10" s="473"/>
      <c r="G10" s="224"/>
      <c r="H10" s="225"/>
      <c r="I10" s="226"/>
      <c r="J10" s="146"/>
      <c r="K10" s="461" t="s">
        <v>50</v>
      </c>
      <c r="L10" s="462"/>
      <c r="M10" s="139">
        <f>Stats!F29</f>
        <v>5.2217957755672173E-5</v>
      </c>
      <c r="N10" s="138">
        <f>Stats!F7</f>
        <v>2</v>
      </c>
      <c r="O10" s="139">
        <f>Stats!F36</f>
        <v>0.10685368186165126</v>
      </c>
      <c r="P10" s="465">
        <f>Stats!F14</f>
        <v>3352</v>
      </c>
      <c r="Q10" s="482"/>
      <c r="R10" s="454" t="s">
        <v>20605</v>
      </c>
      <c r="S10" s="455"/>
      <c r="T10" s="140">
        <f>Stats!C40</f>
        <v>0</v>
      </c>
      <c r="U10" s="413">
        <f>Stats!C18</f>
        <v>0</v>
      </c>
      <c r="V10" s="414"/>
    </row>
    <row r="11" spans="1:23" ht="27" customHeight="1" thickBot="1" x14ac:dyDescent="0.3">
      <c r="A11" s="428" t="s">
        <v>4</v>
      </c>
      <c r="B11" s="429"/>
      <c r="C11" s="430"/>
      <c r="D11" s="474"/>
      <c r="E11" s="472"/>
      <c r="F11" s="473"/>
      <c r="G11" s="147" t="str">
        <f>Stats!A16</f>
        <v>SAI 1</v>
      </c>
      <c r="H11" s="148" t="str">
        <f>Stats!A17</f>
        <v>SAI 2</v>
      </c>
      <c r="I11" s="148" t="str">
        <f>Stats!A20</f>
        <v>TT</v>
      </c>
      <c r="J11" s="148"/>
      <c r="K11" s="489" t="s">
        <v>62</v>
      </c>
      <c r="L11" s="490"/>
      <c r="M11" s="139">
        <f>Stats!J29</f>
        <v>5.8144695960940969E-2</v>
      </c>
      <c r="N11" s="138">
        <f>Stats!J7</f>
        <v>2227</v>
      </c>
      <c r="O11" s="139" t="s">
        <v>73</v>
      </c>
      <c r="P11" s="483" t="s">
        <v>73</v>
      </c>
      <c r="Q11" s="466"/>
      <c r="R11" s="491" t="s">
        <v>20606</v>
      </c>
      <c r="S11" s="492"/>
      <c r="T11" s="140">
        <f>Stats!H40</f>
        <v>0</v>
      </c>
      <c r="U11" s="413">
        <f>Stats!H18</f>
        <v>0</v>
      </c>
      <c r="V11" s="414"/>
    </row>
    <row r="12" spans="1:23" ht="27" customHeight="1" thickBot="1" x14ac:dyDescent="0.3">
      <c r="A12" s="149" t="s">
        <v>44</v>
      </c>
      <c r="B12" s="188">
        <f>COUNTIF(G6:L6,"X")+COUNTIF(G8:J8, "X")+COUNTIF(G10:I10,"X")+(COUNTIF(G12:H12, "X")*2)</f>
        <v>11</v>
      </c>
      <c r="C12" s="193">
        <v>10</v>
      </c>
      <c r="D12" s="474"/>
      <c r="E12" s="472"/>
      <c r="F12" s="473"/>
      <c r="G12" s="183" t="s">
        <v>20942</v>
      </c>
      <c r="H12" s="184" t="s">
        <v>20942</v>
      </c>
      <c r="I12" s="184" t="s">
        <v>20942</v>
      </c>
      <c r="J12" s="150"/>
      <c r="K12" s="467" t="s">
        <v>54</v>
      </c>
      <c r="L12" s="468"/>
      <c r="M12" s="139">
        <f>Stats!G29</f>
        <v>1.080911725542414E-2</v>
      </c>
      <c r="N12" s="138">
        <f>Stats!G7</f>
        <v>414</v>
      </c>
      <c r="O12" s="139">
        <f>Stats!G36</f>
        <v>3.4746573159069173E-3</v>
      </c>
      <c r="P12" s="465">
        <f>Stats!G14</f>
        <v>109</v>
      </c>
      <c r="Q12" s="466"/>
      <c r="R12" s="402" t="s">
        <v>20607</v>
      </c>
      <c r="S12" s="403"/>
      <c r="T12" s="140">
        <f>Stats!G40</f>
        <v>0</v>
      </c>
      <c r="U12" s="413">
        <f>Stats!G18</f>
        <v>0</v>
      </c>
      <c r="V12" s="414"/>
    </row>
    <row r="13" spans="1:23" ht="27" customHeight="1" thickBot="1" x14ac:dyDescent="0.3">
      <c r="A13" s="136" t="s">
        <v>45</v>
      </c>
      <c r="B13" s="194">
        <v>107</v>
      </c>
      <c r="C13" s="195">
        <v>102</v>
      </c>
      <c r="D13" s="474"/>
      <c r="E13" s="472"/>
      <c r="F13" s="473"/>
      <c r="G13" s="151"/>
      <c r="H13" s="151"/>
      <c r="I13" s="151"/>
      <c r="J13" s="151"/>
      <c r="K13" s="469" t="s">
        <v>20599</v>
      </c>
      <c r="L13" s="470"/>
      <c r="M13" s="484">
        <f>Stats!N29</f>
        <v>0.91689512023184772</v>
      </c>
      <c r="N13" s="486"/>
      <c r="O13" s="484">
        <f>Stats!N36</f>
        <v>0.87784507491233665</v>
      </c>
      <c r="P13" s="485"/>
      <c r="Q13" s="486"/>
      <c r="R13" s="418" t="s">
        <v>20608</v>
      </c>
      <c r="S13" s="419"/>
      <c r="T13" s="397" t="str">
        <f>Stats!N40</f>
        <v/>
      </c>
      <c r="U13" s="397"/>
      <c r="V13" s="398"/>
    </row>
    <row r="14" spans="1:23" ht="27" customHeight="1" thickBot="1" x14ac:dyDescent="0.3">
      <c r="A14" s="152"/>
      <c r="B14" s="153"/>
      <c r="C14" s="154"/>
      <c r="D14" s="475"/>
      <c r="E14" s="476"/>
      <c r="F14" s="477"/>
      <c r="G14" s="151"/>
      <c r="H14" s="151"/>
      <c r="I14" s="151"/>
      <c r="J14" s="151"/>
      <c r="K14" s="406" t="s">
        <v>20600</v>
      </c>
      <c r="L14" s="407"/>
      <c r="M14" s="415" t="str">
        <f>Stats!N43</f>
        <v/>
      </c>
      <c r="N14" s="416"/>
      <c r="O14" s="416"/>
      <c r="P14" s="416"/>
      <c r="Q14" s="417"/>
      <c r="R14" s="418" t="s">
        <v>20615</v>
      </c>
      <c r="S14" s="419"/>
      <c r="T14" s="404" t="str">
        <f>Stats!N42</f>
        <v/>
      </c>
      <c r="U14" s="404"/>
      <c r="V14" s="405"/>
    </row>
    <row r="15" spans="1:23" ht="27" customHeight="1" thickBot="1" x14ac:dyDescent="0.3">
      <c r="A15" s="389" t="s">
        <v>20637</v>
      </c>
      <c r="B15" s="390"/>
      <c r="C15" s="390"/>
      <c r="D15" s="390"/>
      <c r="E15" s="390"/>
      <c r="F15" s="390"/>
      <c r="G15" s="390"/>
      <c r="H15" s="390"/>
      <c r="I15" s="390"/>
      <c r="J15" s="390"/>
      <c r="K15" s="390"/>
      <c r="L15" s="390"/>
      <c r="M15" s="390"/>
      <c r="N15" s="390"/>
      <c r="O15" s="390"/>
      <c r="P15" s="390"/>
      <c r="Q15" s="390"/>
      <c r="R15" s="390"/>
      <c r="S15" s="390"/>
      <c r="T15" s="390"/>
      <c r="U15" s="390"/>
      <c r="V15" s="391"/>
    </row>
    <row r="16" spans="1:23" ht="27" customHeight="1" thickBot="1" x14ac:dyDescent="0.3">
      <c r="A16" s="389" t="s">
        <v>105</v>
      </c>
      <c r="B16" s="390"/>
      <c r="C16" s="391"/>
      <c r="D16" s="389" t="s">
        <v>90</v>
      </c>
      <c r="E16" s="391"/>
      <c r="F16" s="389" t="s">
        <v>91</v>
      </c>
      <c r="G16" s="390"/>
      <c r="H16" s="390"/>
      <c r="I16" s="391"/>
      <c r="J16" s="389" t="s">
        <v>92</v>
      </c>
      <c r="K16" s="390"/>
      <c r="L16" s="390"/>
      <c r="M16" s="391"/>
      <c r="N16" s="389" t="s">
        <v>93</v>
      </c>
      <c r="O16" s="390"/>
      <c r="P16" s="390"/>
      <c r="Q16" s="390"/>
      <c r="R16" s="391"/>
      <c r="S16" s="389" t="s">
        <v>94</v>
      </c>
      <c r="T16" s="390"/>
      <c r="U16" s="390"/>
      <c r="V16" s="391"/>
    </row>
    <row r="17" spans="1:24" ht="27" customHeight="1" thickBot="1" x14ac:dyDescent="0.3">
      <c r="A17" s="383" t="str">
        <f>VLOOKUP(LARGE(SorterRank!$N$4:$N$13,1),SorterRank!$N$4:$O$13,2,FALSE)</f>
        <v>PSRC</v>
      </c>
      <c r="B17" s="384"/>
      <c r="C17" s="385"/>
      <c r="D17" s="386" t="str">
        <f>VLOOKUP(LARGE(SorterRank!$B4:$B13,1),SorterRank!$B$4:$N$13,12,FALSE)</f>
        <v>PSRC</v>
      </c>
      <c r="E17" s="387"/>
      <c r="F17" s="383" t="str">
        <f>VLOOKUP(LARGE(SorterRank!$D$4:$D$13,1),SorterRank!$D$4:$O$13,10,FALSE)</f>
        <v>PS3</v>
      </c>
      <c r="G17" s="384"/>
      <c r="H17" s="384"/>
      <c r="I17" s="385"/>
      <c r="J17" s="388" t="str">
        <f>VLOOKUP(LARGE(SorterRank!$F$4:$F$13,1),SorterRank!$F$4:$O$13,8,FALSE)</f>
        <v>PSRC</v>
      </c>
      <c r="K17" s="388"/>
      <c r="L17" s="388"/>
      <c r="M17" s="388"/>
      <c r="N17" s="383" t="str">
        <f>VLOOKUP(LARGE(SorterRank!$H$4:$H$13,1),SorterRank!$H$4:$O$13,6,FALSE)</f>
        <v>PSRC</v>
      </c>
      <c r="O17" s="384"/>
      <c r="P17" s="384"/>
      <c r="Q17" s="384"/>
      <c r="R17" s="385"/>
      <c r="S17" s="383" t="str">
        <f>VLOOKUP(LARGE(SorterRank!$J$4:$J$13,1),SorterRank!$J$4:$O$13,4,FALSE)</f>
        <v>PD2</v>
      </c>
      <c r="T17" s="384"/>
      <c r="U17" s="384"/>
      <c r="V17" s="385"/>
    </row>
    <row r="18" spans="1:24" ht="27" customHeight="1" thickBot="1" x14ac:dyDescent="0.3">
      <c r="A18" s="383" t="str">
        <f>VLOOKUP(LARGE(SorterRank!$N$4:$N$13,2),SorterRank!$N$4:$O$13,2,FALSE)</f>
        <v>PS3</v>
      </c>
      <c r="B18" s="384"/>
      <c r="C18" s="385"/>
      <c r="D18" s="386" t="str">
        <f>VLOOKUP(LARGE(SorterRank!$B4:$B13,2),SorterRank!$B$4:$N$13,12,FALSE)</f>
        <v>PS1</v>
      </c>
      <c r="E18" s="387"/>
      <c r="F18" s="383" t="str">
        <f>VLOOKUP(LARGE(SorterRank!$D$4:$D$13,2),SorterRank!$D$4:$O$13,10,FALSE)</f>
        <v>PSRC</v>
      </c>
      <c r="G18" s="384"/>
      <c r="H18" s="384"/>
      <c r="I18" s="385"/>
      <c r="J18" s="388" t="str">
        <f>VLOOKUP(LARGE(SorterRank!$F$4:$F$13,2),SorterRank!$F$4:$O$13,8,FALSE)</f>
        <v>PS3</v>
      </c>
      <c r="K18" s="388"/>
      <c r="L18" s="388"/>
      <c r="M18" s="388"/>
      <c r="N18" s="383" t="str">
        <f>VLOOKUP(LARGE(SorterRank!$H$4:$H$13,2),SorterRank!$H$4:$O$13,6,FALSE)</f>
        <v>PS1</v>
      </c>
      <c r="O18" s="384"/>
      <c r="P18" s="384"/>
      <c r="Q18" s="384"/>
      <c r="R18" s="385"/>
      <c r="S18" s="383" t="str">
        <f>VLOOKUP(LARGE(SorterRank!$J$4:$J$13,2),SorterRank!$J$4:$O$13,4,FALSE)</f>
        <v>PS2</v>
      </c>
      <c r="T18" s="384"/>
      <c r="U18" s="384"/>
      <c r="V18" s="385"/>
    </row>
    <row r="19" spans="1:24" ht="27" customHeight="1" thickBot="1" x14ac:dyDescent="0.3">
      <c r="A19" s="383" t="str">
        <f>VLOOKUP(LARGE(SorterRank!$N$4:$N$13,3),SorterRank!$N$4:$O$13,2,FALSE)</f>
        <v>PS1</v>
      </c>
      <c r="B19" s="384"/>
      <c r="C19" s="385"/>
      <c r="D19" s="386" t="str">
        <f>VLOOKUP(LARGE(SorterRank!$B4:$B13,3),SorterRank!$B$4:$N$13,12,FALSE)</f>
        <v>PS3</v>
      </c>
      <c r="E19" s="387"/>
      <c r="F19" s="383" t="str">
        <f>VLOOKUP(LARGE(SorterRank!$D$4:$D$13,3),SorterRank!$D$4:$O$13,10,FALSE)</f>
        <v>PD2</v>
      </c>
      <c r="G19" s="384"/>
      <c r="H19" s="384"/>
      <c r="I19" s="385"/>
      <c r="J19" s="388" t="str">
        <f>VLOOKUP(LARGE(SorterRank!$F$4:$F$13,3),SorterRank!$F$4:$O$13,8,FALSE)</f>
        <v>PS2</v>
      </c>
      <c r="K19" s="388"/>
      <c r="L19" s="388"/>
      <c r="M19" s="388"/>
      <c r="N19" s="383" t="str">
        <f>VLOOKUP(LARGE(SorterRank!$H$4:$H$13,3),SorterRank!$H$4:$O$13,6,FALSE)</f>
        <v>PS2</v>
      </c>
      <c r="O19" s="384"/>
      <c r="P19" s="384"/>
      <c r="Q19" s="384"/>
      <c r="R19" s="385"/>
      <c r="S19" s="383" t="str">
        <f>VLOOKUP(LARGE(SorterRank!$J$4:$J$13,3),SorterRank!$J$4:$O$13,4,FALSE)</f>
        <v>PSRC</v>
      </c>
      <c r="T19" s="384"/>
      <c r="U19" s="384"/>
      <c r="V19" s="385"/>
    </row>
    <row r="20" spans="1:24" ht="27" customHeight="1" thickBot="1" x14ac:dyDescent="0.3">
      <c r="A20" s="389" t="s">
        <v>20638</v>
      </c>
      <c r="B20" s="390"/>
      <c r="C20" s="390"/>
      <c r="D20" s="390"/>
      <c r="E20" s="390"/>
      <c r="F20" s="390"/>
      <c r="G20" s="390"/>
      <c r="H20" s="390"/>
      <c r="I20" s="390"/>
      <c r="J20" s="390"/>
      <c r="K20" s="390"/>
      <c r="L20" s="390"/>
      <c r="M20" s="390"/>
      <c r="N20" s="390"/>
      <c r="O20" s="390"/>
      <c r="P20" s="390"/>
      <c r="Q20" s="390"/>
      <c r="R20" s="390"/>
      <c r="S20" s="390"/>
      <c r="T20" s="390"/>
      <c r="U20" s="390"/>
      <c r="V20" s="391"/>
    </row>
    <row r="21" spans="1:24" s="51" customFormat="1" ht="30" customHeight="1" thickBot="1" x14ac:dyDescent="0.3">
      <c r="A21" s="58" t="s">
        <v>115</v>
      </c>
      <c r="B21" s="57" t="s">
        <v>35</v>
      </c>
      <c r="C21" s="57" t="s">
        <v>51</v>
      </c>
      <c r="D21" s="57" t="s">
        <v>36</v>
      </c>
      <c r="E21" s="57" t="s">
        <v>71</v>
      </c>
      <c r="F21" s="401" t="s">
        <v>37</v>
      </c>
      <c r="G21" s="401"/>
      <c r="H21" s="401"/>
      <c r="I21" s="401"/>
      <c r="J21" s="401"/>
      <c r="K21" s="401"/>
      <c r="L21" s="401" t="s">
        <v>38</v>
      </c>
      <c r="M21" s="401"/>
      <c r="N21" s="401"/>
      <c r="O21" s="401" t="s">
        <v>39</v>
      </c>
      <c r="P21" s="401"/>
      <c r="Q21" s="401"/>
      <c r="R21" s="401" t="s">
        <v>40</v>
      </c>
      <c r="S21" s="401"/>
      <c r="T21" s="401"/>
      <c r="U21" s="401" t="s">
        <v>41</v>
      </c>
      <c r="V21" s="401"/>
      <c r="X21" s="55"/>
    </row>
    <row r="22" spans="1:24" ht="30" customHeight="1" thickBot="1" x14ac:dyDescent="0.3">
      <c r="A22" s="59"/>
      <c r="B22" s="60"/>
      <c r="C22" s="60" t="str">
        <f ca="1">IF(AND(A22&lt;&gt;"", B22=""),NOW()-INT(NOW())-A22,IF(AND(A22&lt;&gt;"", B22&lt;&gt;""),B22-A22,""))</f>
        <v/>
      </c>
      <c r="D22" s="61"/>
      <c r="E22" s="62" t="str">
        <f ca="1">IF(ISNUMBER(C22),IF(AND(C22&gt;=0.00693,IF(OR(ISNUMBER(SEARCH("metro unloader",F22)),ISNUMBER(SEARCH("plc",F22)),ISNUMBER(SEARCH("Wash",F22)),ISNUMBER(SEARCH("Fuel Island",F22)),ISNUMBER(SEARCH("Compressor",F22))),0,1)),"Y","N"),"")</f>
        <v/>
      </c>
      <c r="F22" s="396"/>
      <c r="G22" s="382"/>
      <c r="H22" s="382"/>
      <c r="I22" s="382"/>
      <c r="J22" s="382"/>
      <c r="K22" s="382"/>
      <c r="L22" s="382"/>
      <c r="M22" s="382"/>
      <c r="N22" s="382"/>
      <c r="O22" s="382"/>
      <c r="P22" s="382"/>
      <c r="Q22" s="382"/>
      <c r="R22" s="382"/>
      <c r="S22" s="382"/>
      <c r="T22" s="382"/>
      <c r="U22" s="382"/>
      <c r="V22" s="382"/>
      <c r="W22" s="56"/>
    </row>
    <row r="23" spans="1:24" ht="30" customHeight="1" thickBot="1" x14ac:dyDescent="0.3">
      <c r="A23" s="60"/>
      <c r="B23" s="60"/>
      <c r="C23" s="60" t="str">
        <f t="shared" ref="C23:C31" ca="1" si="0">IF(AND(A23&lt;&gt;"", B23=""),NOW()-INT(NOW())-A23,IF(AND(A23&lt;&gt;"", B23&lt;&gt;""),B23-A23,""))</f>
        <v/>
      </c>
      <c r="D23" s="63"/>
      <c r="E23" s="62" t="str">
        <f t="shared" ref="E23:E31" ca="1" si="1">IF(ISNUMBER(C23),IF(AND(C23&gt;=0.00693,IF(OR(ISNUMBER(SEARCH("metro unloader",F23)),ISNUMBER(SEARCH("plc",F23)),ISNUMBER(SEARCH("Wash",F23)),ISNUMBER(SEARCH("Fuel Island",F23)),ISNUMBER(SEARCH("Compressor",F23))),0,1)),"Y","N"),"")</f>
        <v/>
      </c>
      <c r="F23" s="382"/>
      <c r="G23" s="382"/>
      <c r="H23" s="382"/>
      <c r="I23" s="382"/>
      <c r="J23" s="382"/>
      <c r="K23" s="382"/>
      <c r="L23" s="382"/>
      <c r="M23" s="382"/>
      <c r="N23" s="382"/>
      <c r="O23" s="382"/>
      <c r="P23" s="382"/>
      <c r="Q23" s="382"/>
      <c r="R23" s="382"/>
      <c r="S23" s="382"/>
      <c r="T23" s="382"/>
      <c r="U23" s="382"/>
      <c r="V23" s="382"/>
      <c r="W23" s="56"/>
    </row>
    <row r="24" spans="1:24" ht="30" customHeight="1" thickBot="1" x14ac:dyDescent="0.3">
      <c r="A24" s="60"/>
      <c r="B24" s="60"/>
      <c r="C24" s="60" t="str">
        <f t="shared" ca="1" si="0"/>
        <v/>
      </c>
      <c r="D24" s="63"/>
      <c r="E24" s="62" t="str">
        <f t="shared" ca="1" si="1"/>
        <v/>
      </c>
      <c r="F24" s="382"/>
      <c r="G24" s="382"/>
      <c r="H24" s="382"/>
      <c r="I24" s="382"/>
      <c r="J24" s="382"/>
      <c r="K24" s="382"/>
      <c r="L24" s="382"/>
      <c r="M24" s="382"/>
      <c r="N24" s="382"/>
      <c r="O24" s="382"/>
      <c r="P24" s="382"/>
      <c r="Q24" s="382"/>
      <c r="R24" s="382"/>
      <c r="S24" s="382"/>
      <c r="T24" s="382"/>
      <c r="U24" s="382"/>
      <c r="V24" s="382"/>
      <c r="W24" s="56"/>
    </row>
    <row r="25" spans="1:24" ht="30" customHeight="1" thickBot="1" x14ac:dyDescent="0.3">
      <c r="A25" s="60"/>
      <c r="B25" s="60"/>
      <c r="C25" s="60" t="str">
        <f t="shared" ca="1" si="0"/>
        <v/>
      </c>
      <c r="D25" s="63"/>
      <c r="E25" s="62" t="str">
        <f t="shared" ca="1" si="1"/>
        <v/>
      </c>
      <c r="F25" s="382"/>
      <c r="G25" s="382"/>
      <c r="H25" s="382"/>
      <c r="I25" s="382"/>
      <c r="J25" s="382"/>
      <c r="K25" s="382"/>
      <c r="L25" s="382"/>
      <c r="M25" s="382"/>
      <c r="N25" s="382"/>
      <c r="O25" s="382"/>
      <c r="P25" s="382"/>
      <c r="Q25" s="382"/>
      <c r="R25" s="382"/>
      <c r="S25" s="382"/>
      <c r="T25" s="382"/>
      <c r="U25" s="382"/>
      <c r="V25" s="382"/>
      <c r="W25" s="56"/>
    </row>
    <row r="26" spans="1:24" ht="30" customHeight="1" thickBot="1" x14ac:dyDescent="0.3">
      <c r="A26" s="60"/>
      <c r="B26" s="60"/>
      <c r="C26" s="60" t="str">
        <f t="shared" ca="1" si="0"/>
        <v/>
      </c>
      <c r="D26" s="63"/>
      <c r="E26" s="62" t="str">
        <f t="shared" ca="1" si="1"/>
        <v/>
      </c>
      <c r="F26" s="382"/>
      <c r="G26" s="382"/>
      <c r="H26" s="382"/>
      <c r="I26" s="382"/>
      <c r="J26" s="382"/>
      <c r="K26" s="382"/>
      <c r="L26" s="382"/>
      <c r="M26" s="382"/>
      <c r="N26" s="382"/>
      <c r="O26" s="382"/>
      <c r="P26" s="382"/>
      <c r="Q26" s="382"/>
      <c r="R26" s="382"/>
      <c r="S26" s="382"/>
      <c r="T26" s="382"/>
      <c r="U26" s="382"/>
      <c r="V26" s="382"/>
      <c r="W26" s="56"/>
    </row>
    <row r="27" spans="1:24" ht="30" customHeight="1" thickBot="1" x14ac:dyDescent="0.3">
      <c r="A27" s="60"/>
      <c r="B27" s="60"/>
      <c r="C27" s="60" t="str">
        <f t="shared" ca="1" si="0"/>
        <v/>
      </c>
      <c r="D27" s="63"/>
      <c r="E27" s="62" t="str">
        <f t="shared" ca="1" si="1"/>
        <v/>
      </c>
      <c r="F27" s="382"/>
      <c r="G27" s="382"/>
      <c r="H27" s="382"/>
      <c r="I27" s="382"/>
      <c r="J27" s="382"/>
      <c r="K27" s="382"/>
      <c r="L27" s="382"/>
      <c r="M27" s="382"/>
      <c r="N27" s="382"/>
      <c r="O27" s="382"/>
      <c r="P27" s="382"/>
      <c r="Q27" s="382"/>
      <c r="R27" s="382"/>
      <c r="S27" s="382"/>
      <c r="T27" s="382"/>
      <c r="U27" s="382"/>
      <c r="V27" s="382"/>
      <c r="W27" s="56"/>
    </row>
    <row r="28" spans="1:24" ht="30" customHeight="1" thickBot="1" x14ac:dyDescent="0.3">
      <c r="A28" s="60"/>
      <c r="B28" s="60"/>
      <c r="C28" s="60" t="str">
        <f t="shared" ca="1" si="0"/>
        <v/>
      </c>
      <c r="D28" s="63"/>
      <c r="E28" s="62" t="str">
        <f t="shared" ca="1" si="1"/>
        <v/>
      </c>
      <c r="F28" s="382"/>
      <c r="G28" s="382"/>
      <c r="H28" s="382"/>
      <c r="I28" s="382"/>
      <c r="J28" s="382"/>
      <c r="K28" s="382"/>
      <c r="L28" s="382"/>
      <c r="M28" s="382"/>
      <c r="N28" s="382"/>
      <c r="O28" s="382"/>
      <c r="P28" s="382"/>
      <c r="Q28" s="382"/>
      <c r="R28" s="382"/>
      <c r="S28" s="382"/>
      <c r="T28" s="382"/>
      <c r="U28" s="382"/>
      <c r="V28" s="382"/>
      <c r="W28" s="56"/>
    </row>
    <row r="29" spans="1:24" ht="30" customHeight="1" thickBot="1" x14ac:dyDescent="0.3">
      <c r="A29" s="60"/>
      <c r="B29" s="60"/>
      <c r="C29" s="60" t="str">
        <f t="shared" ca="1" si="0"/>
        <v/>
      </c>
      <c r="D29" s="63"/>
      <c r="E29" s="62" t="str">
        <f t="shared" ca="1" si="1"/>
        <v/>
      </c>
      <c r="F29" s="382"/>
      <c r="G29" s="382"/>
      <c r="H29" s="382"/>
      <c r="I29" s="382"/>
      <c r="J29" s="382"/>
      <c r="K29" s="382"/>
      <c r="L29" s="382"/>
      <c r="M29" s="382"/>
      <c r="N29" s="382"/>
      <c r="O29" s="382"/>
      <c r="P29" s="382"/>
      <c r="Q29" s="382"/>
      <c r="R29" s="382"/>
      <c r="S29" s="382"/>
      <c r="T29" s="382"/>
      <c r="U29" s="382"/>
      <c r="V29" s="382"/>
      <c r="W29" s="56"/>
    </row>
    <row r="30" spans="1:24" ht="30" customHeight="1" thickBot="1" x14ac:dyDescent="0.3">
      <c r="A30" s="60"/>
      <c r="B30" s="60"/>
      <c r="C30" s="60" t="str">
        <f t="shared" ca="1" si="0"/>
        <v/>
      </c>
      <c r="D30" s="63"/>
      <c r="E30" s="62" t="str">
        <f t="shared" ca="1" si="1"/>
        <v/>
      </c>
      <c r="F30" s="382"/>
      <c r="G30" s="382"/>
      <c r="H30" s="382"/>
      <c r="I30" s="382"/>
      <c r="J30" s="382"/>
      <c r="K30" s="382"/>
      <c r="L30" s="382"/>
      <c r="M30" s="382"/>
      <c r="N30" s="382"/>
      <c r="O30" s="382"/>
      <c r="P30" s="382"/>
      <c r="Q30" s="382"/>
      <c r="R30" s="382"/>
      <c r="S30" s="382"/>
      <c r="T30" s="382"/>
      <c r="U30" s="382"/>
      <c r="V30" s="382"/>
    </row>
    <row r="31" spans="1:24" ht="30" customHeight="1" thickBot="1" x14ac:dyDescent="0.3">
      <c r="A31" s="60"/>
      <c r="B31" s="60"/>
      <c r="C31" s="60" t="str">
        <f t="shared" ca="1" si="0"/>
        <v/>
      </c>
      <c r="D31" s="63"/>
      <c r="E31" s="62" t="str">
        <f t="shared" ca="1" si="1"/>
        <v/>
      </c>
      <c r="F31" s="382"/>
      <c r="G31" s="382"/>
      <c r="H31" s="382"/>
      <c r="I31" s="382"/>
      <c r="J31" s="382"/>
      <c r="K31" s="382"/>
      <c r="L31" s="382"/>
      <c r="M31" s="382"/>
      <c r="N31" s="382"/>
      <c r="O31" s="382"/>
      <c r="P31" s="382"/>
      <c r="Q31" s="382"/>
      <c r="R31" s="382"/>
      <c r="S31" s="382"/>
      <c r="T31" s="382"/>
      <c r="U31" s="382"/>
      <c r="V31" s="382"/>
    </row>
    <row r="32" spans="1:24" ht="23.25" customHeight="1" thickBot="1" x14ac:dyDescent="0.3">
      <c r="A32" s="401" t="s">
        <v>83</v>
      </c>
      <c r="B32" s="401"/>
      <c r="C32" s="401"/>
      <c r="D32" s="401"/>
      <c r="E32" s="401"/>
      <c r="F32" s="401"/>
      <c r="G32" s="401"/>
      <c r="H32" s="401"/>
      <c r="I32" s="401"/>
      <c r="J32" s="401"/>
      <c r="K32" s="401"/>
      <c r="L32" s="401"/>
      <c r="M32" s="401"/>
      <c r="N32" s="401"/>
      <c r="O32" s="401"/>
      <c r="P32" s="401"/>
      <c r="Q32" s="401"/>
      <c r="R32" s="401"/>
      <c r="S32" s="401"/>
      <c r="T32" s="401"/>
      <c r="U32" s="401"/>
      <c r="V32" s="401"/>
    </row>
    <row r="33" spans="1:24" ht="30" customHeight="1" thickBot="1" x14ac:dyDescent="0.3">
      <c r="A33" s="382"/>
      <c r="B33" s="382"/>
      <c r="C33" s="382"/>
      <c r="D33" s="382"/>
      <c r="E33" s="382"/>
      <c r="F33" s="382"/>
      <c r="G33" s="382"/>
      <c r="H33" s="382"/>
      <c r="I33" s="382"/>
      <c r="J33" s="382"/>
      <c r="K33" s="382"/>
      <c r="L33" s="382"/>
      <c r="M33" s="382"/>
      <c r="N33" s="382"/>
      <c r="O33" s="382"/>
      <c r="P33" s="382"/>
      <c r="Q33" s="382"/>
      <c r="R33" s="382"/>
      <c r="S33" s="382"/>
      <c r="T33" s="382"/>
      <c r="U33" s="382"/>
      <c r="V33" s="382"/>
    </row>
    <row r="34" spans="1:24" s="382" customFormat="1" ht="30" customHeight="1" thickBot="1" x14ac:dyDescent="0.3">
      <c r="A34" s="478"/>
      <c r="B34" s="479"/>
      <c r="C34" s="479"/>
      <c r="D34" s="479"/>
      <c r="E34" s="479"/>
      <c r="F34" s="479"/>
      <c r="G34" s="479"/>
      <c r="H34" s="479"/>
      <c r="I34" s="479"/>
      <c r="J34" s="479"/>
      <c r="K34" s="479"/>
      <c r="L34" s="479"/>
      <c r="M34" s="479"/>
      <c r="N34" s="479"/>
      <c r="O34" s="479"/>
      <c r="P34" s="479"/>
      <c r="Q34" s="479"/>
      <c r="R34" s="479"/>
      <c r="S34" s="479"/>
      <c r="T34" s="479"/>
      <c r="U34" s="479"/>
      <c r="V34" s="479"/>
      <c r="W34" s="479"/>
      <c r="X34" s="479"/>
    </row>
    <row r="35" spans="1:24" ht="30" customHeight="1" thickBot="1" x14ac:dyDescent="0.3">
      <c r="A35" s="382"/>
      <c r="B35" s="382"/>
      <c r="C35" s="382"/>
      <c r="D35" s="382"/>
      <c r="E35" s="382"/>
      <c r="F35" s="382"/>
      <c r="G35" s="382"/>
      <c r="H35" s="382"/>
      <c r="I35" s="382"/>
      <c r="J35" s="382"/>
      <c r="K35" s="382"/>
      <c r="L35" s="382"/>
      <c r="M35" s="382"/>
      <c r="N35" s="382"/>
      <c r="O35" s="382"/>
      <c r="P35" s="382"/>
      <c r="Q35" s="382"/>
      <c r="R35" s="382"/>
      <c r="S35" s="382"/>
      <c r="T35" s="382"/>
      <c r="U35" s="382"/>
      <c r="V35" s="382"/>
    </row>
    <row r="36" spans="1:24" ht="30" customHeight="1" thickBot="1" x14ac:dyDescent="0.3">
      <c r="A36" s="382"/>
      <c r="B36" s="382"/>
      <c r="C36" s="382"/>
      <c r="D36" s="382"/>
      <c r="E36" s="382"/>
      <c r="F36" s="382"/>
      <c r="G36" s="382"/>
      <c r="H36" s="382"/>
      <c r="I36" s="382"/>
      <c r="J36" s="382"/>
      <c r="K36" s="382"/>
      <c r="L36" s="382"/>
      <c r="M36" s="382"/>
      <c r="N36" s="382"/>
      <c r="O36" s="382"/>
      <c r="P36" s="382"/>
      <c r="Q36" s="382"/>
      <c r="R36" s="382"/>
      <c r="S36" s="382"/>
      <c r="T36" s="382"/>
      <c r="U36" s="382"/>
      <c r="V36" s="382"/>
    </row>
    <row r="37" spans="1:24" ht="23.25" customHeight="1" thickBot="1" x14ac:dyDescent="0.3">
      <c r="A37" s="392" t="s">
        <v>42</v>
      </c>
      <c r="B37" s="392"/>
      <c r="C37" s="393" t="s">
        <v>43</v>
      </c>
      <c r="D37" s="393"/>
      <c r="E37" s="393"/>
      <c r="F37" s="393"/>
      <c r="G37" s="393"/>
      <c r="H37" s="393"/>
      <c r="I37" s="393"/>
      <c r="J37" s="393"/>
      <c r="K37" s="393"/>
      <c r="L37" s="393"/>
      <c r="M37" s="393"/>
      <c r="N37" s="393"/>
      <c r="O37" s="393" t="s">
        <v>82</v>
      </c>
      <c r="P37" s="393"/>
      <c r="Q37" s="393" t="s">
        <v>113</v>
      </c>
      <c r="R37" s="393"/>
      <c r="S37" s="393" t="s">
        <v>114</v>
      </c>
      <c r="T37" s="393"/>
      <c r="U37" s="392" t="s">
        <v>84</v>
      </c>
      <c r="V37" s="392"/>
    </row>
    <row r="38" spans="1:24" ht="30" customHeight="1" thickBot="1" x14ac:dyDescent="0.3">
      <c r="A38" s="382"/>
      <c r="B38" s="382"/>
      <c r="C38" s="382"/>
      <c r="D38" s="382"/>
      <c r="E38" s="382"/>
      <c r="F38" s="382"/>
      <c r="G38" s="382"/>
      <c r="H38" s="382"/>
      <c r="I38" s="382"/>
      <c r="J38" s="382"/>
      <c r="K38" s="382"/>
      <c r="L38" s="382"/>
      <c r="M38" s="382"/>
      <c r="N38" s="382"/>
      <c r="O38" s="382"/>
      <c r="P38" s="382"/>
      <c r="Q38" s="382"/>
      <c r="R38" s="382"/>
      <c r="S38" s="382"/>
      <c r="T38" s="382"/>
      <c r="U38" s="382"/>
      <c r="V38" s="382"/>
    </row>
    <row r="39" spans="1:24" ht="30" customHeight="1" thickBot="1" x14ac:dyDescent="0.3">
      <c r="A39" s="382"/>
      <c r="B39" s="382"/>
      <c r="C39" s="382"/>
      <c r="D39" s="382"/>
      <c r="E39" s="382"/>
      <c r="F39" s="382"/>
      <c r="G39" s="382"/>
      <c r="H39" s="382"/>
      <c r="I39" s="382"/>
      <c r="J39" s="382"/>
      <c r="K39" s="382"/>
      <c r="L39" s="382"/>
      <c r="M39" s="382"/>
      <c r="N39" s="382"/>
      <c r="O39" s="382"/>
      <c r="P39" s="382"/>
      <c r="Q39" s="382"/>
      <c r="R39" s="382"/>
      <c r="S39" s="382"/>
      <c r="T39" s="382"/>
      <c r="U39" s="382"/>
      <c r="V39" s="382"/>
    </row>
    <row r="40" spans="1:24" ht="30" customHeight="1" thickBot="1" x14ac:dyDescent="0.3">
      <c r="A40" s="382"/>
      <c r="B40" s="382"/>
      <c r="C40" s="382"/>
      <c r="D40" s="382"/>
      <c r="E40" s="382"/>
      <c r="F40" s="382"/>
      <c r="G40" s="382"/>
      <c r="H40" s="382"/>
      <c r="I40" s="382"/>
      <c r="J40" s="382"/>
      <c r="K40" s="382"/>
      <c r="L40" s="382"/>
      <c r="M40" s="382"/>
      <c r="N40" s="382"/>
      <c r="O40" s="382"/>
      <c r="P40" s="382"/>
      <c r="Q40" s="382"/>
      <c r="R40" s="382"/>
      <c r="S40" s="382"/>
      <c r="T40" s="382"/>
      <c r="U40" s="382"/>
      <c r="V40" s="382"/>
    </row>
    <row r="41" spans="1:24" ht="30" customHeight="1" thickBot="1" x14ac:dyDescent="0.3">
      <c r="A41" s="382"/>
      <c r="B41" s="382"/>
      <c r="C41" s="382"/>
      <c r="D41" s="382"/>
      <c r="E41" s="382"/>
      <c r="F41" s="382"/>
      <c r="G41" s="382"/>
      <c r="H41" s="382"/>
      <c r="I41" s="382"/>
      <c r="J41" s="382"/>
      <c r="K41" s="382"/>
      <c r="L41" s="382"/>
      <c r="M41" s="382"/>
      <c r="N41" s="382"/>
      <c r="O41" s="382"/>
      <c r="P41" s="382"/>
      <c r="Q41" s="382"/>
      <c r="R41" s="382"/>
      <c r="S41" s="382"/>
      <c r="T41" s="382"/>
      <c r="U41" s="382"/>
      <c r="V41" s="382"/>
    </row>
    <row r="42" spans="1:24" ht="30" customHeight="1" thickBot="1" x14ac:dyDescent="0.3">
      <c r="A42" s="382"/>
      <c r="B42" s="382"/>
      <c r="C42" s="382"/>
      <c r="D42" s="382"/>
      <c r="E42" s="382"/>
      <c r="F42" s="382"/>
      <c r="G42" s="382"/>
      <c r="H42" s="382"/>
      <c r="I42" s="382"/>
      <c r="J42" s="382"/>
      <c r="K42" s="382"/>
      <c r="L42" s="382"/>
      <c r="M42" s="382"/>
      <c r="N42" s="382"/>
      <c r="O42" s="382"/>
      <c r="P42" s="382"/>
      <c r="Q42" s="382"/>
      <c r="R42" s="382"/>
      <c r="S42" s="382"/>
      <c r="T42" s="382"/>
      <c r="U42" s="382"/>
      <c r="V42" s="382"/>
    </row>
    <row r="43" spans="1:24" ht="23.25" customHeight="1" x14ac:dyDescent="0.25">
      <c r="A43" s="218"/>
    </row>
    <row r="44" spans="1:24" ht="23.25" customHeight="1" x14ac:dyDescent="0.25">
      <c r="A44" s="218"/>
    </row>
    <row r="45" spans="1:24" ht="23.25" customHeight="1" x14ac:dyDescent="0.25"/>
    <row r="46" spans="1:24" ht="23.25" customHeight="1" x14ac:dyDescent="0.25"/>
    <row r="47" spans="1:24" ht="23.25" customHeight="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sheetData>
  <mergeCells count="184">
    <mergeCell ref="B10:C10"/>
    <mergeCell ref="P8:Q8"/>
    <mergeCell ref="P9:Q9"/>
    <mergeCell ref="P10:Q10"/>
    <mergeCell ref="P11:Q11"/>
    <mergeCell ref="P12:Q12"/>
    <mergeCell ref="O13:Q13"/>
    <mergeCell ref="M13:N13"/>
    <mergeCell ref="R6:S6"/>
    <mergeCell ref="K6:L6"/>
    <mergeCell ref="K7:L7"/>
    <mergeCell ref="K8:L8"/>
    <mergeCell ref="K9:L9"/>
    <mergeCell ref="K11:L11"/>
    <mergeCell ref="P7:Q7"/>
    <mergeCell ref="R11:S11"/>
    <mergeCell ref="R7:S7"/>
    <mergeCell ref="U21:V21"/>
    <mergeCell ref="Q39:R39"/>
    <mergeCell ref="D17:E17"/>
    <mergeCell ref="F17:I17"/>
    <mergeCell ref="A38:B38"/>
    <mergeCell ref="A39:B39"/>
    <mergeCell ref="A40:B40"/>
    <mergeCell ref="C37:N37"/>
    <mergeCell ref="F31:K31"/>
    <mergeCell ref="L31:N31"/>
    <mergeCell ref="U27:V27"/>
    <mergeCell ref="C40:N40"/>
    <mergeCell ref="F30:K30"/>
    <mergeCell ref="L30:N30"/>
    <mergeCell ref="A33:V33"/>
    <mergeCell ref="A35:V35"/>
    <mergeCell ref="A36:V36"/>
    <mergeCell ref="A34:XFD34"/>
    <mergeCell ref="F29:K29"/>
    <mergeCell ref="L29:N29"/>
    <mergeCell ref="S37:T37"/>
    <mergeCell ref="S38:T38"/>
    <mergeCell ref="A32:V32"/>
    <mergeCell ref="A42:B42"/>
    <mergeCell ref="C42:N42"/>
    <mergeCell ref="A37:B37"/>
    <mergeCell ref="A41:B41"/>
    <mergeCell ref="K12:L12"/>
    <mergeCell ref="K13:L13"/>
    <mergeCell ref="R13:S13"/>
    <mergeCell ref="C41:N41"/>
    <mergeCell ref="F28:K28"/>
    <mergeCell ref="D10:F14"/>
    <mergeCell ref="N16:R16"/>
    <mergeCell ref="S16:V16"/>
    <mergeCell ref="A17:C17"/>
    <mergeCell ref="F26:K26"/>
    <mergeCell ref="R28:T28"/>
    <mergeCell ref="Q41:R41"/>
    <mergeCell ref="O37:P37"/>
    <mergeCell ref="O38:P38"/>
    <mergeCell ref="O39:P39"/>
    <mergeCell ref="O40:P40"/>
    <mergeCell ref="O41:P41"/>
    <mergeCell ref="Q40:R40"/>
    <mergeCell ref="C38:N38"/>
    <mergeCell ref="C39:N39"/>
    <mergeCell ref="A3:F3"/>
    <mergeCell ref="A11:C11"/>
    <mergeCell ref="U7:V7"/>
    <mergeCell ref="F1:F2"/>
    <mergeCell ref="G1:M3"/>
    <mergeCell ref="N1:N3"/>
    <mergeCell ref="O1:R1"/>
    <mergeCell ref="O3:V3"/>
    <mergeCell ref="A1:A2"/>
    <mergeCell ref="B1:B2"/>
    <mergeCell ref="C1:C2"/>
    <mergeCell ref="U6:V6"/>
    <mergeCell ref="D1:E2"/>
    <mergeCell ref="R10:S10"/>
    <mergeCell ref="U10:V10"/>
    <mergeCell ref="R8:S8"/>
    <mergeCell ref="A4:C4"/>
    <mergeCell ref="M4:N4"/>
    <mergeCell ref="T4:V4"/>
    <mergeCell ref="U5:V5"/>
    <mergeCell ref="K10:L10"/>
    <mergeCell ref="P5:Q5"/>
    <mergeCell ref="P6:Q6"/>
    <mergeCell ref="D4:F4"/>
    <mergeCell ref="S1:V1"/>
    <mergeCell ref="O2:R2"/>
    <mergeCell ref="S2:V2"/>
    <mergeCell ref="O31:Q31"/>
    <mergeCell ref="R31:T31"/>
    <mergeCell ref="U31:V31"/>
    <mergeCell ref="O29:Q29"/>
    <mergeCell ref="R29:T29"/>
    <mergeCell ref="U29:V29"/>
    <mergeCell ref="O30:Q30"/>
    <mergeCell ref="R30:T30"/>
    <mergeCell ref="U30:V30"/>
    <mergeCell ref="U8:V8"/>
    <mergeCell ref="U12:V12"/>
    <mergeCell ref="M14:Q14"/>
    <mergeCell ref="R14:S14"/>
    <mergeCell ref="U9:V9"/>
    <mergeCell ref="R9:S9"/>
    <mergeCell ref="U11:V11"/>
    <mergeCell ref="O4:Q4"/>
    <mergeCell ref="R27:T27"/>
    <mergeCell ref="L26:N26"/>
    <mergeCell ref="L28:N28"/>
    <mergeCell ref="O28:Q28"/>
    <mergeCell ref="D16:E16"/>
    <mergeCell ref="F16:I16"/>
    <mergeCell ref="J16:M16"/>
    <mergeCell ref="K14:L14"/>
    <mergeCell ref="R23:T23"/>
    <mergeCell ref="U28:V28"/>
    <mergeCell ref="U23:V23"/>
    <mergeCell ref="F24:K24"/>
    <mergeCell ref="U22:V22"/>
    <mergeCell ref="R21:T21"/>
    <mergeCell ref="U26:V26"/>
    <mergeCell ref="R25:T25"/>
    <mergeCell ref="O22:Q22"/>
    <mergeCell ref="R22:T22"/>
    <mergeCell ref="F27:K27"/>
    <mergeCell ref="L27:N27"/>
    <mergeCell ref="U24:V24"/>
    <mergeCell ref="F25:K25"/>
    <mergeCell ref="L25:N25"/>
    <mergeCell ref="O25:Q25"/>
    <mergeCell ref="O26:Q26"/>
    <mergeCell ref="R26:T26"/>
    <mergeCell ref="U25:V25"/>
    <mergeCell ref="O27:Q27"/>
    <mergeCell ref="S42:T42"/>
    <mergeCell ref="U42:V42"/>
    <mergeCell ref="Q37:R37"/>
    <mergeCell ref="Q38:R38"/>
    <mergeCell ref="S39:T39"/>
    <mergeCell ref="U41:V41"/>
    <mergeCell ref="G4:J4"/>
    <mergeCell ref="F22:K22"/>
    <mergeCell ref="L22:N22"/>
    <mergeCell ref="F23:K23"/>
    <mergeCell ref="L23:N23"/>
    <mergeCell ref="L24:N24"/>
    <mergeCell ref="O24:Q24"/>
    <mergeCell ref="R24:T24"/>
    <mergeCell ref="T13:V13"/>
    <mergeCell ref="K5:L5"/>
    <mergeCell ref="F21:K21"/>
    <mergeCell ref="L21:N21"/>
    <mergeCell ref="O21:Q21"/>
    <mergeCell ref="O23:Q23"/>
    <mergeCell ref="R12:S12"/>
    <mergeCell ref="T14:V14"/>
    <mergeCell ref="A15:V15"/>
    <mergeCell ref="A16:C16"/>
    <mergeCell ref="O42:P42"/>
    <mergeCell ref="A19:C19"/>
    <mergeCell ref="D19:E19"/>
    <mergeCell ref="F19:I19"/>
    <mergeCell ref="J19:M19"/>
    <mergeCell ref="N19:R19"/>
    <mergeCell ref="S19:V19"/>
    <mergeCell ref="A20:V20"/>
    <mergeCell ref="J17:M17"/>
    <mergeCell ref="N17:R17"/>
    <mergeCell ref="S17:V17"/>
    <mergeCell ref="A18:C18"/>
    <mergeCell ref="D18:E18"/>
    <mergeCell ref="F18:I18"/>
    <mergeCell ref="J18:M18"/>
    <mergeCell ref="N18:R18"/>
    <mergeCell ref="S18:V18"/>
    <mergeCell ref="Q42:R42"/>
    <mergeCell ref="U37:V37"/>
    <mergeCell ref="U38:V38"/>
    <mergeCell ref="U39:V39"/>
    <mergeCell ref="U40:V40"/>
    <mergeCell ref="S40:T40"/>
    <mergeCell ref="S41:T41"/>
  </mergeCells>
  <conditionalFormatting sqref="C22:C31">
    <cfRule type="containsBlanks" dxfId="146" priority="412">
      <formula>LEN(TRIM(C22))=0</formula>
    </cfRule>
    <cfRule type="cellIs" dxfId="145" priority="413" operator="greaterThanOrEqual">
      <formula>0.00693</formula>
    </cfRule>
  </conditionalFormatting>
  <conditionalFormatting sqref="E22:E31">
    <cfRule type="cellIs" dxfId="144" priority="408" operator="equal">
      <formula>"No"</formula>
    </cfRule>
    <cfRule type="cellIs" dxfId="143" priority="409" operator="equal">
      <formula>"Yes"</formula>
    </cfRule>
    <cfRule type="cellIs" dxfId="142" priority="410" operator="equal">
      <formula>"N"</formula>
    </cfRule>
    <cfRule type="cellIs" dxfId="141" priority="411" operator="equal">
      <formula>"Y"</formula>
    </cfRule>
  </conditionalFormatting>
  <conditionalFormatting sqref="Q38:R42">
    <cfRule type="cellIs" dxfId="140" priority="399" operator="equal">
      <formula>"Y"</formula>
    </cfRule>
    <cfRule type="cellIs" dxfId="139" priority="400" operator="equal">
      <formula>"N"</formula>
    </cfRule>
  </conditionalFormatting>
  <conditionalFormatting sqref="W22:W31">
    <cfRule type="cellIs" dxfId="138" priority="396" operator="greaterThan">
      <formula>0.0104166666666667</formula>
    </cfRule>
    <cfRule type="cellIs" dxfId="137" priority="397" operator="greaterThan">
      <formula>0.00694444444444444</formula>
    </cfRule>
  </conditionalFormatting>
  <conditionalFormatting sqref="G6:J6 G8:I8 G10:J10 G12:I12">
    <cfRule type="notContainsBlanks" dxfId="136" priority="417">
      <formula>LEN(TRIM(G6))&gt;0</formula>
    </cfRule>
  </conditionalFormatting>
  <dataValidations count="1">
    <dataValidation type="list" allowBlank="1" showInputMessage="1" showErrorMessage="1" sqref="B1:B2">
      <formula1>"Day, Night, Pre/Sun, Twi"</formula1>
    </dataValidation>
  </dataValidations>
  <pageMargins left="0.7" right="0.7" top="0.75" bottom="0.75" header="0.3" footer="0.3"/>
  <pageSetup orientation="portrait" r:id="rId1"/>
  <ignoredErrors>
    <ignoredError sqref="G9 G11:I11 B12"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N31"/>
  <sheetViews>
    <sheetView zoomScaleNormal="100" workbookViewId="0">
      <selection activeCell="B6" sqref="B6"/>
    </sheetView>
  </sheetViews>
  <sheetFormatPr defaultColWidth="8.85546875" defaultRowHeight="15.75" x14ac:dyDescent="0.25"/>
  <cols>
    <col min="1" max="1" width="5.7109375" style="270" customWidth="1"/>
    <col min="2" max="2" width="14.85546875" style="270" customWidth="1"/>
    <col min="3" max="3" width="14.42578125" style="270" customWidth="1"/>
    <col min="4" max="4" width="13.7109375" style="270" customWidth="1"/>
    <col min="5" max="5" width="13.42578125" style="270" customWidth="1"/>
    <col min="6" max="6" width="9.5703125" style="270" customWidth="1"/>
    <col min="7" max="7" width="14.28515625" style="270" customWidth="1"/>
    <col min="8" max="8" width="19.5703125" style="270" customWidth="1"/>
    <col min="9" max="13" width="8.85546875" style="270"/>
    <col min="14" max="14" width="15.140625" style="270" customWidth="1"/>
    <col min="15" max="16384" width="8.85546875" style="270"/>
  </cols>
  <sheetData>
    <row r="1" spans="1:14" ht="32.25" customHeight="1" thickBot="1" x14ac:dyDescent="0.3">
      <c r="A1" s="494"/>
      <c r="B1" s="494"/>
      <c r="C1" s="267" t="s">
        <v>0</v>
      </c>
      <c r="D1" s="268" t="str">
        <f>Report!B1</f>
        <v>Day</v>
      </c>
      <c r="E1" s="495" t="s">
        <v>20654</v>
      </c>
      <c r="F1" s="495"/>
      <c r="G1" s="269"/>
      <c r="H1" s="269"/>
      <c r="I1" s="495" t="s">
        <v>1</v>
      </c>
      <c r="J1" s="495"/>
      <c r="K1" s="496">
        <f>Report!D1</f>
        <v>44559</v>
      </c>
      <c r="L1" s="497"/>
    </row>
    <row r="2" spans="1:14" ht="32.25" thickBot="1" x14ac:dyDescent="0.3">
      <c r="A2" s="58" t="s">
        <v>20655</v>
      </c>
      <c r="B2" s="58" t="s">
        <v>115</v>
      </c>
      <c r="C2" s="265" t="s">
        <v>35</v>
      </c>
      <c r="D2" s="265" t="s">
        <v>20656</v>
      </c>
      <c r="E2" s="265" t="s">
        <v>20657</v>
      </c>
      <c r="F2" s="265" t="s">
        <v>71</v>
      </c>
      <c r="G2" s="265" t="s">
        <v>20658</v>
      </c>
      <c r="H2" s="265" t="s">
        <v>36</v>
      </c>
      <c r="I2" s="401" t="s">
        <v>37</v>
      </c>
      <c r="J2" s="401"/>
      <c r="K2" s="401"/>
      <c r="L2" s="401"/>
      <c r="M2" s="401"/>
      <c r="N2" s="401"/>
    </row>
    <row r="3" spans="1:14" ht="16.5" customHeight="1" thickBot="1" x14ac:dyDescent="0.3">
      <c r="A3" s="271">
        <v>1</v>
      </c>
      <c r="B3" s="272">
        <v>0.6020833333333333</v>
      </c>
      <c r="C3" s="272">
        <v>0.6069444444444444</v>
      </c>
      <c r="D3" s="272">
        <f t="shared" ref="D3:D31" si="0">IF(B3&gt;0,C3-B3, "")</f>
        <v>4.8611111111110938E-3</v>
      </c>
      <c r="E3" s="273">
        <v>0</v>
      </c>
      <c r="F3" s="274" t="str">
        <f t="shared" ref="F3:F31" si="1">IF(ISNUMBER(E3),IF(AND(E3&gt;=0.0065,IF(OR(ISNUMBER(SEARCH("metro unloader",I3)),ISNUMBER(SEARCH("plc",I3)),ISNUMBER(SEARCH("Wash",I3)),ISNUMBER(SEARCH("Fuel Island",I3)),ISNUMBER(SEARCH("Compressor",I3))),0,1)),"Y","N"),"")</f>
        <v>N</v>
      </c>
      <c r="G3" s="273" t="s">
        <v>20914</v>
      </c>
      <c r="H3" s="273" t="s">
        <v>21088</v>
      </c>
      <c r="I3" s="493" t="s">
        <v>21089</v>
      </c>
      <c r="J3" s="493"/>
      <c r="K3" s="493"/>
      <c r="L3" s="493"/>
      <c r="M3" s="493"/>
      <c r="N3" s="493"/>
    </row>
    <row r="4" spans="1:14" ht="16.5" customHeight="1" thickBot="1" x14ac:dyDescent="0.3">
      <c r="A4" s="271">
        <v>2</v>
      </c>
      <c r="B4" s="272">
        <v>0.61319444444444449</v>
      </c>
      <c r="C4" s="272">
        <v>0.61805555555555558</v>
      </c>
      <c r="D4" s="272">
        <f t="shared" si="0"/>
        <v>4.8611111111110938E-3</v>
      </c>
      <c r="E4" s="273">
        <v>4.8611111111111112E-3</v>
      </c>
      <c r="F4" s="274" t="str">
        <f t="shared" si="1"/>
        <v>N</v>
      </c>
      <c r="G4" s="273" t="s">
        <v>20914</v>
      </c>
      <c r="H4" s="273" t="s">
        <v>21090</v>
      </c>
      <c r="I4" s="493" t="s">
        <v>21091</v>
      </c>
      <c r="J4" s="493"/>
      <c r="K4" s="493"/>
      <c r="L4" s="493"/>
      <c r="M4" s="493"/>
      <c r="N4" s="493"/>
    </row>
    <row r="5" spans="1:14" ht="16.5" customHeight="1" thickBot="1" x14ac:dyDescent="0.3">
      <c r="A5" s="271">
        <v>3</v>
      </c>
      <c r="B5" s="272">
        <v>0.64236111111111105</v>
      </c>
      <c r="C5" s="272">
        <v>0.64444444444444449</v>
      </c>
      <c r="D5" s="272">
        <f t="shared" si="0"/>
        <v>2.083333333333437E-3</v>
      </c>
      <c r="E5" s="273">
        <v>2.0833333333333333E-3</v>
      </c>
      <c r="F5" s="274" t="str">
        <f t="shared" si="1"/>
        <v>N</v>
      </c>
      <c r="G5" s="273" t="s">
        <v>21092</v>
      </c>
      <c r="H5" s="273" t="s">
        <v>21093</v>
      </c>
      <c r="I5" s="493" t="s">
        <v>21094</v>
      </c>
      <c r="J5" s="493"/>
      <c r="K5" s="493"/>
      <c r="L5" s="493"/>
      <c r="M5" s="493"/>
      <c r="N5" s="493"/>
    </row>
    <row r="6" spans="1:14" ht="16.5" customHeight="1" thickBot="1" x14ac:dyDescent="0.3">
      <c r="A6" s="271">
        <v>4</v>
      </c>
      <c r="B6" s="272"/>
      <c r="C6" s="272"/>
      <c r="D6" s="272" t="str">
        <f t="shared" si="0"/>
        <v/>
      </c>
      <c r="E6" s="275"/>
      <c r="F6" s="274" t="str">
        <f t="shared" si="1"/>
        <v/>
      </c>
      <c r="G6" s="273"/>
      <c r="H6" s="273"/>
      <c r="I6" s="498"/>
      <c r="J6" s="499"/>
      <c r="K6" s="499"/>
      <c r="L6" s="499"/>
      <c r="M6" s="499"/>
      <c r="N6" s="500"/>
    </row>
    <row r="7" spans="1:14" ht="16.5" customHeight="1" thickBot="1" x14ac:dyDescent="0.3">
      <c r="A7" s="271">
        <v>5</v>
      </c>
      <c r="B7" s="272"/>
      <c r="C7" s="272"/>
      <c r="D7" s="272" t="str">
        <f t="shared" si="0"/>
        <v/>
      </c>
      <c r="E7" s="275"/>
      <c r="F7" s="274" t="str">
        <f t="shared" si="1"/>
        <v/>
      </c>
      <c r="G7" s="273"/>
      <c r="H7" s="273"/>
      <c r="I7" s="493"/>
      <c r="J7" s="493"/>
      <c r="K7" s="493"/>
      <c r="L7" s="493"/>
      <c r="M7" s="493"/>
      <c r="N7" s="493"/>
    </row>
    <row r="8" spans="1:14" ht="16.5" thickBot="1" x14ac:dyDescent="0.3">
      <c r="A8" s="271">
        <v>6</v>
      </c>
      <c r="B8" s="272"/>
      <c r="C8" s="272"/>
      <c r="D8" s="272" t="str">
        <f t="shared" si="0"/>
        <v/>
      </c>
      <c r="E8" s="275"/>
      <c r="F8" s="274" t="str">
        <f t="shared" si="1"/>
        <v/>
      </c>
      <c r="G8" s="273"/>
      <c r="H8" s="273"/>
      <c r="I8" s="493"/>
      <c r="J8" s="493"/>
      <c r="K8" s="493"/>
      <c r="L8" s="493"/>
      <c r="M8" s="493"/>
      <c r="N8" s="493"/>
    </row>
    <row r="9" spans="1:14" ht="16.5" thickBot="1" x14ac:dyDescent="0.3">
      <c r="A9" s="271">
        <v>7</v>
      </c>
      <c r="B9" s="272"/>
      <c r="C9" s="272"/>
      <c r="D9" s="272" t="str">
        <f t="shared" si="0"/>
        <v/>
      </c>
      <c r="E9" s="275"/>
      <c r="F9" s="274" t="str">
        <f t="shared" si="1"/>
        <v/>
      </c>
      <c r="G9" s="273"/>
      <c r="H9" s="273"/>
      <c r="I9" s="493"/>
      <c r="J9" s="493"/>
      <c r="K9" s="493"/>
      <c r="L9" s="493"/>
      <c r="M9" s="493"/>
      <c r="N9" s="493"/>
    </row>
    <row r="10" spans="1:14" ht="16.5" thickBot="1" x14ac:dyDescent="0.3">
      <c r="A10" s="271">
        <v>8</v>
      </c>
      <c r="B10" s="272"/>
      <c r="C10" s="272"/>
      <c r="D10" s="272" t="str">
        <f t="shared" si="0"/>
        <v/>
      </c>
      <c r="E10" s="275"/>
      <c r="F10" s="274" t="str">
        <f t="shared" si="1"/>
        <v/>
      </c>
      <c r="G10" s="273"/>
      <c r="H10" s="273"/>
      <c r="I10" s="493"/>
      <c r="J10" s="493"/>
      <c r="K10" s="493"/>
      <c r="L10" s="493"/>
      <c r="M10" s="493"/>
      <c r="N10" s="493"/>
    </row>
    <row r="11" spans="1:14" ht="16.5" thickBot="1" x14ac:dyDescent="0.3">
      <c r="A11" s="271">
        <v>9</v>
      </c>
      <c r="B11" s="272"/>
      <c r="C11" s="272"/>
      <c r="D11" s="272" t="str">
        <f t="shared" si="0"/>
        <v/>
      </c>
      <c r="E11" s="275"/>
      <c r="F11" s="274" t="str">
        <f t="shared" si="1"/>
        <v/>
      </c>
      <c r="G11" s="273"/>
      <c r="H11" s="273"/>
      <c r="I11" s="493"/>
      <c r="J11" s="493"/>
      <c r="K11" s="493"/>
      <c r="L11" s="493"/>
      <c r="M11" s="493"/>
      <c r="N11" s="493"/>
    </row>
    <row r="12" spans="1:14" ht="16.5" thickBot="1" x14ac:dyDescent="0.3">
      <c r="A12" s="271">
        <v>10</v>
      </c>
      <c r="B12" s="272"/>
      <c r="C12" s="272"/>
      <c r="D12" s="272" t="str">
        <f t="shared" si="0"/>
        <v/>
      </c>
      <c r="E12" s="275"/>
      <c r="F12" s="274" t="str">
        <f t="shared" si="1"/>
        <v/>
      </c>
      <c r="G12" s="273"/>
      <c r="H12" s="273"/>
      <c r="I12" s="493"/>
      <c r="J12" s="493"/>
      <c r="K12" s="493"/>
      <c r="L12" s="493"/>
      <c r="M12" s="493"/>
      <c r="N12" s="493"/>
    </row>
    <row r="13" spans="1:14" ht="16.5" thickBot="1" x14ac:dyDescent="0.3">
      <c r="A13" s="271">
        <v>11</v>
      </c>
      <c r="B13" s="272"/>
      <c r="C13" s="272"/>
      <c r="D13" s="272" t="str">
        <f t="shared" si="0"/>
        <v/>
      </c>
      <c r="E13" s="273"/>
      <c r="F13" s="274" t="str">
        <f t="shared" si="1"/>
        <v/>
      </c>
      <c r="G13" s="273"/>
      <c r="H13" s="273"/>
      <c r="I13" s="493"/>
      <c r="J13" s="493"/>
      <c r="K13" s="493"/>
      <c r="L13" s="493"/>
      <c r="M13" s="493"/>
      <c r="N13" s="493"/>
    </row>
    <row r="14" spans="1:14" ht="16.5" thickBot="1" x14ac:dyDescent="0.3">
      <c r="A14" s="271">
        <v>12</v>
      </c>
      <c r="B14" s="272"/>
      <c r="C14" s="272"/>
      <c r="D14" s="272" t="str">
        <f t="shared" si="0"/>
        <v/>
      </c>
      <c r="E14" s="275"/>
      <c r="F14" s="274" t="str">
        <f t="shared" si="1"/>
        <v/>
      </c>
      <c r="G14" s="273"/>
      <c r="H14" s="273"/>
      <c r="I14" s="493"/>
      <c r="J14" s="493"/>
      <c r="K14" s="493"/>
      <c r="L14" s="493"/>
      <c r="M14" s="493"/>
      <c r="N14" s="493"/>
    </row>
    <row r="15" spans="1:14" ht="16.5" thickBot="1" x14ac:dyDescent="0.3">
      <c r="A15" s="271">
        <v>13</v>
      </c>
      <c r="B15" s="272"/>
      <c r="C15" s="272"/>
      <c r="D15" s="272" t="str">
        <f t="shared" si="0"/>
        <v/>
      </c>
      <c r="E15" s="275"/>
      <c r="F15" s="274" t="str">
        <f t="shared" si="1"/>
        <v/>
      </c>
      <c r="G15" s="273"/>
      <c r="H15" s="273"/>
      <c r="I15" s="493"/>
      <c r="J15" s="493"/>
      <c r="K15" s="493"/>
      <c r="L15" s="493"/>
      <c r="M15" s="493"/>
      <c r="N15" s="493"/>
    </row>
    <row r="16" spans="1:14" ht="16.5" thickBot="1" x14ac:dyDescent="0.3">
      <c r="A16" s="271">
        <v>14</v>
      </c>
      <c r="B16" s="272"/>
      <c r="C16" s="272"/>
      <c r="D16" s="272" t="str">
        <f t="shared" si="0"/>
        <v/>
      </c>
      <c r="E16" s="275"/>
      <c r="F16" s="274" t="str">
        <f t="shared" si="1"/>
        <v/>
      </c>
      <c r="G16" s="273"/>
      <c r="H16" s="273"/>
      <c r="I16" s="493"/>
      <c r="J16" s="493"/>
      <c r="K16" s="493"/>
      <c r="L16" s="493"/>
      <c r="M16" s="493"/>
      <c r="N16" s="493"/>
    </row>
    <row r="17" spans="1:14" ht="16.5" thickBot="1" x14ac:dyDescent="0.3">
      <c r="A17" s="271">
        <v>15</v>
      </c>
      <c r="B17" s="272"/>
      <c r="C17" s="272"/>
      <c r="D17" s="272" t="str">
        <f t="shared" si="0"/>
        <v/>
      </c>
      <c r="E17" s="275"/>
      <c r="F17" s="274" t="str">
        <f t="shared" si="1"/>
        <v/>
      </c>
      <c r="G17" s="273"/>
      <c r="H17" s="273"/>
      <c r="I17" s="493"/>
      <c r="J17" s="493"/>
      <c r="K17" s="493"/>
      <c r="L17" s="493"/>
      <c r="M17" s="493"/>
      <c r="N17" s="493"/>
    </row>
    <row r="18" spans="1:14" ht="16.5" thickBot="1" x14ac:dyDescent="0.3">
      <c r="A18" s="271">
        <v>16</v>
      </c>
      <c r="B18" s="272"/>
      <c r="C18" s="272"/>
      <c r="D18" s="272" t="str">
        <f t="shared" si="0"/>
        <v/>
      </c>
      <c r="E18" s="275"/>
      <c r="F18" s="274" t="str">
        <f t="shared" si="1"/>
        <v/>
      </c>
      <c r="G18" s="273"/>
      <c r="H18" s="273"/>
      <c r="I18" s="493"/>
      <c r="J18" s="493"/>
      <c r="K18" s="493"/>
      <c r="L18" s="493"/>
      <c r="M18" s="493"/>
      <c r="N18" s="493"/>
    </row>
    <row r="19" spans="1:14" ht="16.5" thickBot="1" x14ac:dyDescent="0.3">
      <c r="A19" s="271">
        <v>17</v>
      </c>
      <c r="B19" s="272"/>
      <c r="C19" s="272"/>
      <c r="D19" s="272" t="str">
        <f t="shared" si="0"/>
        <v/>
      </c>
      <c r="E19" s="275"/>
      <c r="F19" s="274" t="str">
        <f t="shared" si="1"/>
        <v/>
      </c>
      <c r="G19" s="273"/>
      <c r="H19" s="273"/>
      <c r="I19" s="493"/>
      <c r="J19" s="493"/>
      <c r="K19" s="493"/>
      <c r="L19" s="493"/>
      <c r="M19" s="493"/>
      <c r="N19" s="493"/>
    </row>
    <row r="20" spans="1:14" ht="16.5" thickBot="1" x14ac:dyDescent="0.3">
      <c r="A20" s="271">
        <v>18</v>
      </c>
      <c r="B20" s="272"/>
      <c r="C20" s="272"/>
      <c r="D20" s="272" t="str">
        <f t="shared" si="0"/>
        <v/>
      </c>
      <c r="E20" s="275"/>
      <c r="F20" s="274" t="str">
        <f t="shared" si="1"/>
        <v/>
      </c>
      <c r="G20" s="273"/>
      <c r="H20" s="273"/>
      <c r="I20" s="493"/>
      <c r="J20" s="493"/>
      <c r="K20" s="493"/>
      <c r="L20" s="493"/>
      <c r="M20" s="493"/>
      <c r="N20" s="493"/>
    </row>
    <row r="21" spans="1:14" ht="16.5" thickBot="1" x14ac:dyDescent="0.3">
      <c r="A21" s="271">
        <v>19</v>
      </c>
      <c r="B21" s="272"/>
      <c r="C21" s="272"/>
      <c r="D21" s="272" t="str">
        <f t="shared" si="0"/>
        <v/>
      </c>
      <c r="E21" s="275"/>
      <c r="F21" s="274" t="str">
        <f t="shared" si="1"/>
        <v/>
      </c>
      <c r="G21" s="273"/>
      <c r="H21" s="273"/>
      <c r="I21" s="493"/>
      <c r="J21" s="493"/>
      <c r="K21" s="493"/>
      <c r="L21" s="493"/>
      <c r="M21" s="493"/>
      <c r="N21" s="493"/>
    </row>
    <row r="22" spans="1:14" ht="16.5" thickBot="1" x14ac:dyDescent="0.3">
      <c r="A22" s="271">
        <v>20</v>
      </c>
      <c r="B22" s="272"/>
      <c r="C22" s="272"/>
      <c r="D22" s="272" t="str">
        <f t="shared" si="0"/>
        <v/>
      </c>
      <c r="E22" s="275"/>
      <c r="F22" s="274" t="str">
        <f t="shared" si="1"/>
        <v/>
      </c>
      <c r="G22" s="273"/>
      <c r="H22" s="273"/>
      <c r="I22" s="493"/>
      <c r="J22" s="493"/>
      <c r="K22" s="493"/>
      <c r="L22" s="493"/>
      <c r="M22" s="493"/>
      <c r="N22" s="493"/>
    </row>
    <row r="23" spans="1:14" ht="16.5" thickBot="1" x14ac:dyDescent="0.3">
      <c r="A23" s="271">
        <v>21</v>
      </c>
      <c r="B23" s="272"/>
      <c r="C23" s="272"/>
      <c r="D23" s="272" t="str">
        <f t="shared" si="0"/>
        <v/>
      </c>
      <c r="E23" s="275"/>
      <c r="F23" s="274" t="str">
        <f t="shared" si="1"/>
        <v/>
      </c>
      <c r="G23" s="273"/>
      <c r="H23" s="273"/>
      <c r="I23" s="493"/>
      <c r="J23" s="493"/>
      <c r="K23" s="493"/>
      <c r="L23" s="493"/>
      <c r="M23" s="493"/>
      <c r="N23" s="493"/>
    </row>
    <row r="24" spans="1:14" ht="16.5" thickBot="1" x14ac:dyDescent="0.3">
      <c r="A24" s="271">
        <v>22</v>
      </c>
      <c r="B24" s="272"/>
      <c r="C24" s="272"/>
      <c r="D24" s="272" t="str">
        <f t="shared" si="0"/>
        <v/>
      </c>
      <c r="E24" s="275"/>
      <c r="F24" s="274" t="str">
        <f t="shared" si="1"/>
        <v/>
      </c>
      <c r="G24" s="273"/>
      <c r="H24" s="273"/>
      <c r="I24" s="493"/>
      <c r="J24" s="493"/>
      <c r="K24" s="493"/>
      <c r="L24" s="493"/>
      <c r="M24" s="493"/>
      <c r="N24" s="493"/>
    </row>
    <row r="25" spans="1:14" ht="16.5" thickBot="1" x14ac:dyDescent="0.3">
      <c r="A25" s="271">
        <v>23</v>
      </c>
      <c r="B25" s="272"/>
      <c r="C25" s="272"/>
      <c r="D25" s="272" t="str">
        <f t="shared" si="0"/>
        <v/>
      </c>
      <c r="E25" s="275"/>
      <c r="F25" s="274" t="str">
        <f t="shared" si="1"/>
        <v/>
      </c>
      <c r="G25" s="273"/>
      <c r="H25" s="273"/>
      <c r="I25" s="493"/>
      <c r="J25" s="493"/>
      <c r="K25" s="493"/>
      <c r="L25" s="493"/>
      <c r="M25" s="493"/>
      <c r="N25" s="493"/>
    </row>
    <row r="26" spans="1:14" ht="16.5" thickBot="1" x14ac:dyDescent="0.3">
      <c r="A26" s="271">
        <v>24</v>
      </c>
      <c r="B26" s="272"/>
      <c r="C26" s="272"/>
      <c r="D26" s="272" t="str">
        <f t="shared" si="0"/>
        <v/>
      </c>
      <c r="E26" s="275"/>
      <c r="F26" s="274" t="str">
        <f t="shared" si="1"/>
        <v/>
      </c>
      <c r="G26" s="273"/>
      <c r="H26" s="273"/>
      <c r="I26" s="493"/>
      <c r="J26" s="493"/>
      <c r="K26" s="493"/>
      <c r="L26" s="493"/>
      <c r="M26" s="493"/>
      <c r="N26" s="493"/>
    </row>
    <row r="27" spans="1:14" ht="16.5" thickBot="1" x14ac:dyDescent="0.3">
      <c r="A27" s="271">
        <v>25</v>
      </c>
      <c r="B27" s="272"/>
      <c r="C27" s="272"/>
      <c r="D27" s="272" t="str">
        <f t="shared" si="0"/>
        <v/>
      </c>
      <c r="E27" s="275"/>
      <c r="F27" s="274" t="str">
        <f t="shared" si="1"/>
        <v/>
      </c>
      <c r="G27" s="273"/>
      <c r="H27" s="273"/>
      <c r="I27" s="493"/>
      <c r="J27" s="493"/>
      <c r="K27" s="493"/>
      <c r="L27" s="493"/>
      <c r="M27" s="493"/>
      <c r="N27" s="493"/>
    </row>
    <row r="28" spans="1:14" ht="16.5" thickBot="1" x14ac:dyDescent="0.3">
      <c r="A28" s="271">
        <v>26</v>
      </c>
      <c r="B28" s="272"/>
      <c r="C28" s="272"/>
      <c r="D28" s="272" t="str">
        <f t="shared" si="0"/>
        <v/>
      </c>
      <c r="E28" s="275"/>
      <c r="F28" s="274" t="str">
        <f t="shared" si="1"/>
        <v/>
      </c>
      <c r="G28" s="273"/>
      <c r="H28" s="273"/>
      <c r="I28" s="493"/>
      <c r="J28" s="493"/>
      <c r="K28" s="493"/>
      <c r="L28" s="493"/>
      <c r="M28" s="493"/>
      <c r="N28" s="493"/>
    </row>
    <row r="29" spans="1:14" ht="16.5" thickBot="1" x14ac:dyDescent="0.3">
      <c r="A29" s="271">
        <v>27</v>
      </c>
      <c r="B29" s="272"/>
      <c r="C29" s="272"/>
      <c r="D29" s="272" t="str">
        <f t="shared" si="0"/>
        <v/>
      </c>
      <c r="E29" s="275"/>
      <c r="F29" s="274" t="str">
        <f t="shared" si="1"/>
        <v/>
      </c>
      <c r="G29" s="273"/>
      <c r="H29" s="273"/>
      <c r="I29" s="493"/>
      <c r="J29" s="493"/>
      <c r="K29" s="493"/>
      <c r="L29" s="493"/>
      <c r="M29" s="493"/>
      <c r="N29" s="493"/>
    </row>
    <row r="30" spans="1:14" ht="16.5" thickBot="1" x14ac:dyDescent="0.3">
      <c r="A30" s="271">
        <v>28</v>
      </c>
      <c r="B30" s="272"/>
      <c r="C30" s="272"/>
      <c r="D30" s="272" t="str">
        <f t="shared" si="0"/>
        <v/>
      </c>
      <c r="E30" s="275"/>
      <c r="F30" s="274" t="str">
        <f t="shared" si="1"/>
        <v/>
      </c>
      <c r="G30" s="273"/>
      <c r="H30" s="273"/>
      <c r="I30" s="493"/>
      <c r="J30" s="493"/>
      <c r="K30" s="493"/>
      <c r="L30" s="493"/>
      <c r="M30" s="493"/>
      <c r="N30" s="493"/>
    </row>
    <row r="31" spans="1:14" ht="16.5" thickBot="1" x14ac:dyDescent="0.3">
      <c r="A31" s="276">
        <v>29</v>
      </c>
      <c r="B31" s="272"/>
      <c r="C31" s="272"/>
      <c r="D31" s="272" t="str">
        <f t="shared" si="0"/>
        <v/>
      </c>
      <c r="E31" s="275"/>
      <c r="F31" s="274" t="str">
        <f t="shared" si="1"/>
        <v/>
      </c>
      <c r="G31" s="273"/>
      <c r="H31" s="273"/>
      <c r="I31" s="493"/>
      <c r="J31" s="493"/>
      <c r="K31" s="493"/>
      <c r="L31" s="493"/>
      <c r="M31" s="493"/>
      <c r="N31" s="493"/>
    </row>
  </sheetData>
  <dataConsolidate/>
  <mergeCells count="34">
    <mergeCell ref="I28:N28"/>
    <mergeCell ref="I29:N29"/>
    <mergeCell ref="I30:N30"/>
    <mergeCell ref="I31:N31"/>
    <mergeCell ref="I22:N22"/>
    <mergeCell ref="I23:N23"/>
    <mergeCell ref="I24:N24"/>
    <mergeCell ref="I25:N25"/>
    <mergeCell ref="I26:N26"/>
    <mergeCell ref="I27:N27"/>
    <mergeCell ref="I21:N21"/>
    <mergeCell ref="I10:N10"/>
    <mergeCell ref="I11:N11"/>
    <mergeCell ref="I12:N12"/>
    <mergeCell ref="I13:N13"/>
    <mergeCell ref="I14:N14"/>
    <mergeCell ref="I15:N15"/>
    <mergeCell ref="I16:N16"/>
    <mergeCell ref="I17:N17"/>
    <mergeCell ref="I18:N18"/>
    <mergeCell ref="I19:N19"/>
    <mergeCell ref="I20:N20"/>
    <mergeCell ref="I9:N9"/>
    <mergeCell ref="A1:B1"/>
    <mergeCell ref="E1:F1"/>
    <mergeCell ref="I1:J1"/>
    <mergeCell ref="K1:L1"/>
    <mergeCell ref="I2:N2"/>
    <mergeCell ref="I3:N3"/>
    <mergeCell ref="I4:N4"/>
    <mergeCell ref="I5:N5"/>
    <mergeCell ref="I6:N6"/>
    <mergeCell ref="I7:N7"/>
    <mergeCell ref="I8:N8"/>
  </mergeCells>
  <conditionalFormatting sqref="D3:D31">
    <cfRule type="containsBlanks" dxfId="135" priority="10">
      <formula>LEN(TRIM(D3))=0</formula>
    </cfRule>
    <cfRule type="cellIs" dxfId="134" priority="11" operator="greaterThan">
      <formula>0.007</formula>
    </cfRule>
  </conditionalFormatting>
  <conditionalFormatting sqref="F3:F31">
    <cfRule type="cellIs" dxfId="133" priority="6" operator="equal">
      <formula>"No"</formula>
    </cfRule>
    <cfRule type="cellIs" dxfId="132" priority="7" operator="equal">
      <formula>"Yes"</formula>
    </cfRule>
    <cfRule type="cellIs" dxfId="131" priority="8" operator="equal">
      <formula>"N"</formula>
    </cfRule>
    <cfRule type="cellIs" dxfId="130" priority="9" operator="equal">
      <formula>"Y"</formula>
    </cfRule>
  </conditionalFormatting>
  <conditionalFormatting sqref="E3:E31">
    <cfRule type="cellIs" dxfId="129" priority="1" operator="greaterThan">
      <formula>0.007</formula>
    </cfRule>
  </conditionalFormatting>
  <dataValidations count="2">
    <dataValidation type="list" allowBlank="1" showInputMessage="1" showErrorMessage="1" sqref="D1">
      <formula1>"Day, Night, Pre/Sun, Twi"</formula1>
    </dataValidation>
    <dataValidation type="list" allowBlank="1" showInputMessage="1" showErrorMessage="1" sqref="G1">
      <formula1>"Alex, Benson, Brian, Chad, Marie, Noah, Oriana, Rema, Thomas"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0.34998626667073579"/>
  </sheetPr>
  <dimension ref="A1:P77"/>
  <sheetViews>
    <sheetView showGridLines="0" zoomScale="90" zoomScaleNormal="90" workbookViewId="0">
      <pane ySplit="2" topLeftCell="A3" activePane="bottomLeft" state="frozen"/>
      <selection pane="bottomLeft" activeCell="D22" sqref="D22"/>
    </sheetView>
  </sheetViews>
  <sheetFormatPr defaultRowHeight="15" x14ac:dyDescent="0.25"/>
  <cols>
    <col min="1" max="1" width="13.42578125" customWidth="1"/>
    <col min="2" max="2" width="17.85546875" customWidth="1"/>
    <col min="3" max="3" width="17.85546875" style="2" customWidth="1"/>
    <col min="4" max="4" width="17.85546875" customWidth="1"/>
    <col min="5" max="5" width="17.85546875" style="2" customWidth="1"/>
    <col min="6" max="6" width="17.85546875" customWidth="1"/>
    <col min="7" max="7" width="17.85546875" style="2" customWidth="1"/>
    <col min="8" max="8" width="12.7109375" style="2" customWidth="1"/>
    <col min="9" max="9" width="17.85546875" style="2" customWidth="1"/>
    <col min="10" max="11" width="17.85546875" customWidth="1"/>
    <col min="12" max="12" width="22.5703125" customWidth="1"/>
    <col min="13" max="13" width="20.7109375" customWidth="1"/>
    <col min="14" max="14" width="21.85546875" customWidth="1"/>
    <col min="15" max="15" width="21.28515625" customWidth="1"/>
    <col min="16" max="16" width="15.28515625" customWidth="1"/>
  </cols>
  <sheetData>
    <row r="1" spans="1:16" ht="30.75" customHeight="1" thickBot="1" x14ac:dyDescent="0.3">
      <c r="A1" s="501" t="s">
        <v>58</v>
      </c>
      <c r="B1" s="501"/>
      <c r="C1" s="501"/>
      <c r="D1" s="501"/>
      <c r="E1" s="501"/>
      <c r="F1" s="501"/>
      <c r="G1" s="501"/>
      <c r="H1" s="501"/>
      <c r="I1" s="501"/>
      <c r="J1" s="501"/>
      <c r="K1" s="501"/>
      <c r="L1" s="501"/>
      <c r="M1" s="501"/>
      <c r="N1" s="501"/>
      <c r="O1" s="255"/>
      <c r="P1" s="53"/>
    </row>
    <row r="2" spans="1:16" s="32" customFormat="1" ht="30.75" thickBot="1" x14ac:dyDescent="0.3">
      <c r="A2" s="31"/>
      <c r="B2" s="45" t="s">
        <v>20641</v>
      </c>
      <c r="C2" s="31" t="s">
        <v>47</v>
      </c>
      <c r="D2" s="31" t="s">
        <v>48</v>
      </c>
      <c r="E2" s="31" t="s">
        <v>49</v>
      </c>
      <c r="F2" s="31" t="s">
        <v>20645</v>
      </c>
      <c r="G2" s="31" t="s">
        <v>56</v>
      </c>
      <c r="H2" s="31" t="s">
        <v>61</v>
      </c>
      <c r="I2" s="31" t="s">
        <v>60</v>
      </c>
      <c r="J2" s="31" t="s">
        <v>20644</v>
      </c>
      <c r="K2" s="31" t="s">
        <v>80</v>
      </c>
      <c r="L2" s="31" t="s">
        <v>75</v>
      </c>
      <c r="M2" s="31" t="s">
        <v>20642</v>
      </c>
      <c r="N2" s="31" t="s">
        <v>20643</v>
      </c>
      <c r="O2" s="254"/>
      <c r="P2" s="88"/>
    </row>
    <row r="3" spans="1:16" ht="15.75" thickBot="1" x14ac:dyDescent="0.3">
      <c r="A3" s="113" t="s">
        <v>12</v>
      </c>
      <c r="B3" s="156">
        <v>636</v>
      </c>
      <c r="C3" s="156">
        <v>281</v>
      </c>
      <c r="D3" s="156">
        <v>106</v>
      </c>
      <c r="E3" s="156">
        <v>67</v>
      </c>
      <c r="F3" s="156">
        <v>0</v>
      </c>
      <c r="G3" s="156">
        <v>79</v>
      </c>
      <c r="H3" s="156">
        <v>15</v>
      </c>
      <c r="I3" s="156">
        <v>2</v>
      </c>
      <c r="J3" s="156">
        <v>446</v>
      </c>
      <c r="K3" s="157"/>
      <c r="L3" s="258">
        <v>9494</v>
      </c>
      <c r="M3" s="258">
        <v>10453</v>
      </c>
      <c r="N3" s="258">
        <v>10457</v>
      </c>
      <c r="O3" s="257">
        <v>8</v>
      </c>
    </row>
    <row r="4" spans="1:16" ht="15.75" thickBot="1" x14ac:dyDescent="0.3">
      <c r="A4" s="114" t="s">
        <v>13</v>
      </c>
      <c r="B4" s="156">
        <v>1066</v>
      </c>
      <c r="C4" s="156">
        <v>268</v>
      </c>
      <c r="D4" s="156">
        <v>114</v>
      </c>
      <c r="E4" s="156">
        <v>55</v>
      </c>
      <c r="F4" s="156">
        <v>0</v>
      </c>
      <c r="G4" s="156">
        <v>141</v>
      </c>
      <c r="H4" s="156">
        <v>15</v>
      </c>
      <c r="I4" s="156">
        <v>10</v>
      </c>
      <c r="J4" s="156">
        <v>778</v>
      </c>
      <c r="K4" s="158"/>
      <c r="L4" s="258">
        <v>13114</v>
      </c>
      <c r="M4" s="258">
        <v>14473</v>
      </c>
      <c r="N4" s="258">
        <v>14500</v>
      </c>
      <c r="O4" s="257">
        <v>2</v>
      </c>
    </row>
    <row r="5" spans="1:16" ht="15.75" thickBot="1" x14ac:dyDescent="0.3">
      <c r="A5" s="114" t="s">
        <v>14</v>
      </c>
      <c r="B5" s="156">
        <v>333</v>
      </c>
      <c r="C5" s="156">
        <v>136</v>
      </c>
      <c r="D5" s="156">
        <v>72</v>
      </c>
      <c r="E5" s="156">
        <v>25</v>
      </c>
      <c r="F5" s="156">
        <v>0</v>
      </c>
      <c r="G5" s="156">
        <v>86</v>
      </c>
      <c r="H5" s="156">
        <v>23</v>
      </c>
      <c r="I5" s="156">
        <v>2</v>
      </c>
      <c r="J5" s="156">
        <v>148</v>
      </c>
      <c r="K5" s="158"/>
      <c r="L5" s="258">
        <v>7462</v>
      </c>
      <c r="M5" s="258">
        <v>7972</v>
      </c>
      <c r="N5" s="258">
        <v>7993</v>
      </c>
      <c r="O5" s="257">
        <v>2</v>
      </c>
    </row>
    <row r="6" spans="1:16" ht="15.75" thickBot="1" x14ac:dyDescent="0.3">
      <c r="A6" s="114" t="s">
        <v>20616</v>
      </c>
      <c r="B6" s="159">
        <v>1148</v>
      </c>
      <c r="C6" s="156">
        <v>215</v>
      </c>
      <c r="D6" s="156">
        <v>88</v>
      </c>
      <c r="E6" s="156">
        <v>74</v>
      </c>
      <c r="F6" s="156">
        <v>2</v>
      </c>
      <c r="G6" s="156">
        <v>108</v>
      </c>
      <c r="H6" s="156">
        <v>14</v>
      </c>
      <c r="I6" s="156">
        <v>2</v>
      </c>
      <c r="J6" s="156">
        <v>855</v>
      </c>
      <c r="K6" s="158"/>
      <c r="L6" s="258">
        <v>3995</v>
      </c>
      <c r="M6" s="258">
        <v>5433</v>
      </c>
      <c r="N6" s="258">
        <v>5351</v>
      </c>
      <c r="O6" s="257">
        <v>8</v>
      </c>
    </row>
    <row r="7" spans="1:16" ht="15.75" thickBot="1" x14ac:dyDescent="0.3">
      <c r="A7" s="86" t="s">
        <v>45</v>
      </c>
      <c r="B7" s="87">
        <f>SUM(B3:B6)</f>
        <v>3183</v>
      </c>
      <c r="C7" s="87">
        <f t="shared" ref="C7:K7" si="0">SUM(C3:C6)</f>
        <v>900</v>
      </c>
      <c r="D7" s="87">
        <f t="shared" si="0"/>
        <v>380</v>
      </c>
      <c r="E7" s="87">
        <f t="shared" si="0"/>
        <v>221</v>
      </c>
      <c r="F7" s="87">
        <f t="shared" si="0"/>
        <v>2</v>
      </c>
      <c r="G7" s="87">
        <f t="shared" si="0"/>
        <v>414</v>
      </c>
      <c r="H7" s="87">
        <f t="shared" si="0"/>
        <v>67</v>
      </c>
      <c r="I7" s="87">
        <f t="shared" si="0"/>
        <v>16</v>
      </c>
      <c r="J7" s="87">
        <f t="shared" si="0"/>
        <v>2227</v>
      </c>
      <c r="K7" s="87">
        <f t="shared" si="0"/>
        <v>0</v>
      </c>
      <c r="L7" s="87">
        <f>SUM(L3:L6)</f>
        <v>34065</v>
      </c>
      <c r="M7" s="87">
        <f>SUM(M3:M6)</f>
        <v>38331</v>
      </c>
      <c r="N7" s="87">
        <f>SUM(N3:N6)</f>
        <v>38301</v>
      </c>
      <c r="O7" s="257"/>
    </row>
    <row r="8" spans="1:16" ht="15.75" thickBot="1" x14ac:dyDescent="0.3">
      <c r="A8" s="160" t="s">
        <v>24</v>
      </c>
      <c r="B8" s="156">
        <v>266</v>
      </c>
      <c r="C8" s="156">
        <v>70</v>
      </c>
      <c r="D8" s="156">
        <v>51</v>
      </c>
      <c r="E8" s="156">
        <v>27</v>
      </c>
      <c r="F8" s="156">
        <v>163</v>
      </c>
      <c r="G8" s="156">
        <v>31</v>
      </c>
      <c r="H8" s="156">
        <v>14</v>
      </c>
      <c r="I8" s="156">
        <v>0</v>
      </c>
      <c r="J8" s="157">
        <v>0</v>
      </c>
      <c r="K8" s="157"/>
      <c r="L8" s="258">
        <v>9459</v>
      </c>
      <c r="M8" s="258">
        <v>9838</v>
      </c>
      <c r="N8" s="258">
        <v>9821</v>
      </c>
      <c r="O8" s="257">
        <v>4</v>
      </c>
    </row>
    <row r="9" spans="1:16" ht="15.75" thickBot="1" x14ac:dyDescent="0.3">
      <c r="A9" s="161" t="s">
        <v>25</v>
      </c>
      <c r="B9" s="156">
        <v>497</v>
      </c>
      <c r="C9" s="253">
        <v>121</v>
      </c>
      <c r="D9" s="156">
        <v>48</v>
      </c>
      <c r="E9" s="156">
        <v>28</v>
      </c>
      <c r="F9" s="156">
        <v>294</v>
      </c>
      <c r="G9" s="156">
        <v>23</v>
      </c>
      <c r="H9" s="156">
        <v>15</v>
      </c>
      <c r="I9" s="156">
        <v>9</v>
      </c>
      <c r="J9" s="157">
        <v>0</v>
      </c>
      <c r="K9" s="157"/>
      <c r="L9" s="258">
        <v>7955</v>
      </c>
      <c r="M9" s="258">
        <v>8560</v>
      </c>
      <c r="N9" s="258">
        <v>8547</v>
      </c>
      <c r="O9" s="257">
        <v>100</v>
      </c>
    </row>
    <row r="10" spans="1:16" ht="15.75" thickBot="1" x14ac:dyDescent="0.3">
      <c r="A10" s="161" t="s">
        <v>26</v>
      </c>
      <c r="B10" s="156">
        <v>3069</v>
      </c>
      <c r="C10" s="156">
        <v>92</v>
      </c>
      <c r="D10" s="156">
        <v>69</v>
      </c>
      <c r="E10" s="156">
        <v>45</v>
      </c>
      <c r="F10" s="156">
        <v>2895</v>
      </c>
      <c r="G10" s="156">
        <v>55</v>
      </c>
      <c r="H10" s="156">
        <v>12</v>
      </c>
      <c r="I10" s="156">
        <v>0</v>
      </c>
      <c r="J10" s="157">
        <v>0</v>
      </c>
      <c r="K10" s="157"/>
      <c r="L10" s="258">
        <v>9796</v>
      </c>
      <c r="M10" s="258">
        <v>12981</v>
      </c>
      <c r="N10" s="258">
        <v>13002</v>
      </c>
      <c r="O10" s="257">
        <v>23</v>
      </c>
    </row>
    <row r="11" spans="1:16" ht="15.75" thickBot="1" x14ac:dyDescent="0.3">
      <c r="A11" s="161" t="s">
        <v>20572</v>
      </c>
      <c r="B11" s="162"/>
      <c r="C11" s="163"/>
      <c r="D11" s="163"/>
      <c r="E11" s="163"/>
      <c r="F11" s="163"/>
      <c r="G11" s="163"/>
      <c r="H11" s="163"/>
      <c r="I11" s="164"/>
      <c r="J11" s="157">
        <v>0</v>
      </c>
      <c r="K11" s="157"/>
      <c r="L11" s="258"/>
      <c r="M11" s="258"/>
      <c r="N11" s="258"/>
      <c r="O11" s="257">
        <v>-1</v>
      </c>
    </row>
    <row r="12" spans="1:16" ht="15.75" thickBot="1" x14ac:dyDescent="0.3">
      <c r="A12" s="161" t="s">
        <v>20573</v>
      </c>
      <c r="B12" s="165"/>
      <c r="C12" s="166"/>
      <c r="D12" s="166"/>
      <c r="E12" s="166"/>
      <c r="F12" s="166"/>
      <c r="G12" s="166"/>
      <c r="H12" s="166"/>
      <c r="I12" s="167"/>
      <c r="J12" s="157">
        <v>0</v>
      </c>
      <c r="K12" s="157"/>
      <c r="L12" s="258"/>
      <c r="M12" s="258"/>
      <c r="N12" s="258"/>
      <c r="O12" s="257">
        <v>-1</v>
      </c>
    </row>
    <row r="13" spans="1:16" ht="15.75" thickBot="1" x14ac:dyDescent="0.3">
      <c r="A13" s="161" t="s">
        <v>20574</v>
      </c>
      <c r="B13" s="165"/>
      <c r="C13" s="166"/>
      <c r="D13" s="166"/>
      <c r="E13" s="166"/>
      <c r="F13" s="166"/>
      <c r="G13" s="166"/>
      <c r="H13" s="166"/>
      <c r="I13" s="167"/>
      <c r="J13" s="157">
        <v>0</v>
      </c>
      <c r="K13" s="157"/>
      <c r="L13" s="258"/>
      <c r="M13" s="258"/>
      <c r="N13" s="258"/>
      <c r="O13" s="257">
        <v>-1</v>
      </c>
    </row>
    <row r="14" spans="1:16" ht="15.75" thickBot="1" x14ac:dyDescent="0.3">
      <c r="A14" s="86" t="s">
        <v>45</v>
      </c>
      <c r="B14" s="87">
        <f t="shared" ref="B14:J14" si="1">SUM(B8:B13)</f>
        <v>3832</v>
      </c>
      <c r="C14" s="87">
        <f t="shared" si="1"/>
        <v>283</v>
      </c>
      <c r="D14" s="87">
        <f t="shared" si="1"/>
        <v>168</v>
      </c>
      <c r="E14" s="87">
        <f t="shared" si="1"/>
        <v>100</v>
      </c>
      <c r="F14" s="87">
        <f t="shared" si="1"/>
        <v>3352</v>
      </c>
      <c r="G14" s="87">
        <f t="shared" si="1"/>
        <v>109</v>
      </c>
      <c r="H14" s="87">
        <f t="shared" si="1"/>
        <v>41</v>
      </c>
      <c r="I14" s="87">
        <f t="shared" si="1"/>
        <v>9</v>
      </c>
      <c r="J14" s="87">
        <f t="shared" si="1"/>
        <v>0</v>
      </c>
      <c r="K14" s="87">
        <v>0</v>
      </c>
      <c r="L14" s="87">
        <f>SUM(L8:L13)</f>
        <v>27210</v>
      </c>
      <c r="M14" s="87">
        <f>SUM(M8:M13)</f>
        <v>31379</v>
      </c>
      <c r="N14" s="87">
        <f>SUM(N8:N13)</f>
        <v>31370</v>
      </c>
      <c r="O14" s="256"/>
    </row>
    <row r="15" spans="1:16" ht="15.75" thickBot="1" x14ac:dyDescent="0.3">
      <c r="A15" s="34"/>
      <c r="B15" s="155" t="s">
        <v>46</v>
      </c>
      <c r="C15" s="87" t="s">
        <v>20589</v>
      </c>
      <c r="D15" s="87" t="s">
        <v>20590</v>
      </c>
      <c r="E15" s="87" t="s">
        <v>20591</v>
      </c>
      <c r="F15" s="87" t="s">
        <v>20592</v>
      </c>
      <c r="G15" s="87" t="s">
        <v>56</v>
      </c>
      <c r="H15" s="87" t="s">
        <v>20593</v>
      </c>
      <c r="I15" s="87" t="s">
        <v>20650</v>
      </c>
      <c r="J15" s="87"/>
      <c r="K15" s="87"/>
      <c r="L15" s="87" t="s">
        <v>20598</v>
      </c>
      <c r="M15" s="102" t="s">
        <v>57</v>
      </c>
      <c r="N15" s="87" t="s">
        <v>20651</v>
      </c>
    </row>
    <row r="16" spans="1:16" ht="15.75" thickBot="1" x14ac:dyDescent="0.3">
      <c r="A16" s="160" t="s">
        <v>20584</v>
      </c>
      <c r="B16" s="156">
        <v>2373</v>
      </c>
      <c r="C16" s="156">
        <v>11</v>
      </c>
      <c r="D16" s="156">
        <v>36</v>
      </c>
      <c r="E16" s="156">
        <v>46</v>
      </c>
      <c r="F16" s="156">
        <v>1325</v>
      </c>
      <c r="G16" s="156">
        <v>679</v>
      </c>
      <c r="H16" s="156">
        <v>164</v>
      </c>
      <c r="I16" s="156">
        <v>61</v>
      </c>
      <c r="J16" s="157">
        <v>0</v>
      </c>
      <c r="K16" s="157"/>
      <c r="L16" s="258">
        <v>11411</v>
      </c>
      <c r="M16" s="258">
        <v>14006</v>
      </c>
      <c r="N16" s="258">
        <v>14040</v>
      </c>
    </row>
    <row r="17" spans="1:16" ht="15.75" thickBot="1" x14ac:dyDescent="0.3">
      <c r="A17" s="161" t="s">
        <v>20585</v>
      </c>
      <c r="B17" s="156">
        <v>2899</v>
      </c>
      <c r="C17" s="156">
        <v>41</v>
      </c>
      <c r="D17" s="156">
        <v>61</v>
      </c>
      <c r="E17" s="156">
        <v>167</v>
      </c>
      <c r="F17" s="156">
        <v>1559</v>
      </c>
      <c r="G17" s="156">
        <v>388</v>
      </c>
      <c r="H17" s="156">
        <v>553</v>
      </c>
      <c r="I17" s="156">
        <v>97</v>
      </c>
      <c r="J17" s="157">
        <v>0</v>
      </c>
      <c r="K17" s="157"/>
      <c r="L17" s="258">
        <v>19063</v>
      </c>
      <c r="M17" s="258">
        <v>22170</v>
      </c>
      <c r="N17" s="258">
        <v>22238</v>
      </c>
    </row>
    <row r="18" spans="1:16" ht="15.75" thickBot="1" x14ac:dyDescent="0.3">
      <c r="A18" s="86"/>
      <c r="B18" s="87">
        <v>0</v>
      </c>
      <c r="C18" s="87">
        <v>0</v>
      </c>
      <c r="D18" s="87">
        <v>0</v>
      </c>
      <c r="E18" s="87">
        <v>0</v>
      </c>
      <c r="F18" s="87">
        <v>0</v>
      </c>
      <c r="G18" s="87">
        <v>0</v>
      </c>
      <c r="H18" s="87">
        <v>0</v>
      </c>
      <c r="I18" s="87">
        <v>0</v>
      </c>
      <c r="J18" s="87">
        <v>0</v>
      </c>
      <c r="K18" s="87">
        <f t="shared" ref="K18" si="2">SUM(K16:K17)</f>
        <v>0</v>
      </c>
      <c r="L18" s="87">
        <v>0</v>
      </c>
      <c r="M18" s="87">
        <v>0</v>
      </c>
      <c r="N18" s="87">
        <v>0</v>
      </c>
    </row>
    <row r="19" spans="1:16" ht="15.75" thickBot="1" x14ac:dyDescent="0.3">
      <c r="A19" s="86" t="s">
        <v>45</v>
      </c>
      <c r="B19" s="259" t="s">
        <v>20594</v>
      </c>
      <c r="C19" s="102" t="s">
        <v>47</v>
      </c>
      <c r="D19" s="260" t="s">
        <v>20646</v>
      </c>
      <c r="E19" s="261" t="s">
        <v>20647</v>
      </c>
      <c r="F19" s="262" t="s">
        <v>20648</v>
      </c>
      <c r="G19" s="87" t="s">
        <v>20649</v>
      </c>
      <c r="H19" s="260"/>
      <c r="I19" s="263"/>
      <c r="J19" s="87"/>
      <c r="K19" s="101"/>
      <c r="L19" s="87" t="s">
        <v>20595</v>
      </c>
      <c r="M19" s="103" t="s">
        <v>57</v>
      </c>
      <c r="N19" s="87"/>
    </row>
    <row r="20" spans="1:16" ht="15.75" thickBot="1" x14ac:dyDescent="0.3">
      <c r="A20" s="160" t="s">
        <v>20639</v>
      </c>
      <c r="B20" s="380">
        <v>10721</v>
      </c>
      <c r="C20" s="380">
        <v>3749</v>
      </c>
      <c r="D20" s="380">
        <v>2553</v>
      </c>
      <c r="E20" s="380">
        <v>14477</v>
      </c>
      <c r="F20" s="380">
        <v>1875</v>
      </c>
      <c r="G20" s="380">
        <v>3317</v>
      </c>
      <c r="H20" s="264"/>
      <c r="I20" s="264"/>
      <c r="J20" s="157"/>
      <c r="K20" s="169"/>
      <c r="L20" s="381">
        <v>28955</v>
      </c>
      <c r="M20" s="381">
        <v>32665</v>
      </c>
      <c r="N20" s="168"/>
    </row>
    <row r="21" spans="1:16" ht="15.75" thickBot="1" x14ac:dyDescent="0.3">
      <c r="A21" s="86" t="s">
        <v>45</v>
      </c>
      <c r="B21" s="170"/>
      <c r="C21" s="177"/>
      <c r="D21" s="177"/>
      <c r="E21" s="177"/>
      <c r="F21" s="177"/>
      <c r="G21" s="177"/>
      <c r="H21" s="177"/>
      <c r="I21" s="177"/>
      <c r="J21" s="177">
        <f>J7+J14+J18+J20</f>
        <v>2227</v>
      </c>
      <c r="K21" s="177">
        <f>K7+K14+K18+K20</f>
        <v>0</v>
      </c>
      <c r="L21" s="170"/>
      <c r="M21" s="170"/>
      <c r="N21" s="170"/>
    </row>
    <row r="22" spans="1:16" ht="30" customHeight="1" thickBot="1" x14ac:dyDescent="0.3">
      <c r="A22" s="171"/>
      <c r="B22" s="505" t="s">
        <v>20618</v>
      </c>
      <c r="C22" s="505"/>
      <c r="D22" s="176"/>
      <c r="E22" s="506"/>
      <c r="F22" s="506"/>
      <c r="G22" s="176"/>
      <c r="H22" s="176"/>
      <c r="I22" s="176"/>
      <c r="J22" s="176"/>
      <c r="K22" s="176"/>
      <c r="L22" s="176"/>
      <c r="M22" s="170" t="s">
        <v>8</v>
      </c>
      <c r="N22" s="115">
        <f>N14+L20</f>
        <v>60325</v>
      </c>
      <c r="O22" s="85"/>
    </row>
    <row r="23" spans="1:16" ht="28.5" customHeight="1" thickBot="1" x14ac:dyDescent="0.3">
      <c r="A23" s="171"/>
      <c r="B23" s="178"/>
      <c r="C23" s="176"/>
      <c r="D23" s="176"/>
      <c r="E23" s="507"/>
      <c r="F23" s="507"/>
      <c r="G23" s="176"/>
      <c r="H23" s="176"/>
      <c r="I23" s="176"/>
      <c r="J23" s="176"/>
      <c r="K23" s="176"/>
      <c r="L23" s="176"/>
      <c r="M23" s="176"/>
      <c r="N23" s="176"/>
      <c r="O23" s="85"/>
    </row>
    <row r="24" spans="1:16" ht="30.75" thickBot="1" x14ac:dyDescent="0.3">
      <c r="A24" s="34"/>
      <c r="B24" s="35" t="s">
        <v>20619</v>
      </c>
      <c r="C24" s="35" t="s">
        <v>20617</v>
      </c>
      <c r="D24" s="35" t="s">
        <v>20620</v>
      </c>
      <c r="E24" s="35" t="s">
        <v>20621</v>
      </c>
      <c r="F24" s="35" t="s">
        <v>20622</v>
      </c>
      <c r="G24" s="35" t="s">
        <v>20623</v>
      </c>
      <c r="H24" s="35" t="s">
        <v>20624</v>
      </c>
      <c r="I24" s="35" t="s">
        <v>20625</v>
      </c>
      <c r="J24" s="34" t="s">
        <v>76</v>
      </c>
      <c r="K24" s="34" t="s">
        <v>81</v>
      </c>
      <c r="L24" s="34" t="s">
        <v>78</v>
      </c>
      <c r="M24" s="34" t="s">
        <v>79</v>
      </c>
      <c r="N24" s="34" t="s">
        <v>20587</v>
      </c>
      <c r="O24" s="34" t="s">
        <v>20588</v>
      </c>
      <c r="P24" s="502" t="s">
        <v>59</v>
      </c>
    </row>
    <row r="25" spans="1:16" x14ac:dyDescent="0.25">
      <c r="A25" s="89" t="s">
        <v>12</v>
      </c>
      <c r="B25" s="90">
        <f t="shared" ref="B25:J28" si="3">IF($N3="","",IF($N3&lt;&gt;0,B3/$N3,0))</f>
        <v>6.0820503012336234E-2</v>
      </c>
      <c r="C25" s="90">
        <f t="shared" si="3"/>
        <v>2.6871951802620253E-2</v>
      </c>
      <c r="D25" s="90">
        <f t="shared" si="3"/>
        <v>1.0136750502056039E-2</v>
      </c>
      <c r="E25" s="90">
        <f t="shared" si="3"/>
        <v>6.4071913550731571E-3</v>
      </c>
      <c r="F25" s="90">
        <f t="shared" si="3"/>
        <v>0</v>
      </c>
      <c r="G25" s="90">
        <f t="shared" si="3"/>
        <v>7.5547480156832741E-3</v>
      </c>
      <c r="H25" s="90">
        <f t="shared" si="3"/>
        <v>1.434445825762647E-3</v>
      </c>
      <c r="I25" s="90">
        <f t="shared" si="3"/>
        <v>1.912594434350196E-4</v>
      </c>
      <c r="J25" s="90">
        <f t="shared" si="3"/>
        <v>4.2650855886009371E-2</v>
      </c>
      <c r="K25" s="91" t="s">
        <v>73</v>
      </c>
      <c r="L25" s="90">
        <f t="shared" ref="L25:M28" si="4">IF($N3="","",IF($N3&lt;&gt;0,L3/$N3,0))</f>
        <v>0.90790857798603808</v>
      </c>
      <c r="M25" s="90">
        <f t="shared" si="4"/>
        <v>0.99961748111312998</v>
      </c>
      <c r="N25" s="90">
        <f t="shared" ref="N25:N36" si="5">IF($N3="","",IF($N3&lt;&gt;0,(N3-B3)/$N3,0))</f>
        <v>0.93917949698766379</v>
      </c>
      <c r="O25" s="90">
        <f t="shared" ref="O25:O36" si="6">IF(N3="","",IF(N3&lt;&gt;0,(N3-SUM(D3,E3,G3,H3,I3))/N3,0))</f>
        <v>0.97427560485798992</v>
      </c>
      <c r="P25" s="503"/>
    </row>
    <row r="26" spans="1:16" x14ac:dyDescent="0.25">
      <c r="A26" s="92" t="s">
        <v>13</v>
      </c>
      <c r="B26" s="90">
        <f t="shared" si="3"/>
        <v>7.3517241379310344E-2</v>
      </c>
      <c r="C26" s="90">
        <f t="shared" si="3"/>
        <v>1.8482758620689654E-2</v>
      </c>
      <c r="D26" s="90">
        <f t="shared" si="3"/>
        <v>7.8620689655172406E-3</v>
      </c>
      <c r="E26" s="90">
        <f t="shared" si="3"/>
        <v>3.7931034482758621E-3</v>
      </c>
      <c r="F26" s="90">
        <f t="shared" si="3"/>
        <v>0</v>
      </c>
      <c r="G26" s="90">
        <f t="shared" si="3"/>
        <v>9.7241379310344829E-3</v>
      </c>
      <c r="H26" s="90">
        <f t="shared" si="3"/>
        <v>1.0344827586206897E-3</v>
      </c>
      <c r="I26" s="90">
        <f t="shared" si="3"/>
        <v>6.8965517241379305E-4</v>
      </c>
      <c r="J26" s="90">
        <f t="shared" si="3"/>
        <v>5.3655172413793105E-2</v>
      </c>
      <c r="K26" s="91" t="s">
        <v>73</v>
      </c>
      <c r="L26" s="90">
        <f t="shared" si="4"/>
        <v>0.90441379310344827</v>
      </c>
      <c r="M26" s="90">
        <f t="shared" si="4"/>
        <v>0.99813793103448278</v>
      </c>
      <c r="N26" s="90">
        <f t="shared" si="5"/>
        <v>0.92648275862068963</v>
      </c>
      <c r="O26" s="90">
        <f t="shared" si="6"/>
        <v>0.97689655172413792</v>
      </c>
      <c r="P26" s="503"/>
    </row>
    <row r="27" spans="1:16" x14ac:dyDescent="0.25">
      <c r="A27" s="92" t="s">
        <v>14</v>
      </c>
      <c r="B27" s="90">
        <f t="shared" si="3"/>
        <v>4.1661453772050543E-2</v>
      </c>
      <c r="C27" s="90">
        <f t="shared" si="3"/>
        <v>1.7014888027023646E-2</v>
      </c>
      <c r="D27" s="90">
        <f t="shared" si="3"/>
        <v>9.007881896659577E-3</v>
      </c>
      <c r="E27" s="90">
        <f t="shared" si="3"/>
        <v>3.1277367696734642E-3</v>
      </c>
      <c r="F27" s="90">
        <f t="shared" si="3"/>
        <v>0</v>
      </c>
      <c r="G27" s="90">
        <f t="shared" si="3"/>
        <v>1.0759414487676717E-2</v>
      </c>
      <c r="H27" s="90">
        <f t="shared" si="3"/>
        <v>2.8775178280995872E-3</v>
      </c>
      <c r="I27" s="90">
        <f t="shared" si="3"/>
        <v>2.5021894157387716E-4</v>
      </c>
      <c r="J27" s="90">
        <f t="shared" si="3"/>
        <v>1.851620167646691E-2</v>
      </c>
      <c r="K27" s="91" t="s">
        <v>73</v>
      </c>
      <c r="L27" s="90">
        <f t="shared" si="4"/>
        <v>0.93356687101213565</v>
      </c>
      <c r="M27" s="90">
        <f t="shared" si="4"/>
        <v>0.99737270111347431</v>
      </c>
      <c r="N27" s="90">
        <f t="shared" si="5"/>
        <v>0.95833854622794945</v>
      </c>
      <c r="O27" s="90">
        <f t="shared" si="6"/>
        <v>0.97397723007631676</v>
      </c>
      <c r="P27" s="503"/>
    </row>
    <row r="28" spans="1:16" ht="15.75" thickBot="1" x14ac:dyDescent="0.3">
      <c r="A28" s="92" t="s">
        <v>20616</v>
      </c>
      <c r="B28" s="90">
        <f t="shared" si="3"/>
        <v>0.21453933844141282</v>
      </c>
      <c r="C28" s="90">
        <f t="shared" si="3"/>
        <v>4.0179405718557278E-2</v>
      </c>
      <c r="D28" s="90">
        <f t="shared" si="3"/>
        <v>1.6445524201083909E-2</v>
      </c>
      <c r="E28" s="90">
        <f t="shared" si="3"/>
        <v>1.3829190805456923E-2</v>
      </c>
      <c r="F28" s="90">
        <f t="shared" si="3"/>
        <v>3.7376191366099795E-4</v>
      </c>
      <c r="G28" s="90">
        <f t="shared" si="3"/>
        <v>2.0183143337693887E-2</v>
      </c>
      <c r="H28" s="90">
        <f t="shared" si="3"/>
        <v>2.6163333956269858E-3</v>
      </c>
      <c r="I28" s="90">
        <f t="shared" si="3"/>
        <v>3.7376191366099795E-4</v>
      </c>
      <c r="J28" s="90">
        <f t="shared" si="3"/>
        <v>0.15978321809007662</v>
      </c>
      <c r="K28" s="91" t="s">
        <v>73</v>
      </c>
      <c r="L28" s="90">
        <f t="shared" si="4"/>
        <v>0.74658942253784344</v>
      </c>
      <c r="M28" s="90">
        <f t="shared" si="4"/>
        <v>1.0153242384601009</v>
      </c>
      <c r="N28" s="90">
        <f t="shared" si="5"/>
        <v>0.78546066155858718</v>
      </c>
      <c r="O28" s="90">
        <f t="shared" si="6"/>
        <v>0.94655204634647727</v>
      </c>
      <c r="P28" s="503"/>
    </row>
    <row r="29" spans="1:16" ht="15.75" thickBot="1" x14ac:dyDescent="0.3">
      <c r="A29" s="93" t="s">
        <v>45</v>
      </c>
      <c r="B29" s="94">
        <f t="shared" ref="B29:J29" si="7">IF($N7 &lt;&gt; 0, B7/$N7, 0)</f>
        <v>8.3104879768152271E-2</v>
      </c>
      <c r="C29" s="94">
        <f t="shared" si="7"/>
        <v>2.3498080990052479E-2</v>
      </c>
      <c r="D29" s="94">
        <f t="shared" si="7"/>
        <v>9.921411973577713E-3</v>
      </c>
      <c r="E29" s="94">
        <f t="shared" si="7"/>
        <v>5.770084332001775E-3</v>
      </c>
      <c r="F29" s="94">
        <f t="shared" si="7"/>
        <v>5.2217957755672173E-5</v>
      </c>
      <c r="G29" s="94">
        <f t="shared" si="7"/>
        <v>1.080911725542414E-2</v>
      </c>
      <c r="H29" s="94">
        <f t="shared" si="7"/>
        <v>1.7493015848150178E-3</v>
      </c>
      <c r="I29" s="94">
        <f t="shared" si="7"/>
        <v>4.1774366204537738E-4</v>
      </c>
      <c r="J29" s="94">
        <f t="shared" si="7"/>
        <v>5.8144695960940969E-2</v>
      </c>
      <c r="K29" s="95" t="s">
        <v>73</v>
      </c>
      <c r="L29" s="94">
        <f>IF($N7 &lt;&gt; 0, L7/$N7, 0)</f>
        <v>0.88940236547348628</v>
      </c>
      <c r="M29" s="94">
        <f>IF($N7 &lt;&gt; 0, M7/$N7, 0)</f>
        <v>1.000783269366335</v>
      </c>
      <c r="N29" s="94">
        <f t="shared" si="5"/>
        <v>0.91689512023184772</v>
      </c>
      <c r="O29" s="94">
        <f t="shared" si="6"/>
        <v>0.97133234119213596</v>
      </c>
      <c r="P29" s="503"/>
    </row>
    <row r="30" spans="1:16" x14ac:dyDescent="0.25">
      <c r="A30" s="89" t="s">
        <v>24</v>
      </c>
      <c r="B30" s="90">
        <f t="shared" ref="B30:I35" si="8">IF($N8="","",IF($N8&lt;&gt;0,B8/$N8,0))</f>
        <v>2.7084818246614399E-2</v>
      </c>
      <c r="C30" s="90">
        <f t="shared" si="8"/>
        <v>7.1275837491090524E-3</v>
      </c>
      <c r="D30" s="90">
        <f t="shared" si="8"/>
        <v>5.1929538743508809E-3</v>
      </c>
      <c r="E30" s="90">
        <f t="shared" si="8"/>
        <v>2.7492108746563488E-3</v>
      </c>
      <c r="F30" s="90">
        <f t="shared" si="8"/>
        <v>1.6597087872925364E-2</v>
      </c>
      <c r="G30" s="90">
        <f t="shared" si="8"/>
        <v>3.1565013746054373E-3</v>
      </c>
      <c r="H30" s="90">
        <f t="shared" si="8"/>
        <v>1.4255167498218105E-3</v>
      </c>
      <c r="I30" s="90">
        <f t="shared" si="8"/>
        <v>0</v>
      </c>
      <c r="J30" s="91" t="s">
        <v>73</v>
      </c>
      <c r="K30" s="91" t="s">
        <v>73</v>
      </c>
      <c r="L30" s="90">
        <f t="shared" ref="L30:M35" si="9">IF($N8="","",IF($N8&lt;&gt;0,L8/$N8,0))</f>
        <v>0.96314020975460746</v>
      </c>
      <c r="M30" s="90">
        <f t="shared" si="9"/>
        <v>1.0017309846247837</v>
      </c>
      <c r="N30" s="90">
        <f t="shared" si="5"/>
        <v>0.97291518175338565</v>
      </c>
      <c r="O30" s="90">
        <f t="shared" si="6"/>
        <v>0.98747581712656551</v>
      </c>
      <c r="P30" s="503"/>
    </row>
    <row r="31" spans="1:16" x14ac:dyDescent="0.25">
      <c r="A31" s="92" t="s">
        <v>25</v>
      </c>
      <c r="B31" s="90">
        <f t="shared" si="8"/>
        <v>5.8149058149058151E-2</v>
      </c>
      <c r="C31" s="90">
        <f t="shared" si="8"/>
        <v>1.4157014157014158E-2</v>
      </c>
      <c r="D31" s="90">
        <f t="shared" si="8"/>
        <v>5.6160056160056157E-3</v>
      </c>
      <c r="E31" s="90">
        <f t="shared" si="8"/>
        <v>3.2760032760032762E-3</v>
      </c>
      <c r="F31" s="90">
        <f t="shared" si="8"/>
        <v>3.4398034398034398E-2</v>
      </c>
      <c r="G31" s="90">
        <f t="shared" si="8"/>
        <v>2.6910026910026909E-3</v>
      </c>
      <c r="H31" s="90">
        <f t="shared" si="8"/>
        <v>1.7550017550017551E-3</v>
      </c>
      <c r="I31" s="90">
        <f t="shared" si="8"/>
        <v>1.053001053001053E-3</v>
      </c>
      <c r="J31" s="91" t="s">
        <v>73</v>
      </c>
      <c r="K31" s="91" t="s">
        <v>73</v>
      </c>
      <c r="L31" s="90">
        <f t="shared" si="9"/>
        <v>0.93073593073593075</v>
      </c>
      <c r="M31" s="90">
        <f t="shared" si="9"/>
        <v>1.0015210015210014</v>
      </c>
      <c r="N31" s="90">
        <f t="shared" si="5"/>
        <v>0.94185094185094187</v>
      </c>
      <c r="O31" s="90">
        <f t="shared" si="6"/>
        <v>0.98560898560898558</v>
      </c>
      <c r="P31" s="503"/>
    </row>
    <row r="32" spans="1:16" x14ac:dyDescent="0.25">
      <c r="A32" s="92" t="s">
        <v>26</v>
      </c>
      <c r="B32" s="90">
        <f t="shared" si="8"/>
        <v>0.23604060913705585</v>
      </c>
      <c r="C32" s="90">
        <f t="shared" si="8"/>
        <v>7.075834487002E-3</v>
      </c>
      <c r="D32" s="90">
        <f t="shared" si="8"/>
        <v>5.3068758652514997E-3</v>
      </c>
      <c r="E32" s="90">
        <f t="shared" si="8"/>
        <v>3.4610059990770651E-3</v>
      </c>
      <c r="F32" s="90">
        <f t="shared" si="8"/>
        <v>0.22265805260729118</v>
      </c>
      <c r="G32" s="90">
        <f t="shared" si="8"/>
        <v>4.2301184433164128E-3</v>
      </c>
      <c r="H32" s="90">
        <f t="shared" si="8"/>
        <v>9.2293493308721734E-4</v>
      </c>
      <c r="I32" s="90">
        <f t="shared" si="8"/>
        <v>0</v>
      </c>
      <c r="J32" s="91" t="s">
        <v>73</v>
      </c>
      <c r="K32" s="91" t="s">
        <v>73</v>
      </c>
      <c r="L32" s="90">
        <f t="shared" si="9"/>
        <v>0.75342255037686512</v>
      </c>
      <c r="M32" s="90">
        <f t="shared" si="9"/>
        <v>0.99838486386709735</v>
      </c>
      <c r="N32" s="90">
        <f t="shared" si="5"/>
        <v>0.76395939086294418</v>
      </c>
      <c r="O32" s="90">
        <f t="shared" si="6"/>
        <v>0.98607906475926776</v>
      </c>
      <c r="P32" s="503"/>
    </row>
    <row r="33" spans="1:16" x14ac:dyDescent="0.25">
      <c r="A33" s="92" t="s">
        <v>20572</v>
      </c>
      <c r="B33" s="90" t="str">
        <f t="shared" si="8"/>
        <v/>
      </c>
      <c r="C33" s="90" t="str">
        <f t="shared" si="8"/>
        <v/>
      </c>
      <c r="D33" s="90" t="str">
        <f t="shared" si="8"/>
        <v/>
      </c>
      <c r="E33" s="90" t="str">
        <f t="shared" si="8"/>
        <v/>
      </c>
      <c r="F33" s="90" t="str">
        <f t="shared" si="8"/>
        <v/>
      </c>
      <c r="G33" s="90" t="str">
        <f t="shared" si="8"/>
        <v/>
      </c>
      <c r="H33" s="90" t="str">
        <f t="shared" si="8"/>
        <v/>
      </c>
      <c r="I33" s="90" t="str">
        <f t="shared" si="8"/>
        <v/>
      </c>
      <c r="J33" s="91" t="s">
        <v>73</v>
      </c>
      <c r="K33" s="91" t="s">
        <v>73</v>
      </c>
      <c r="L33" s="90" t="str">
        <f t="shared" si="9"/>
        <v/>
      </c>
      <c r="M33" s="90" t="str">
        <f t="shared" si="9"/>
        <v/>
      </c>
      <c r="N33" s="90" t="str">
        <f t="shared" si="5"/>
        <v/>
      </c>
      <c r="O33" s="90" t="str">
        <f t="shared" si="6"/>
        <v/>
      </c>
      <c r="P33" s="503"/>
    </row>
    <row r="34" spans="1:16" x14ac:dyDescent="0.25">
      <c r="A34" s="92" t="s">
        <v>20573</v>
      </c>
      <c r="B34" s="90" t="str">
        <f t="shared" si="8"/>
        <v/>
      </c>
      <c r="C34" s="90" t="str">
        <f t="shared" si="8"/>
        <v/>
      </c>
      <c r="D34" s="90" t="str">
        <f t="shared" si="8"/>
        <v/>
      </c>
      <c r="E34" s="90" t="str">
        <f t="shared" si="8"/>
        <v/>
      </c>
      <c r="F34" s="90" t="str">
        <f t="shared" si="8"/>
        <v/>
      </c>
      <c r="G34" s="90" t="str">
        <f t="shared" si="8"/>
        <v/>
      </c>
      <c r="H34" s="90" t="str">
        <f t="shared" si="8"/>
        <v/>
      </c>
      <c r="I34" s="90" t="str">
        <f t="shared" si="8"/>
        <v/>
      </c>
      <c r="J34" s="91" t="s">
        <v>73</v>
      </c>
      <c r="K34" s="91" t="s">
        <v>73</v>
      </c>
      <c r="L34" s="90" t="str">
        <f t="shared" si="9"/>
        <v/>
      </c>
      <c r="M34" s="90" t="str">
        <f t="shared" si="9"/>
        <v/>
      </c>
      <c r="N34" s="90" t="str">
        <f t="shared" si="5"/>
        <v/>
      </c>
      <c r="O34" s="90" t="str">
        <f t="shared" si="6"/>
        <v/>
      </c>
      <c r="P34" s="503"/>
    </row>
    <row r="35" spans="1:16" s="3" customFormat="1" ht="15.75" thickBot="1" x14ac:dyDescent="0.3">
      <c r="A35" s="92" t="s">
        <v>20574</v>
      </c>
      <c r="B35" s="90" t="str">
        <f t="shared" si="8"/>
        <v/>
      </c>
      <c r="C35" s="90" t="str">
        <f t="shared" si="8"/>
        <v/>
      </c>
      <c r="D35" s="90" t="str">
        <f t="shared" si="8"/>
        <v/>
      </c>
      <c r="E35" s="90" t="str">
        <f t="shared" si="8"/>
        <v/>
      </c>
      <c r="F35" s="90" t="str">
        <f t="shared" si="8"/>
        <v/>
      </c>
      <c r="G35" s="90" t="str">
        <f t="shared" si="8"/>
        <v/>
      </c>
      <c r="H35" s="90" t="str">
        <f t="shared" si="8"/>
        <v/>
      </c>
      <c r="I35" s="90" t="str">
        <f t="shared" si="8"/>
        <v/>
      </c>
      <c r="J35" s="91" t="s">
        <v>73</v>
      </c>
      <c r="K35" s="91" t="s">
        <v>73</v>
      </c>
      <c r="L35" s="90" t="str">
        <f t="shared" si="9"/>
        <v/>
      </c>
      <c r="M35" s="90" t="str">
        <f t="shared" si="9"/>
        <v/>
      </c>
      <c r="N35" s="90" t="str">
        <f t="shared" si="5"/>
        <v/>
      </c>
      <c r="O35" s="90" t="str">
        <f t="shared" si="6"/>
        <v/>
      </c>
      <c r="P35" s="503"/>
    </row>
    <row r="36" spans="1:16" ht="15.75" thickBot="1" x14ac:dyDescent="0.3">
      <c r="A36" s="93" t="s">
        <v>45</v>
      </c>
      <c r="B36" s="94">
        <f t="shared" ref="B36:I36" si="10">IF($N14 &lt;&gt; 0, B14/$N14, 0)</f>
        <v>0.12215492508766337</v>
      </c>
      <c r="C36" s="94">
        <f t="shared" si="10"/>
        <v>9.021357985336308E-3</v>
      </c>
      <c r="D36" s="94">
        <f t="shared" si="10"/>
        <v>5.3554351291042399E-3</v>
      </c>
      <c r="E36" s="94">
        <f t="shared" si="10"/>
        <v>3.1877590054191903E-3</v>
      </c>
      <c r="F36" s="94">
        <f t="shared" si="10"/>
        <v>0.10685368186165126</v>
      </c>
      <c r="G36" s="94">
        <f t="shared" si="10"/>
        <v>3.4746573159069173E-3</v>
      </c>
      <c r="H36" s="94">
        <f t="shared" si="10"/>
        <v>1.306981192221868E-3</v>
      </c>
      <c r="I36" s="94">
        <f t="shared" si="10"/>
        <v>2.8689831048772711E-4</v>
      </c>
      <c r="J36" s="95" t="s">
        <v>73</v>
      </c>
      <c r="K36" s="95" t="s">
        <v>73</v>
      </c>
      <c r="L36" s="94">
        <f>IF($N14 &lt;&gt; 0, L14/$N14, 0)</f>
        <v>0.86738922537456165</v>
      </c>
      <c r="M36" s="94">
        <f>IF($N14 &lt;&gt; 0, M14/$N14, 0)</f>
        <v>1.0002868983104878</v>
      </c>
      <c r="N36" s="94">
        <f t="shared" si="5"/>
        <v>0.87784507491233665</v>
      </c>
      <c r="O36" s="94">
        <f t="shared" si="6"/>
        <v>0.98638826904686006</v>
      </c>
      <c r="P36" s="503"/>
    </row>
    <row r="37" spans="1:16" ht="30.75" thickBot="1" x14ac:dyDescent="0.3">
      <c r="A37" s="96"/>
      <c r="B37" s="87" t="s">
        <v>46</v>
      </c>
      <c r="C37" s="87" t="s">
        <v>20589</v>
      </c>
      <c r="D37" s="87" t="s">
        <v>20590</v>
      </c>
      <c r="E37" s="87" t="s">
        <v>20591</v>
      </c>
      <c r="F37" s="87" t="s">
        <v>20592</v>
      </c>
      <c r="G37" s="87" t="s">
        <v>56</v>
      </c>
      <c r="H37" s="87" t="s">
        <v>20593</v>
      </c>
      <c r="I37" s="87" t="s">
        <v>60</v>
      </c>
      <c r="J37" s="34" t="s">
        <v>76</v>
      </c>
      <c r="K37" s="34" t="s">
        <v>81</v>
      </c>
      <c r="L37" s="34" t="s">
        <v>78</v>
      </c>
      <c r="M37" s="34" t="s">
        <v>79</v>
      </c>
      <c r="N37" s="34" t="s">
        <v>20587</v>
      </c>
      <c r="O37" s="97"/>
      <c r="P37" s="503"/>
    </row>
    <row r="38" spans="1:16" x14ac:dyDescent="0.25">
      <c r="A38" s="89" t="s">
        <v>20584</v>
      </c>
      <c r="B38" s="90">
        <f t="shared" ref="B38:I40" si="11">IF($M16="","",IF($M16&lt;&gt;0,B16/$M16,0))</f>
        <v>0.16942738826217335</v>
      </c>
      <c r="C38" s="90">
        <f t="shared" si="11"/>
        <v>7.8537769527345423E-4</v>
      </c>
      <c r="D38" s="90">
        <f t="shared" si="11"/>
        <v>2.570327002713123E-3</v>
      </c>
      <c r="E38" s="90">
        <f t="shared" si="11"/>
        <v>3.2843067256889905E-3</v>
      </c>
      <c r="F38" s="90">
        <f t="shared" si="11"/>
        <v>9.4602313294302437E-2</v>
      </c>
      <c r="G38" s="90">
        <f t="shared" si="11"/>
        <v>4.8479223190061399E-2</v>
      </c>
      <c r="H38" s="90">
        <f t="shared" si="11"/>
        <v>1.1709267456804227E-2</v>
      </c>
      <c r="I38" s="90">
        <f t="shared" si="11"/>
        <v>4.3552763101527914E-3</v>
      </c>
      <c r="J38" s="91" t="s">
        <v>73</v>
      </c>
      <c r="K38" s="91" t="s">
        <v>73</v>
      </c>
      <c r="L38" s="91" t="s">
        <v>73</v>
      </c>
      <c r="M38" s="91" t="s">
        <v>73</v>
      </c>
      <c r="N38" s="91" t="s">
        <v>73</v>
      </c>
      <c r="O38" s="98"/>
      <c r="P38" s="503"/>
    </row>
    <row r="39" spans="1:16" ht="15.75" thickBot="1" x14ac:dyDescent="0.3">
      <c r="A39" s="92" t="s">
        <v>20585</v>
      </c>
      <c r="B39" s="90">
        <f t="shared" si="11"/>
        <v>0.13076229138475418</v>
      </c>
      <c r="C39" s="90">
        <f t="shared" si="11"/>
        <v>1.8493459630130808E-3</v>
      </c>
      <c r="D39" s="90">
        <f t="shared" si="11"/>
        <v>2.7514659449706809E-3</v>
      </c>
      <c r="E39" s="90">
        <f t="shared" si="11"/>
        <v>7.5327018493459626E-3</v>
      </c>
      <c r="F39" s="90">
        <f t="shared" si="11"/>
        <v>7.0320252593594951E-2</v>
      </c>
      <c r="G39" s="90">
        <f t="shared" si="11"/>
        <v>1.7501127649977449E-2</v>
      </c>
      <c r="H39" s="90">
        <f t="shared" si="11"/>
        <v>2.4943617501127651E-2</v>
      </c>
      <c r="I39" s="90">
        <f t="shared" si="11"/>
        <v>4.3752819124943622E-3</v>
      </c>
      <c r="J39" s="91" t="s">
        <v>73</v>
      </c>
      <c r="K39" s="91" t="s">
        <v>73</v>
      </c>
      <c r="L39" s="91" t="s">
        <v>73</v>
      </c>
      <c r="M39" s="91" t="s">
        <v>73</v>
      </c>
      <c r="N39" s="91" t="s">
        <v>73</v>
      </c>
      <c r="O39" s="98"/>
      <c r="P39" s="503"/>
    </row>
    <row r="40" spans="1:16" s="3" customFormat="1" ht="15.75" thickBot="1" x14ac:dyDescent="0.3">
      <c r="A40" s="93" t="s">
        <v>45</v>
      </c>
      <c r="B40" s="99">
        <f t="shared" si="11"/>
        <v>0</v>
      </c>
      <c r="C40" s="99">
        <f t="shared" si="11"/>
        <v>0</v>
      </c>
      <c r="D40" s="99">
        <f t="shared" si="11"/>
        <v>0</v>
      </c>
      <c r="E40" s="99">
        <f t="shared" si="11"/>
        <v>0</v>
      </c>
      <c r="F40" s="99">
        <f t="shared" si="11"/>
        <v>0</v>
      </c>
      <c r="G40" s="99">
        <f t="shared" si="11"/>
        <v>0</v>
      </c>
      <c r="H40" s="99">
        <f t="shared" si="11"/>
        <v>0</v>
      </c>
      <c r="I40" s="99">
        <f t="shared" si="11"/>
        <v>0</v>
      </c>
      <c r="J40" s="95" t="s">
        <v>73</v>
      </c>
      <c r="K40" s="99" t="s">
        <v>73</v>
      </c>
      <c r="L40" s="99">
        <f>IF($N18="","",IF($N18&lt;&gt;0,L18/$N18,0))</f>
        <v>0</v>
      </c>
      <c r="M40" s="99">
        <f>IF($N18="","",IF($N18&lt;&gt;0,M18/$N18,0))</f>
        <v>0</v>
      </c>
      <c r="N40" s="94" t="str">
        <f>IF($N20="","",IF($N20&lt;&gt;0,(N20-B18)/$N20,0))</f>
        <v/>
      </c>
      <c r="O40" s="100"/>
      <c r="P40" s="503"/>
    </row>
    <row r="41" spans="1:16" ht="30.75" customHeight="1" thickBot="1" x14ac:dyDescent="0.3">
      <c r="A41" s="93"/>
      <c r="B41" s="101" t="s">
        <v>21083</v>
      </c>
      <c r="C41" s="87" t="s">
        <v>47</v>
      </c>
      <c r="D41" s="103" t="s">
        <v>20646</v>
      </c>
      <c r="E41" s="373" t="s">
        <v>20647</v>
      </c>
      <c r="F41" s="262" t="s">
        <v>21084</v>
      </c>
      <c r="G41" s="104" t="s">
        <v>21085</v>
      </c>
      <c r="H41" s="379"/>
      <c r="I41" s="105"/>
      <c r="J41" s="105"/>
      <c r="K41" s="106"/>
      <c r="L41" s="87" t="s">
        <v>20595</v>
      </c>
      <c r="M41" s="103" t="s">
        <v>57</v>
      </c>
      <c r="N41" s="87" t="s">
        <v>20596</v>
      </c>
      <c r="O41" s="107"/>
      <c r="P41" s="503"/>
    </row>
    <row r="42" spans="1:16" s="32" customFormat="1" ht="18.75" customHeight="1" thickBot="1" x14ac:dyDescent="0.3">
      <c r="A42" s="89" t="s">
        <v>20586</v>
      </c>
      <c r="B42" s="374">
        <f t="shared" ref="B42" si="12">IF($M20="","",IF($M20&lt;&gt;0,B20/$M20,0))</f>
        <v>0.32821062299096893</v>
      </c>
      <c r="C42" s="375">
        <f>IF($M20="","",IF($M20&lt;&gt;0,C20/$M20,0))</f>
        <v>0.11477116179396908</v>
      </c>
      <c r="D42" s="376">
        <f>IF($M20="","",IF($M20&lt;&gt;0,D20/$M20,0))</f>
        <v>7.8157048829021886E-2</v>
      </c>
      <c r="E42" s="377">
        <f t="shared" ref="E42:G42" si="13">IF($M20="","",IF($M20&lt;&gt;0,E20/$M20,0))</f>
        <v>0.44319608143272615</v>
      </c>
      <c r="F42" s="378">
        <f t="shared" si="13"/>
        <v>5.7400887800397982E-2</v>
      </c>
      <c r="G42" s="375">
        <f t="shared" si="13"/>
        <v>0.10154599724475738</v>
      </c>
      <c r="H42" s="91" t="s">
        <v>73</v>
      </c>
      <c r="I42" s="91" t="s">
        <v>73</v>
      </c>
      <c r="J42" s="91" t="s">
        <v>73</v>
      </c>
      <c r="K42" s="90" t="s">
        <v>73</v>
      </c>
      <c r="L42" s="90" t="s">
        <v>73</v>
      </c>
      <c r="M42" s="90" t="s">
        <v>73</v>
      </c>
      <c r="N42" s="90" t="str">
        <f>IF($N20="","",IF($N20&lt;&gt;0,(N20-B20+B18)/$N20,0))</f>
        <v/>
      </c>
      <c r="O42" s="98"/>
      <c r="P42" s="503"/>
    </row>
    <row r="43" spans="1:16" ht="15" customHeight="1" thickBot="1" x14ac:dyDescent="0.3">
      <c r="A43" s="108" t="s">
        <v>20597</v>
      </c>
      <c r="B43" s="94">
        <f t="shared" ref="B43:I43" si="14">IF($N21 &lt;&gt; 0, B21/$N21, 0)</f>
        <v>0</v>
      </c>
      <c r="C43" s="109">
        <f t="shared" si="14"/>
        <v>0</v>
      </c>
      <c r="D43" s="109">
        <f t="shared" si="14"/>
        <v>0</v>
      </c>
      <c r="E43" s="109">
        <f t="shared" si="14"/>
        <v>0</v>
      </c>
      <c r="F43" s="109">
        <f t="shared" si="14"/>
        <v>0</v>
      </c>
      <c r="G43" s="109">
        <f t="shared" si="14"/>
        <v>0</v>
      </c>
      <c r="H43" s="109">
        <f t="shared" si="14"/>
        <v>0</v>
      </c>
      <c r="I43" s="109">
        <f t="shared" si="14"/>
        <v>0</v>
      </c>
      <c r="J43" s="110" t="s">
        <v>73</v>
      </c>
      <c r="K43" s="110" t="s">
        <v>73</v>
      </c>
      <c r="L43" s="94">
        <f>IF($N21 &lt;&gt; 0, L21/$N21, 0)</f>
        <v>0</v>
      </c>
      <c r="M43" s="94">
        <f>IF($N21 &lt;&gt; 0, M21/$N21, 0)</f>
        <v>0</v>
      </c>
      <c r="N43" s="94" t="str">
        <f>IF($N21="","",IF($N21&lt;&gt;0,(N21-B21)/$N21,0))</f>
        <v/>
      </c>
      <c r="O43" s="111"/>
      <c r="P43" s="504"/>
    </row>
    <row r="44" spans="1:16" ht="15" customHeight="1" x14ac:dyDescent="0.25">
      <c r="N44" s="112"/>
    </row>
    <row r="45" spans="1:16" ht="15" customHeight="1" x14ac:dyDescent="0.25">
      <c r="N45" s="112"/>
    </row>
    <row r="46" spans="1:16" ht="15" customHeight="1" x14ac:dyDescent="0.25">
      <c r="N46" s="112"/>
    </row>
    <row r="47" spans="1:16" ht="15" customHeight="1" x14ac:dyDescent="0.25">
      <c r="N47" s="112"/>
    </row>
    <row r="48" spans="1:16" ht="15" customHeight="1" x14ac:dyDescent="0.25">
      <c r="N48" s="112"/>
    </row>
    <row r="49" spans="1:14" ht="15" customHeight="1" x14ac:dyDescent="0.25">
      <c r="N49" s="112"/>
    </row>
    <row r="50" spans="1:14" ht="15" customHeight="1" x14ac:dyDescent="0.25">
      <c r="N50" s="112"/>
    </row>
    <row r="51" spans="1:14" ht="15" customHeight="1" x14ac:dyDescent="0.25">
      <c r="N51" s="112"/>
    </row>
    <row r="52" spans="1:14" ht="15" customHeight="1" x14ac:dyDescent="0.25">
      <c r="N52" s="112"/>
    </row>
    <row r="53" spans="1:14" ht="15" customHeight="1" x14ac:dyDescent="0.25">
      <c r="N53" s="112"/>
    </row>
    <row r="54" spans="1:14" ht="15" customHeight="1" x14ac:dyDescent="0.25">
      <c r="N54" s="112"/>
    </row>
    <row r="55" spans="1:14" s="3" customFormat="1" ht="15" customHeight="1" x14ac:dyDescent="0.25">
      <c r="A55"/>
      <c r="B55"/>
      <c r="C55" s="2"/>
      <c r="D55"/>
      <c r="E55" s="2"/>
      <c r="F55"/>
      <c r="G55" s="2"/>
      <c r="H55" s="2"/>
      <c r="I55" s="2"/>
      <c r="J55"/>
      <c r="K55"/>
      <c r="L55"/>
      <c r="M55"/>
      <c r="N55" s="112"/>
    </row>
    <row r="56" spans="1:14" ht="15" customHeight="1" x14ac:dyDescent="0.25">
      <c r="N56" s="112"/>
    </row>
    <row r="57" spans="1:14" ht="15" customHeight="1" x14ac:dyDescent="0.25">
      <c r="N57" s="112"/>
    </row>
    <row r="58" spans="1:14" ht="15" customHeight="1" x14ac:dyDescent="0.25">
      <c r="N58" s="112"/>
    </row>
    <row r="59" spans="1:14" ht="15" customHeight="1" x14ac:dyDescent="0.25">
      <c r="N59" s="112"/>
    </row>
    <row r="60" spans="1:14" ht="15" customHeight="1" x14ac:dyDescent="0.25"/>
    <row r="61" spans="1:14" ht="15" customHeight="1" x14ac:dyDescent="0.25"/>
    <row r="62" spans="1:14" ht="15" customHeight="1" x14ac:dyDescent="0.25"/>
    <row r="63" spans="1:14" ht="15" customHeight="1" x14ac:dyDescent="0.25"/>
    <row r="64" spans="1:14" ht="15" customHeight="1" x14ac:dyDescent="0.25"/>
    <row r="65" spans="1:14" ht="15" customHeight="1" x14ac:dyDescent="0.25"/>
    <row r="66" spans="1:14" ht="15" customHeight="1" x14ac:dyDescent="0.25"/>
    <row r="67" spans="1:14" s="3" customFormat="1" ht="15.75" customHeight="1" x14ac:dyDescent="0.25">
      <c r="A67"/>
      <c r="B67"/>
      <c r="C67" s="2"/>
      <c r="D67"/>
      <c r="E67" s="2"/>
      <c r="F67"/>
      <c r="G67" s="2"/>
      <c r="H67" s="2"/>
      <c r="I67" s="2"/>
      <c r="J67"/>
      <c r="K67"/>
      <c r="L67"/>
      <c r="M67"/>
      <c r="N67"/>
    </row>
    <row r="68" spans="1:14" ht="15" customHeight="1" x14ac:dyDescent="0.25"/>
    <row r="69" spans="1:14" ht="15" customHeight="1" x14ac:dyDescent="0.25"/>
    <row r="70" spans="1:14" ht="15" customHeight="1" x14ac:dyDescent="0.25"/>
    <row r="71" spans="1:14" ht="15" customHeight="1" x14ac:dyDescent="0.25"/>
    <row r="72" spans="1:14" s="3" customFormat="1" ht="15" customHeight="1" x14ac:dyDescent="0.25">
      <c r="A72"/>
      <c r="B72"/>
      <c r="C72" s="2"/>
      <c r="D72"/>
      <c r="E72" s="2"/>
      <c r="F72"/>
      <c r="G72" s="2"/>
      <c r="H72" s="2"/>
      <c r="I72" s="2"/>
      <c r="J72"/>
      <c r="K72"/>
      <c r="L72"/>
      <c r="M72"/>
      <c r="N72"/>
    </row>
    <row r="73" spans="1:14" ht="15" customHeight="1" x14ac:dyDescent="0.25"/>
    <row r="74" spans="1:14" ht="15" customHeight="1" x14ac:dyDescent="0.25"/>
    <row r="75" spans="1:14" ht="15" customHeight="1" x14ac:dyDescent="0.25"/>
    <row r="76" spans="1:14" ht="15" customHeight="1" x14ac:dyDescent="0.25"/>
    <row r="77" spans="1:14" s="3" customFormat="1" ht="15.75" customHeight="1" x14ac:dyDescent="0.25">
      <c r="A77"/>
      <c r="B77"/>
      <c r="C77" s="2"/>
      <c r="D77"/>
      <c r="E77" s="2"/>
      <c r="F77"/>
      <c r="G77" s="2"/>
      <c r="H77" s="2"/>
      <c r="I77" s="2"/>
      <c r="J77"/>
      <c r="K77"/>
      <c r="L77"/>
      <c r="M77"/>
      <c r="N77"/>
    </row>
  </sheetData>
  <sheetProtection algorithmName="SHA-512" hashValue="BUuFprdSmmwlI9xtRtSRVpwo0ItyN36aAjk+mddfB4gJ5WfJXwNfdk9rbHHnZ16VeDO2dG4z651OiUu1yaDNzw==" saltValue="CHwOIdlnDU5jonY/DRZrKQ==" spinCount="100000" sheet="1" objects="1" scenarios="1" formatCells="0"/>
  <protectedRanges>
    <protectedRange sqref="J22" name="Range1"/>
  </protectedRanges>
  <mergeCells count="4">
    <mergeCell ref="A1:N1"/>
    <mergeCell ref="P24:P43"/>
    <mergeCell ref="B22:C22"/>
    <mergeCell ref="E22:F23"/>
  </mergeCells>
  <conditionalFormatting sqref="O25:O28">
    <cfRule type="cellIs" dxfId="128" priority="184" operator="greaterThanOrEqual">
      <formula>100%</formula>
    </cfRule>
  </conditionalFormatting>
  <conditionalFormatting sqref="O25:O28">
    <cfRule type="cellIs" dxfId="127" priority="185" operator="greaterThanOrEqual">
      <formula>0.95</formula>
    </cfRule>
    <cfRule type="cellIs" dxfId="126" priority="186" operator="lessThan">
      <formula>0.95</formula>
    </cfRule>
  </conditionalFormatting>
  <conditionalFormatting sqref="O30:O35">
    <cfRule type="cellIs" dxfId="125" priority="181" operator="greaterThanOrEqual">
      <formula>100%</formula>
    </cfRule>
  </conditionalFormatting>
  <conditionalFormatting sqref="O30:O35">
    <cfRule type="cellIs" dxfId="124" priority="182" operator="greaterThanOrEqual">
      <formula>0.95</formula>
    </cfRule>
    <cfRule type="cellIs" dxfId="123" priority="183" operator="lessThan">
      <formula>0.95</formula>
    </cfRule>
  </conditionalFormatting>
  <conditionalFormatting sqref="M13:N13">
    <cfRule type="expression" priority="177" stopIfTrue="1">
      <formula>NOT(#REF!)</formula>
    </cfRule>
  </conditionalFormatting>
  <conditionalFormatting sqref="L13">
    <cfRule type="expression" priority="176" stopIfTrue="1">
      <formula>NOT(#REF!)</formula>
    </cfRule>
  </conditionalFormatting>
  <conditionalFormatting sqref="B3:B6">
    <cfRule type="colorScale" priority="175">
      <colorScale>
        <cfvo type="min"/>
        <cfvo type="max"/>
        <color theme="4" tint="0.59999389629810485"/>
        <color rgb="FF00B0F0"/>
      </colorScale>
    </cfRule>
  </conditionalFormatting>
  <conditionalFormatting sqref="D3:D6">
    <cfRule type="colorScale" priority="173">
      <colorScale>
        <cfvo type="min"/>
        <cfvo type="max"/>
        <color theme="4" tint="0.59999389629810485"/>
        <color rgb="FF00B0F0"/>
      </colorScale>
    </cfRule>
  </conditionalFormatting>
  <conditionalFormatting sqref="E3:E6">
    <cfRule type="colorScale" priority="172">
      <colorScale>
        <cfvo type="min"/>
        <cfvo type="max"/>
        <color theme="4" tint="0.59999389629810485"/>
        <color rgb="FF00B0F0"/>
      </colorScale>
    </cfRule>
  </conditionalFormatting>
  <conditionalFormatting sqref="F3:F6">
    <cfRule type="colorScale" priority="171">
      <colorScale>
        <cfvo type="min"/>
        <cfvo type="max"/>
        <color theme="4" tint="0.59999389629810485"/>
        <color rgb="FF00B0F0"/>
      </colorScale>
    </cfRule>
  </conditionalFormatting>
  <conditionalFormatting sqref="G3:G6">
    <cfRule type="colorScale" priority="170">
      <colorScale>
        <cfvo type="num" val="0"/>
        <cfvo type="max"/>
        <color theme="4" tint="0.59999389629810485"/>
        <color rgb="FF00B0F0"/>
      </colorScale>
    </cfRule>
  </conditionalFormatting>
  <conditionalFormatting sqref="H3:H6">
    <cfRule type="colorScale" priority="169">
      <colorScale>
        <cfvo type="min"/>
        <cfvo type="max"/>
        <color theme="4" tint="0.59999389629810485"/>
        <color rgb="FF00B0F0"/>
      </colorScale>
    </cfRule>
  </conditionalFormatting>
  <conditionalFormatting sqref="I3:I6">
    <cfRule type="colorScale" priority="168">
      <colorScale>
        <cfvo type="min"/>
        <cfvo type="max"/>
        <color theme="4" tint="0.59999389629810485"/>
        <color rgb="FF00B0F0"/>
      </colorScale>
    </cfRule>
  </conditionalFormatting>
  <conditionalFormatting sqref="J3:J6">
    <cfRule type="colorScale" priority="167">
      <colorScale>
        <cfvo type="min"/>
        <cfvo type="max"/>
        <color theme="4" tint="0.59999389629810485"/>
        <color rgb="FF00B0F0"/>
      </colorScale>
    </cfRule>
  </conditionalFormatting>
  <conditionalFormatting sqref="L3:N5 L6:M6">
    <cfRule type="expression" priority="166" stopIfTrue="1">
      <formula>NOT(#REF!)</formula>
    </cfRule>
  </conditionalFormatting>
  <conditionalFormatting sqref="B8:B13">
    <cfRule type="colorScale" priority="165">
      <colorScale>
        <cfvo type="min"/>
        <cfvo type="max"/>
        <color theme="4" tint="0.59999389629810485"/>
        <color rgb="FF00B0F0"/>
      </colorScale>
    </cfRule>
  </conditionalFormatting>
  <conditionalFormatting sqref="D8:D13">
    <cfRule type="colorScale" priority="163">
      <colorScale>
        <cfvo type="min"/>
        <cfvo type="max"/>
        <color theme="4" tint="0.59999389629810485"/>
        <color rgb="FF00B0F0"/>
      </colorScale>
    </cfRule>
  </conditionalFormatting>
  <conditionalFormatting sqref="E8:E13">
    <cfRule type="colorScale" priority="162">
      <colorScale>
        <cfvo type="min"/>
        <cfvo type="max"/>
        <color theme="4" tint="0.59999389629810485"/>
        <color rgb="FF00B0F0"/>
      </colorScale>
    </cfRule>
  </conditionalFormatting>
  <conditionalFormatting sqref="F8:F13">
    <cfRule type="colorScale" priority="161">
      <colorScale>
        <cfvo type="min"/>
        <cfvo type="max"/>
        <color theme="4" tint="0.59999389629810485"/>
        <color rgb="FF00B0F0"/>
      </colorScale>
    </cfRule>
  </conditionalFormatting>
  <conditionalFormatting sqref="G8:G13">
    <cfRule type="colorScale" priority="160">
      <colorScale>
        <cfvo type="min"/>
        <cfvo type="max"/>
        <color theme="4" tint="0.59999389629810485"/>
        <color rgb="FF00B0F0"/>
      </colorScale>
    </cfRule>
  </conditionalFormatting>
  <conditionalFormatting sqref="H8:H13">
    <cfRule type="colorScale" priority="159">
      <colorScale>
        <cfvo type="min"/>
        <cfvo type="max"/>
        <color theme="4" tint="0.59999389629810485"/>
        <color rgb="FF00B0F0"/>
      </colorScale>
    </cfRule>
  </conditionalFormatting>
  <conditionalFormatting sqref="I8:I13">
    <cfRule type="colorScale" priority="158">
      <colorScale>
        <cfvo type="min"/>
        <cfvo type="max"/>
        <color theme="4" tint="0.59999389629810485"/>
        <color rgb="FF00B0F0"/>
      </colorScale>
    </cfRule>
  </conditionalFormatting>
  <conditionalFormatting sqref="M11:N12">
    <cfRule type="expression" priority="157" stopIfTrue="1">
      <formula>NOT(#REF!)</formula>
    </cfRule>
  </conditionalFormatting>
  <conditionalFormatting sqref="L11:L12 L8:N10">
    <cfRule type="expression" priority="156" stopIfTrue="1">
      <formula>NOT(#REF!)</formula>
    </cfRule>
  </conditionalFormatting>
  <conditionalFormatting sqref="L30:L35">
    <cfRule type="top10" dxfId="122" priority="68" rank="1"/>
    <cfRule type="containsBlanks" priority="69" stopIfTrue="1">
      <formula>LEN(TRIM(L30))=0</formula>
    </cfRule>
    <cfRule type="top10" dxfId="121" priority="70" bottom="1" rank="3"/>
  </conditionalFormatting>
  <conditionalFormatting sqref="B25:J28 B30:J35">
    <cfRule type="cellIs" dxfId="120" priority="47" operator="greaterThanOrEqual">
      <formula>1</formula>
    </cfRule>
  </conditionalFormatting>
  <conditionalFormatting sqref="L30:N35 L25:N28">
    <cfRule type="cellIs" dxfId="119" priority="44" operator="greaterThanOrEqual">
      <formula>100%</formula>
    </cfRule>
  </conditionalFormatting>
  <conditionalFormatting sqref="B25:B28 B30:B35">
    <cfRule type="cellIs" dxfId="118" priority="48" operator="lessThanOrEqual">
      <formula>0.05</formula>
    </cfRule>
    <cfRule type="cellIs" dxfId="117" priority="49" operator="greaterThan">
      <formula>0.05</formula>
    </cfRule>
  </conditionalFormatting>
  <conditionalFormatting sqref="C25:C28 C30:C35">
    <cfRule type="cellIs" dxfId="116" priority="50" operator="lessThanOrEqual">
      <formula>0.05</formula>
    </cfRule>
    <cfRule type="cellIs" dxfId="115" priority="51" operator="greaterThan">
      <formula>0.05</formula>
    </cfRule>
  </conditionalFormatting>
  <conditionalFormatting sqref="F25:F28 B30:F35">
    <cfRule type="cellIs" dxfId="114" priority="53" operator="greaterThan">
      <formula>0.05</formula>
    </cfRule>
  </conditionalFormatting>
  <conditionalFormatting sqref="F25:F28 F30:F35">
    <cfRule type="cellIs" dxfId="113" priority="52" operator="lessThanOrEqual">
      <formula>0.05</formula>
    </cfRule>
  </conditionalFormatting>
  <conditionalFormatting sqref="E25:E28 E30:E35">
    <cfRule type="cellIs" dxfId="112" priority="54" operator="lessThanOrEqual">
      <formula>0.02</formula>
    </cfRule>
    <cfRule type="cellIs" dxfId="111" priority="55" operator="greaterThan">
      <formula>0.02</formula>
    </cfRule>
  </conditionalFormatting>
  <conditionalFormatting sqref="D25:D28 D30:D35">
    <cfRule type="cellIs" dxfId="110" priority="56" operator="lessThanOrEqual">
      <formula>0.02</formula>
    </cfRule>
    <cfRule type="cellIs" dxfId="109" priority="57" operator="greaterThan">
      <formula>0.02</formula>
    </cfRule>
  </conditionalFormatting>
  <conditionalFormatting sqref="G25:G28 G30:G35">
    <cfRule type="cellIs" dxfId="108" priority="58" operator="lessThanOrEqual">
      <formula>0.02</formula>
    </cfRule>
    <cfRule type="cellIs" dxfId="107" priority="59" operator="greaterThan">
      <formula>0.02</formula>
    </cfRule>
  </conditionalFormatting>
  <conditionalFormatting sqref="H25:H28 H30:H35">
    <cfRule type="cellIs" dxfId="106" priority="60" operator="lessThanOrEqual">
      <formula>0.01</formula>
    </cfRule>
    <cfRule type="cellIs" dxfId="105" priority="61" operator="greaterThan">
      <formula>0.01</formula>
    </cfRule>
  </conditionalFormatting>
  <conditionalFormatting sqref="I25:I28 B30:I35">
    <cfRule type="cellIs" dxfId="104" priority="63" operator="greaterThan">
      <formula>0.01</formula>
    </cfRule>
  </conditionalFormatting>
  <conditionalFormatting sqref="J25:J28 J30:J35">
    <cfRule type="cellIs" dxfId="103" priority="64" operator="lessThanOrEqual">
      <formula>0.05</formula>
    </cfRule>
    <cfRule type="cellIs" dxfId="102" priority="65" operator="greaterThan">
      <formula>0.05</formula>
    </cfRule>
  </conditionalFormatting>
  <conditionalFormatting sqref="I25:I28 I30:I35">
    <cfRule type="cellIs" dxfId="101" priority="62" operator="lessThanOrEqual">
      <formula>0.01</formula>
    </cfRule>
  </conditionalFormatting>
  <conditionalFormatting sqref="N30:N35 N25:N28">
    <cfRule type="cellIs" dxfId="100" priority="45" operator="greaterThanOrEqual">
      <formula>0.95</formula>
    </cfRule>
    <cfRule type="cellIs" dxfId="99" priority="46" operator="lessThan">
      <formula>0.95</formula>
    </cfRule>
  </conditionalFormatting>
  <conditionalFormatting sqref="L25:L28 L30:L35">
    <cfRule type="cellIs" dxfId="98" priority="66" operator="greaterThanOrEqual">
      <formula>0.985</formula>
    </cfRule>
    <cfRule type="cellIs" dxfId="97" priority="67" operator="lessThan">
      <formula>0.985</formula>
    </cfRule>
  </conditionalFormatting>
  <conditionalFormatting sqref="B38:I39">
    <cfRule type="cellIs" dxfId="96" priority="73" stopIfTrue="1" operator="greaterThanOrEqual">
      <formula>1</formula>
    </cfRule>
  </conditionalFormatting>
  <conditionalFormatting sqref="B38:B39">
    <cfRule type="cellIs" dxfId="95" priority="74" operator="lessThanOrEqual">
      <formula>0.1</formula>
    </cfRule>
    <cfRule type="cellIs" dxfId="94" priority="75" operator="greaterThan">
      <formula>0.1</formula>
    </cfRule>
  </conditionalFormatting>
  <conditionalFormatting sqref="C38:C39">
    <cfRule type="cellIs" dxfId="93" priority="76" operator="lessThanOrEqual">
      <formula>0.03</formula>
    </cfRule>
    <cfRule type="cellIs" dxfId="92" priority="77" operator="greaterThan">
      <formula>0.03</formula>
    </cfRule>
  </conditionalFormatting>
  <conditionalFormatting sqref="D38:D39">
    <cfRule type="cellIs" dxfId="91" priority="78" operator="lessThanOrEqual">
      <formula>0.03</formula>
    </cfRule>
    <cfRule type="cellIs" dxfId="90" priority="79" operator="greaterThan">
      <formula>0.03</formula>
    </cfRule>
  </conditionalFormatting>
  <conditionalFormatting sqref="E38:E39">
    <cfRule type="cellIs" dxfId="89" priority="80" operator="lessThanOrEqual">
      <formula>0.05</formula>
    </cfRule>
    <cfRule type="cellIs" dxfId="88" priority="81" operator="greaterThan">
      <formula>0.05</formula>
    </cfRule>
  </conditionalFormatting>
  <conditionalFormatting sqref="F38:F39">
    <cfRule type="cellIs" dxfId="87" priority="82" operator="lessThanOrEqual">
      <formula>0.05</formula>
    </cfRule>
    <cfRule type="cellIs" dxfId="86" priority="83" operator="greaterThan">
      <formula>0.05</formula>
    </cfRule>
  </conditionalFormatting>
  <conditionalFormatting sqref="G38:G39">
    <cfRule type="cellIs" dxfId="85" priority="84" operator="lessThanOrEqual">
      <formula>0.03</formula>
    </cfRule>
    <cfRule type="cellIs" dxfId="84" priority="85" operator="greaterThan">
      <formula>0.03</formula>
    </cfRule>
  </conditionalFormatting>
  <conditionalFormatting sqref="H38:H39">
    <cfRule type="cellIs" dxfId="83" priority="86" operator="lessThanOrEqual">
      <formula>0.03</formula>
    </cfRule>
    <cfRule type="cellIs" dxfId="82" priority="87" operator="greaterThan">
      <formula>0.03</formula>
    </cfRule>
  </conditionalFormatting>
  <conditionalFormatting sqref="I38:I39">
    <cfRule type="cellIs" dxfId="81" priority="88" operator="lessThanOrEqual">
      <formula>0.03</formula>
    </cfRule>
    <cfRule type="cellIs" dxfId="80" priority="89" operator="greaterThan">
      <formula>0.03</formula>
    </cfRule>
  </conditionalFormatting>
  <conditionalFormatting sqref="C16:C17">
    <cfRule type="colorScale" priority="37">
      <colorScale>
        <cfvo type="min"/>
        <cfvo type="max"/>
        <color theme="4" tint="0.59999389629810485"/>
        <color rgb="FF00B0F0"/>
      </colorScale>
    </cfRule>
  </conditionalFormatting>
  <conditionalFormatting sqref="D16:D17">
    <cfRule type="colorScale" priority="38">
      <colorScale>
        <cfvo type="min"/>
        <cfvo type="max"/>
        <color theme="4" tint="0.59999389629810485"/>
        <color rgb="FF00B0F0"/>
      </colorScale>
    </cfRule>
  </conditionalFormatting>
  <conditionalFormatting sqref="E16:E17">
    <cfRule type="colorScale" priority="39">
      <colorScale>
        <cfvo type="min"/>
        <cfvo type="max"/>
        <color theme="4" tint="0.59999389629810485"/>
        <color rgb="FF00B0F0"/>
      </colorScale>
    </cfRule>
  </conditionalFormatting>
  <conditionalFormatting sqref="F16:F17">
    <cfRule type="colorScale" priority="40">
      <colorScale>
        <cfvo type="min"/>
        <cfvo type="max"/>
        <color theme="4" tint="0.59999389629810485"/>
        <color rgb="FF00B0F0"/>
      </colorScale>
    </cfRule>
  </conditionalFormatting>
  <conditionalFormatting sqref="G16:G17">
    <cfRule type="colorScale" priority="41">
      <colorScale>
        <cfvo type="min"/>
        <cfvo type="max"/>
        <color theme="4" tint="0.59999389629810485"/>
        <color rgb="FF00B0F0"/>
      </colorScale>
    </cfRule>
  </conditionalFormatting>
  <conditionalFormatting sqref="H16:H17">
    <cfRule type="colorScale" priority="42">
      <colorScale>
        <cfvo type="min"/>
        <cfvo type="max"/>
        <color theme="4" tint="0.59999389629810485"/>
        <color rgb="FF00B0F0"/>
      </colorScale>
    </cfRule>
  </conditionalFormatting>
  <conditionalFormatting sqref="I16:I17">
    <cfRule type="colorScale" priority="43">
      <colorScale>
        <cfvo type="min"/>
        <cfvo type="max"/>
        <color theme="4" tint="0.59999389629810485"/>
        <color rgb="FF00B0F0"/>
      </colorScale>
    </cfRule>
  </conditionalFormatting>
  <conditionalFormatting sqref="N42">
    <cfRule type="cellIs" dxfId="79" priority="32" operator="greaterThanOrEqual">
      <formula>100%</formula>
    </cfRule>
  </conditionalFormatting>
  <conditionalFormatting sqref="N42">
    <cfRule type="cellIs" dxfId="78" priority="33" operator="greaterThanOrEqual">
      <formula>0.985</formula>
    </cfRule>
    <cfRule type="cellIs" dxfId="77" priority="34" operator="lessThan">
      <formula>0.985</formula>
    </cfRule>
  </conditionalFormatting>
  <conditionalFormatting sqref="K42:M42">
    <cfRule type="top10" dxfId="76" priority="91" bottom="1" rank="1"/>
    <cfRule type="containsBlanks" priority="92" stopIfTrue="1">
      <formula>LEN(TRIM(K42))=0</formula>
    </cfRule>
    <cfRule type="top10" dxfId="75" priority="93" rank="1"/>
  </conditionalFormatting>
  <conditionalFormatting sqref="B20:I20">
    <cfRule type="cellIs" dxfId="74" priority="30" operator="greaterThan">
      <formula>0</formula>
    </cfRule>
  </conditionalFormatting>
  <conditionalFormatting sqref="B16">
    <cfRule type="colorScale" priority="26">
      <colorScale>
        <cfvo type="min"/>
        <cfvo type="max"/>
        <color theme="4" tint="0.59999389629810485"/>
        <color rgb="FF00B0F0"/>
      </colorScale>
    </cfRule>
  </conditionalFormatting>
  <conditionalFormatting sqref="B17">
    <cfRule type="colorScale" priority="25">
      <colorScale>
        <cfvo type="min"/>
        <cfvo type="max"/>
        <color theme="4" tint="0.59999389629810485"/>
        <color rgb="FF00B0F0"/>
      </colorScale>
    </cfRule>
  </conditionalFormatting>
  <conditionalFormatting sqref="C3:C6">
    <cfRule type="colorScale" priority="24">
      <colorScale>
        <cfvo type="min"/>
        <cfvo type="max"/>
        <color theme="4" tint="0.59999389629810485"/>
        <color rgb="FF00B0F0"/>
      </colorScale>
    </cfRule>
  </conditionalFormatting>
  <conditionalFormatting sqref="C8:C13">
    <cfRule type="colorScale" priority="23">
      <colorScale>
        <cfvo type="min"/>
        <cfvo type="max"/>
        <color theme="4" tint="0.59999389629810485"/>
        <color rgb="FF00B0F0"/>
      </colorScale>
    </cfRule>
  </conditionalFormatting>
  <conditionalFormatting sqref="N6">
    <cfRule type="expression" priority="22" stopIfTrue="1">
      <formula>NOT(#REF!)</formula>
    </cfRule>
  </conditionalFormatting>
  <conditionalFormatting sqref="L20:M20">
    <cfRule type="notContainsBlanks" dxfId="73" priority="21">
      <formula>LEN(TRIM(L20))&gt;0</formula>
    </cfRule>
  </conditionalFormatting>
  <conditionalFormatting sqref="B42 D42 F42:G42">
    <cfRule type="cellIs" dxfId="72" priority="12" stopIfTrue="1" operator="greaterThanOrEqual">
      <formula>1</formula>
    </cfRule>
  </conditionalFormatting>
  <conditionalFormatting sqref="D42">
    <cfRule type="cellIs" dxfId="71" priority="15" operator="lessThanOrEqual">
      <formula>0.1</formula>
    </cfRule>
    <cfRule type="cellIs" dxfId="70" priority="16" operator="greaterThan">
      <formula>0.1</formula>
    </cfRule>
  </conditionalFormatting>
  <conditionalFormatting sqref="F42">
    <cfRule type="cellIs" dxfId="69" priority="17" operator="lessThanOrEqual">
      <formula>0.05</formula>
    </cfRule>
    <cfRule type="cellIs" dxfId="68" priority="18" operator="greaterThan">
      <formula>0.05</formula>
    </cfRule>
  </conditionalFormatting>
  <conditionalFormatting sqref="G42">
    <cfRule type="cellIs" dxfId="67" priority="19" operator="lessThanOrEqual">
      <formula>0.05</formula>
    </cfRule>
    <cfRule type="cellIs" dxfId="66" priority="20" operator="greaterThan">
      <formula>0.05</formula>
    </cfRule>
  </conditionalFormatting>
  <conditionalFormatting sqref="C42">
    <cfRule type="cellIs" dxfId="65" priority="7" stopIfTrue="1" operator="greaterThanOrEqual">
      <formula>1</formula>
    </cfRule>
  </conditionalFormatting>
  <conditionalFormatting sqref="C42">
    <cfRule type="cellIs" dxfId="64" priority="8" operator="lessThanOrEqual">
      <formula>0.1</formula>
    </cfRule>
    <cfRule type="cellIs" dxfId="63" priority="9" operator="greaterThan">
      <formula>0.1</formula>
    </cfRule>
  </conditionalFormatting>
  <conditionalFormatting sqref="E42">
    <cfRule type="cellIs" dxfId="62" priority="2" stopIfTrue="1" operator="greaterThanOrEqual">
      <formula>1</formula>
    </cfRule>
  </conditionalFormatting>
  <conditionalFormatting sqref="E42">
    <cfRule type="cellIs" dxfId="61" priority="3" operator="lessThanOrEqual">
      <formula>0.25</formula>
    </cfRule>
    <cfRule type="cellIs" dxfId="60" priority="4" operator="greaterThan">
      <formula>0.25</formula>
    </cfRule>
  </conditionalFormatting>
  <conditionalFormatting sqref="B42">
    <cfRule type="cellIs" dxfId="59" priority="13" operator="lessThanOrEqual">
      <formula>0.25</formula>
    </cfRule>
    <cfRule type="cellIs" dxfId="58" priority="14" operator="greaterThan">
      <formula>0.25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637" stopIfTrue="1" id="{25742571-C5B0-4229-AF5F-2F908E2C036E}">
            <xm:f>CheckSheet!$O$1=FALSE</xm:f>
            <x14:dxf/>
          </x14:cfRule>
          <xm:sqref>O22:O23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C92D15"/>
  </sheetPr>
  <dimension ref="A1:R29"/>
  <sheetViews>
    <sheetView showGridLines="0" workbookViewId="0">
      <selection activeCell="E11" sqref="E11"/>
    </sheetView>
  </sheetViews>
  <sheetFormatPr defaultRowHeight="15" x14ac:dyDescent="0.25"/>
  <cols>
    <col min="1" max="1" width="2.85546875" style="53" customWidth="1"/>
    <col min="2" max="4" width="22.140625" style="54" customWidth="1"/>
    <col min="5" max="5" width="66.7109375" style="52" customWidth="1"/>
    <col min="6" max="6" width="64.28515625" style="70" customWidth="1"/>
    <col min="7" max="7" width="64.140625" style="54" customWidth="1"/>
    <col min="8" max="18" width="18.140625" style="30" customWidth="1"/>
  </cols>
  <sheetData>
    <row r="1" spans="1:9" ht="15.75" thickBot="1" x14ac:dyDescent="0.3">
      <c r="E1" s="118"/>
      <c r="F1" s="118"/>
    </row>
    <row r="2" spans="1:9" ht="15" customHeight="1" x14ac:dyDescent="0.25">
      <c r="A2" s="67"/>
      <c r="B2" s="530" t="s">
        <v>20501</v>
      </c>
      <c r="C2" s="530"/>
      <c r="D2" s="530"/>
      <c r="E2" s="531"/>
      <c r="F2" s="525" t="s">
        <v>20499</v>
      </c>
      <c r="G2" s="526"/>
    </row>
    <row r="3" spans="1:9" ht="65.25" customHeight="1" x14ac:dyDescent="0.25">
      <c r="A3" s="68"/>
      <c r="B3" s="512" t="s">
        <v>21081</v>
      </c>
      <c r="C3" s="513"/>
      <c r="D3" s="513"/>
      <c r="E3" s="513"/>
      <c r="F3" s="510" t="s">
        <v>20500</v>
      </c>
      <c r="G3" s="511"/>
    </row>
    <row r="4" spans="1:9" ht="37.5" customHeight="1" x14ac:dyDescent="0.25">
      <c r="A4" s="68"/>
      <c r="B4" s="514" t="s">
        <v>20575</v>
      </c>
      <c r="C4" s="514"/>
      <c r="D4" s="514"/>
      <c r="E4" s="515"/>
      <c r="F4" s="77"/>
      <c r="G4" s="78"/>
    </row>
    <row r="5" spans="1:9" ht="34.5" customHeight="1" x14ac:dyDescent="0.25">
      <c r="A5" s="68"/>
      <c r="B5" s="119" t="s">
        <v>108</v>
      </c>
      <c r="C5" s="175" t="str">
        <f>IF(Report!B1 &lt;&gt; "", Report!B1, "No Sort Selected")</f>
        <v>Day</v>
      </c>
      <c r="D5" s="88"/>
      <c r="E5" s="88"/>
      <c r="F5" s="116"/>
      <c r="G5" s="173"/>
    </row>
    <row r="6" spans="1:9" x14ac:dyDescent="0.25">
      <c r="A6" s="68"/>
      <c r="B6" s="516"/>
      <c r="C6" s="517"/>
      <c r="D6" s="511"/>
      <c r="E6" s="510"/>
      <c r="F6" s="510"/>
      <c r="G6" s="511"/>
    </row>
    <row r="7" spans="1:9" x14ac:dyDescent="0.25">
      <c r="A7" s="68"/>
      <c r="B7" s="516"/>
      <c r="C7" s="517"/>
      <c r="D7" s="511"/>
      <c r="E7" s="510"/>
      <c r="F7" s="510"/>
      <c r="G7" s="511"/>
      <c r="H7" s="524"/>
    </row>
    <row r="8" spans="1:9" x14ac:dyDescent="0.25">
      <c r="A8" s="68"/>
      <c r="B8" s="174"/>
      <c r="E8" s="118"/>
      <c r="F8" s="510"/>
      <c r="G8" s="511"/>
      <c r="H8" s="524"/>
    </row>
    <row r="9" spans="1:9" ht="15" customHeight="1" x14ac:dyDescent="0.25">
      <c r="B9" s="73"/>
      <c r="C9" s="88"/>
      <c r="D9" s="88"/>
      <c r="E9" s="88"/>
      <c r="F9" s="522" t="s">
        <v>106</v>
      </c>
      <c r="G9" s="523"/>
      <c r="H9" s="172"/>
      <c r="I9" s="172"/>
    </row>
    <row r="10" spans="1:9" x14ac:dyDescent="0.25">
      <c r="A10" s="88"/>
      <c r="B10" s="73"/>
      <c r="C10" s="88"/>
      <c r="D10" s="88"/>
      <c r="E10" s="88"/>
      <c r="F10" s="522"/>
      <c r="G10" s="523"/>
      <c r="H10" s="172"/>
      <c r="I10" s="172"/>
    </row>
    <row r="11" spans="1:9" ht="15" customHeight="1" x14ac:dyDescent="0.25">
      <c r="A11" s="88"/>
      <c r="B11" s="174"/>
      <c r="F11" s="522"/>
      <c r="G11" s="523"/>
    </row>
    <row r="12" spans="1:9" x14ac:dyDescent="0.25">
      <c r="B12" s="174"/>
      <c r="F12" s="116"/>
      <c r="G12" s="173"/>
    </row>
    <row r="13" spans="1:9" ht="17.25" customHeight="1" x14ac:dyDescent="0.25">
      <c r="A13" s="68"/>
      <c r="B13" s="510" t="s">
        <v>20636</v>
      </c>
      <c r="C13" s="532"/>
      <c r="D13" s="532"/>
      <c r="E13" s="511"/>
      <c r="F13" s="116"/>
      <c r="G13" s="173"/>
    </row>
    <row r="14" spans="1:9" x14ac:dyDescent="0.25">
      <c r="A14" s="68"/>
      <c r="B14" s="510"/>
      <c r="C14" s="532"/>
      <c r="D14" s="532"/>
      <c r="E14" s="511"/>
      <c r="F14" s="510"/>
      <c r="G14" s="511"/>
    </row>
    <row r="15" spans="1:9" x14ac:dyDescent="0.25">
      <c r="A15" s="68"/>
      <c r="B15" s="174"/>
      <c r="E15" s="118"/>
      <c r="F15" s="116"/>
      <c r="G15" s="173"/>
    </row>
    <row r="16" spans="1:9" ht="15" customHeight="1" x14ac:dyDescent="0.25">
      <c r="A16" s="68"/>
      <c r="B16" s="367"/>
      <c r="C16" s="365"/>
      <c r="D16" s="365"/>
      <c r="E16" s="368"/>
      <c r="F16" s="116"/>
      <c r="G16" s="173"/>
    </row>
    <row r="17" spans="1:7" ht="21" customHeight="1" x14ac:dyDescent="0.25">
      <c r="A17" s="68"/>
      <c r="B17" s="366"/>
      <c r="C17" s="365"/>
      <c r="D17" s="365"/>
      <c r="E17" s="368"/>
      <c r="F17" s="528"/>
      <c r="G17" s="529"/>
    </row>
    <row r="18" spans="1:7" ht="23.25" customHeight="1" x14ac:dyDescent="0.25">
      <c r="A18" s="68"/>
      <c r="B18" s="367"/>
      <c r="C18" s="364"/>
      <c r="D18" s="364"/>
      <c r="E18" s="369"/>
      <c r="F18" s="510"/>
      <c r="G18" s="511"/>
    </row>
    <row r="19" spans="1:7" x14ac:dyDescent="0.25">
      <c r="A19" s="68"/>
      <c r="B19" s="367"/>
      <c r="C19" s="364"/>
      <c r="D19" s="364"/>
      <c r="E19" s="369"/>
      <c r="F19" s="116"/>
      <c r="G19" s="173"/>
    </row>
    <row r="20" spans="1:7" x14ac:dyDescent="0.25">
      <c r="A20" s="68"/>
      <c r="B20" s="521"/>
      <c r="C20" s="521"/>
      <c r="D20" s="521"/>
      <c r="E20" s="521"/>
      <c r="F20" s="116"/>
      <c r="G20" s="117"/>
    </row>
    <row r="21" spans="1:7" x14ac:dyDescent="0.25">
      <c r="A21" s="68"/>
      <c r="B21" s="520"/>
      <c r="C21" s="520"/>
      <c r="D21" s="520"/>
      <c r="E21" s="510"/>
      <c r="F21" s="116"/>
      <c r="G21" s="117"/>
    </row>
    <row r="22" spans="1:7" ht="15.75" thickBot="1" x14ac:dyDescent="0.3">
      <c r="A22" s="68"/>
      <c r="B22" s="520"/>
      <c r="C22" s="520"/>
      <c r="D22" s="520"/>
      <c r="E22" s="510"/>
      <c r="F22" s="508"/>
      <c r="G22" s="527"/>
    </row>
    <row r="23" spans="1:7" ht="31.5" customHeight="1" x14ac:dyDescent="0.25">
      <c r="A23" s="68"/>
      <c r="B23" s="174"/>
      <c r="E23" s="118"/>
      <c r="F23" s="518" t="s">
        <v>20576</v>
      </c>
      <c r="G23" s="519"/>
    </row>
    <row r="24" spans="1:7" x14ac:dyDescent="0.25">
      <c r="A24" s="68"/>
      <c r="B24" s="174"/>
      <c r="E24" s="118"/>
      <c r="F24" s="73"/>
      <c r="G24" s="74"/>
    </row>
    <row r="25" spans="1:7" x14ac:dyDescent="0.25">
      <c r="A25" s="68"/>
      <c r="B25" s="174"/>
      <c r="E25" s="118"/>
      <c r="F25" s="73"/>
      <c r="G25" s="74"/>
    </row>
    <row r="26" spans="1:7" ht="15.75" thickBot="1" x14ac:dyDescent="0.3">
      <c r="A26" s="68"/>
      <c r="B26" s="508"/>
      <c r="C26" s="509"/>
      <c r="D26" s="509"/>
      <c r="E26" s="509"/>
      <c r="F26" s="75"/>
      <c r="G26" s="76"/>
    </row>
    <row r="27" spans="1:7" x14ac:dyDescent="0.25">
      <c r="A27" s="68"/>
      <c r="B27" s="52"/>
      <c r="C27" s="52"/>
      <c r="D27" s="52"/>
      <c r="G27" s="66"/>
    </row>
    <row r="28" spans="1:7" x14ac:dyDescent="0.25">
      <c r="A28" s="68"/>
      <c r="B28" s="52"/>
      <c r="C28" s="52"/>
      <c r="D28" s="52"/>
      <c r="G28" s="52"/>
    </row>
    <row r="29" spans="1:7" x14ac:dyDescent="0.25">
      <c r="A29" s="68"/>
      <c r="B29" s="52"/>
      <c r="C29" s="52"/>
      <c r="D29" s="52"/>
      <c r="G29" s="52"/>
    </row>
  </sheetData>
  <sheetProtection algorithmName="SHA-512" hashValue="6mUU8tXi821IuSn/fE9Had/8jmJ2ktBk71kRk5vMy/DSjvLJrevM27oLmnqWuSHQkfOPTcJDj5sRR8CJ1w9C8g==" saltValue="jf7e2pXNXaWF3ZfdjBZqEA==" spinCount="100000" sheet="1" objects="1" scenarios="1" formatCells="0" selectLockedCells="1" selectUnlockedCells="1"/>
  <mergeCells count="24">
    <mergeCell ref="H7:H8"/>
    <mergeCell ref="B22:E22"/>
    <mergeCell ref="F2:G2"/>
    <mergeCell ref="F3:G3"/>
    <mergeCell ref="F14:G14"/>
    <mergeCell ref="F22:G22"/>
    <mergeCell ref="F17:G17"/>
    <mergeCell ref="F18:G18"/>
    <mergeCell ref="B2:E2"/>
    <mergeCell ref="B13:E14"/>
    <mergeCell ref="B26:E26"/>
    <mergeCell ref="F6:G6"/>
    <mergeCell ref="F7:G7"/>
    <mergeCell ref="F8:G8"/>
    <mergeCell ref="B3:E3"/>
    <mergeCell ref="B4:E4"/>
    <mergeCell ref="B6:B7"/>
    <mergeCell ref="C6:C7"/>
    <mergeCell ref="D6:E6"/>
    <mergeCell ref="F23:G23"/>
    <mergeCell ref="D7:E7"/>
    <mergeCell ref="B21:E21"/>
    <mergeCell ref="B20:E20"/>
    <mergeCell ref="F9:G11"/>
  </mergeCells>
  <conditionalFormatting sqref="C5">
    <cfRule type="containsText" dxfId="57" priority="1" operator="containsText" text="No Sort Selected">
      <formula>NOT(ISERROR(SEARCH("No Sort Selected",C5)))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18" r:id="rId4" name="TextBoxPassword">
          <controlPr defaultSize="0" autoLine="0" r:id="rId5">
            <anchor moveWithCells="1">
              <from>
                <xdr:col>5</xdr:col>
                <xdr:colOff>3190875</xdr:colOff>
                <xdr:row>22</xdr:row>
                <xdr:rowOff>247650</xdr:rowOff>
              </from>
              <to>
                <xdr:col>6</xdr:col>
                <xdr:colOff>1066800</xdr:colOff>
                <xdr:row>23</xdr:row>
                <xdr:rowOff>133350</xdr:rowOff>
              </to>
            </anchor>
          </controlPr>
        </control>
      </mc:Choice>
      <mc:Fallback>
        <control shapeId="4118" r:id="rId4" name="TextBoxPassword"/>
      </mc:Fallback>
    </mc:AlternateContent>
    <mc:AlternateContent xmlns:mc="http://schemas.openxmlformats.org/markup-compatibility/2006">
      <mc:Choice Requires="x14">
        <control shapeId="4101" r:id="rId6" name="Button 5">
          <controlPr defaultSize="0" print="0" autoFill="0" autoPict="0" macro="[0]!AutoStats">
            <anchor moveWithCells="1">
              <from>
                <xdr:col>3</xdr:col>
                <xdr:colOff>485775</xdr:colOff>
                <xdr:row>4</xdr:row>
                <xdr:rowOff>323850</xdr:rowOff>
              </from>
              <to>
                <xdr:col>4</xdr:col>
                <xdr:colOff>914400</xdr:colOff>
                <xdr:row>7</xdr:row>
                <xdr:rowOff>95250</xdr:rowOff>
              </to>
            </anchor>
          </controlPr>
        </control>
      </mc:Choice>
    </mc:AlternateContent>
    <mc:AlternateContent xmlns:mc="http://schemas.openxmlformats.org/markup-compatibility/2006">
      <mc:Choice Requires="x14">
        <control shapeId="4102" r:id="rId7" name="Button 6">
          <controlPr defaultSize="0" print="0" autoFill="0" autoPict="0" macro="[0]!Clear_Stats_Table_PS">
            <anchor moveWithCells="1">
              <from>
                <xdr:col>5</xdr:col>
                <xdr:colOff>923925</xdr:colOff>
                <xdr:row>13</xdr:row>
                <xdr:rowOff>47625</xdr:rowOff>
              </from>
              <to>
                <xdr:col>5</xdr:col>
                <xdr:colOff>2828925</xdr:colOff>
                <xdr:row>15</xdr:row>
                <xdr:rowOff>66675</xdr:rowOff>
              </to>
            </anchor>
          </controlPr>
        </control>
      </mc:Choice>
    </mc:AlternateContent>
    <mc:AlternateContent xmlns:mc="http://schemas.openxmlformats.org/markup-compatibility/2006">
      <mc:Choice Requires="x14">
        <control shapeId="4103" r:id="rId8" name="Button 7">
          <controlPr defaultSize="0" print="0" autoFill="0" autoPict="0" macro="[0]!Clear_Stats_Table_PD">
            <anchor moveWithCells="1">
              <from>
                <xdr:col>5</xdr:col>
                <xdr:colOff>3343275</xdr:colOff>
                <xdr:row>13</xdr:row>
                <xdr:rowOff>47625</xdr:rowOff>
              </from>
              <to>
                <xdr:col>6</xdr:col>
                <xdr:colOff>962025</xdr:colOff>
                <xdr:row>15</xdr:row>
                <xdr:rowOff>66675</xdr:rowOff>
              </to>
            </anchor>
          </controlPr>
        </control>
      </mc:Choice>
    </mc:AlternateContent>
    <mc:AlternateContent xmlns:mc="http://schemas.openxmlformats.org/markup-compatibility/2006">
      <mc:Choice Requires="x14">
        <control shapeId="4104" r:id="rId9" name="Button 8">
          <controlPr defaultSize="0" print="0" autoFill="0" autoPict="0" macro="[0]!Clear_Stats_Table_SLS">
            <anchor moveWithCells="1">
              <from>
                <xdr:col>6</xdr:col>
                <xdr:colOff>1466850</xdr:colOff>
                <xdr:row>13</xdr:row>
                <xdr:rowOff>38100</xdr:rowOff>
              </from>
              <to>
                <xdr:col>6</xdr:col>
                <xdr:colOff>3371850</xdr:colOff>
                <xdr:row>15</xdr:row>
                <xdr:rowOff>57150</xdr:rowOff>
              </to>
            </anchor>
          </controlPr>
        </control>
      </mc:Choice>
    </mc:AlternateContent>
    <mc:AlternateContent xmlns:mc="http://schemas.openxmlformats.org/markup-compatibility/2006">
      <mc:Choice Requires="x14">
        <control shapeId="4106" r:id="rId10" name="Button 10">
          <controlPr defaultSize="0" print="0" autoFill="0" autoPict="0" macro="[0]!Clear_Stats_Table">
            <anchor moveWithCells="1">
              <from>
                <xdr:col>5</xdr:col>
                <xdr:colOff>3343275</xdr:colOff>
                <xdr:row>16</xdr:row>
                <xdr:rowOff>152400</xdr:rowOff>
              </from>
              <to>
                <xdr:col>6</xdr:col>
                <xdr:colOff>962025</xdr:colOff>
                <xdr:row>18</xdr:row>
                <xdr:rowOff>171450</xdr:rowOff>
              </to>
            </anchor>
          </controlPr>
        </control>
      </mc:Choice>
    </mc:AlternateContent>
    <mc:AlternateContent xmlns:mc="http://schemas.openxmlformats.org/markup-compatibility/2006">
      <mc:Choice Requires="x14">
        <control shapeId="4113" r:id="rId11" name="cbPSstats">
          <controlPr defaultSize="0" autoFill="0" autoLine="0" autoPict="0" macro="[0]!cbPSstats_Click">
            <anchor moveWithCells="1">
              <from>
                <xdr:col>4</xdr:col>
                <xdr:colOff>2695575</xdr:colOff>
                <xdr:row>5</xdr:row>
                <xdr:rowOff>0</xdr:rowOff>
              </from>
              <to>
                <xdr:col>4</xdr:col>
                <xdr:colOff>3705225</xdr:colOff>
                <xdr:row>6</xdr:row>
                <xdr:rowOff>47625</xdr:rowOff>
              </to>
            </anchor>
          </controlPr>
        </control>
      </mc:Choice>
    </mc:AlternateContent>
    <mc:AlternateContent xmlns:mc="http://schemas.openxmlformats.org/markup-compatibility/2006">
      <mc:Choice Requires="x14">
        <control shapeId="4114" r:id="rId12" name="cbPDstats">
          <controlPr defaultSize="0" autoFill="0" autoLine="0" autoPict="0" macro="[0]!cbPDstats_Click">
            <anchor moveWithCells="1">
              <from>
                <xdr:col>4</xdr:col>
                <xdr:colOff>2695575</xdr:colOff>
                <xdr:row>6</xdr:row>
                <xdr:rowOff>28575</xdr:rowOff>
              </from>
              <to>
                <xdr:col>4</xdr:col>
                <xdr:colOff>4248150</xdr:colOff>
                <xdr:row>7</xdr:row>
                <xdr:rowOff>76200</xdr:rowOff>
              </to>
            </anchor>
          </controlPr>
        </control>
      </mc:Choice>
    </mc:AlternateContent>
    <mc:AlternateContent xmlns:mc="http://schemas.openxmlformats.org/markup-compatibility/2006">
      <mc:Choice Requires="x14">
        <control shapeId="4115" r:id="rId13" name="Group Box 19">
          <controlPr defaultSize="0" autoFill="0" autoPict="0">
            <anchor moveWithCells="1">
              <from>
                <xdr:col>4</xdr:col>
                <xdr:colOff>1114425</xdr:colOff>
                <xdr:row>4</xdr:row>
                <xdr:rowOff>333375</xdr:rowOff>
              </from>
              <to>
                <xdr:col>4</xdr:col>
                <xdr:colOff>4295775</xdr:colOff>
                <xdr:row>7</xdr:row>
                <xdr:rowOff>114300</xdr:rowOff>
              </to>
            </anchor>
          </controlPr>
        </control>
      </mc:Choice>
    </mc:AlternateContent>
    <mc:AlternateContent xmlns:mc="http://schemas.openxmlformats.org/markup-compatibility/2006">
      <mc:Choice Requires="x14">
        <control shapeId="4116" r:id="rId14" name="EditEmailBtn">
          <controlPr defaultSize="0" print="0" autoFill="0" autoPict="0" macro="[0]!Edit_EmailList">
            <anchor moveWithCells="1">
              <from>
                <xdr:col>5</xdr:col>
                <xdr:colOff>3333750</xdr:colOff>
                <xdr:row>3</xdr:row>
                <xdr:rowOff>171450</xdr:rowOff>
              </from>
              <to>
                <xdr:col>6</xdr:col>
                <xdr:colOff>952500</xdr:colOff>
                <xdr:row>4</xdr:row>
                <xdr:rowOff>95250</xdr:rowOff>
              </to>
            </anchor>
          </controlPr>
        </control>
      </mc:Choice>
    </mc:AlternateContent>
    <mc:AlternateContent xmlns:mc="http://schemas.openxmlformats.org/markup-compatibility/2006">
      <mc:Choice Requires="x14">
        <control shapeId="4117" r:id="rId15" name="Button 21">
          <controlPr defaultSize="0" print="0" autoFill="0" autoPict="0" macro="[0]!View_EmailList">
            <anchor moveWithCells="1">
              <from>
                <xdr:col>5</xdr:col>
                <xdr:colOff>3324225</xdr:colOff>
                <xdr:row>4</xdr:row>
                <xdr:rowOff>333375</xdr:rowOff>
              </from>
              <to>
                <xdr:col>6</xdr:col>
                <xdr:colOff>942975</xdr:colOff>
                <xdr:row>6</xdr:row>
                <xdr:rowOff>104775</xdr:rowOff>
              </to>
            </anchor>
          </controlPr>
        </control>
      </mc:Choice>
    </mc:AlternateContent>
    <mc:AlternateContent xmlns:mc="http://schemas.openxmlformats.org/markup-compatibility/2006">
      <mc:Choice Requires="x14">
        <control shapeId="4119" r:id="rId16" name="Button 23">
          <controlPr defaultSize="0" print="0" autoFill="0" autoPict="0" macro="[0]!Sheet5.Apply_Unlock_Workbook">
            <anchor moveWithCells="1" sizeWithCells="1">
              <from>
                <xdr:col>6</xdr:col>
                <xdr:colOff>76200</xdr:colOff>
                <xdr:row>24</xdr:row>
                <xdr:rowOff>19050</xdr:rowOff>
              </from>
              <to>
                <xdr:col>6</xdr:col>
                <xdr:colOff>1057275</xdr:colOff>
                <xdr:row>25</xdr:row>
                <xdr:rowOff>114300</xdr:rowOff>
              </to>
            </anchor>
          </controlPr>
        </control>
      </mc:Choice>
    </mc:AlternateContent>
    <mc:AlternateContent xmlns:mc="http://schemas.openxmlformats.org/markup-compatibility/2006">
      <mc:Choice Requires="x14">
        <control shapeId="4120" r:id="rId17" name="Button 24">
          <controlPr defaultSize="0" print="0" autoFill="0" autoPict="0" macro="[0]!Sheet5.Apply_Lock_Workbook">
            <anchor moveWithCells="1" sizeWithCells="1">
              <from>
                <xdr:col>5</xdr:col>
                <xdr:colOff>3190875</xdr:colOff>
                <xdr:row>24</xdr:row>
                <xdr:rowOff>9525</xdr:rowOff>
              </from>
              <to>
                <xdr:col>5</xdr:col>
                <xdr:colOff>4171950</xdr:colOff>
                <xdr:row>25</xdr:row>
                <xdr:rowOff>104775</xdr:rowOff>
              </to>
            </anchor>
          </controlPr>
        </control>
      </mc:Choice>
    </mc:AlternateContent>
    <mc:AlternateContent xmlns:mc="http://schemas.openxmlformats.org/markup-compatibility/2006">
      <mc:Choice Requires="x14">
        <control shapeId="4128" r:id="rId18" name="Button 32">
          <controlPr defaultSize="0" print="0" autoFill="0" autoPict="0" macro="[0]!PDFStatsTypeSelection">
            <anchor moveWithCells="1">
              <from>
                <xdr:col>3</xdr:col>
                <xdr:colOff>476250</xdr:colOff>
                <xdr:row>15</xdr:row>
                <xdr:rowOff>85725</xdr:rowOff>
              </from>
              <to>
                <xdr:col>4</xdr:col>
                <xdr:colOff>904875</xdr:colOff>
                <xdr:row>17</xdr:row>
                <xdr:rowOff>28575</xdr:rowOff>
              </to>
            </anchor>
          </controlPr>
        </control>
      </mc:Choice>
    </mc:AlternateContent>
    <mc:AlternateContent xmlns:mc="http://schemas.openxmlformats.org/markup-compatibility/2006">
      <mc:Choice Requires="x14">
        <control shapeId="4129" r:id="rId19" name="Button 33">
          <controlPr defaultSize="0" print="0" autoFill="0" autoPict="0" macro="[0]!DisplayInstructions">
            <anchor moveWithCells="1" sizeWithCells="1">
              <from>
                <xdr:col>3</xdr:col>
                <xdr:colOff>933450</xdr:colOff>
                <xdr:row>17</xdr:row>
                <xdr:rowOff>257175</xdr:rowOff>
              </from>
              <to>
                <xdr:col>4</xdr:col>
                <xdr:colOff>438150</xdr:colOff>
                <xdr:row>19</xdr:row>
                <xdr:rowOff>9525</xdr:rowOff>
              </to>
            </anchor>
          </controlPr>
        </control>
      </mc:Choice>
    </mc:AlternateContent>
    <mc:AlternateContent xmlns:mc="http://schemas.openxmlformats.org/markup-compatibility/2006">
      <mc:Choice Requires="x14">
        <control shapeId="4130" r:id="rId20" name="All Stats">
          <controlPr defaultSize="0" autoFill="0" autoLine="0" autoPict="0" macro="[0]!cbAllStats_Click">
            <anchor moveWithCells="1">
              <from>
                <xdr:col>4</xdr:col>
                <xdr:colOff>1314450</xdr:colOff>
                <xdr:row>5</xdr:row>
                <xdr:rowOff>9525</xdr:rowOff>
              </from>
              <to>
                <xdr:col>4</xdr:col>
                <xdr:colOff>2438400</xdr:colOff>
                <xdr:row>6</xdr:row>
                <xdr:rowOff>47625</xdr:rowOff>
              </to>
            </anchor>
          </controlPr>
        </control>
      </mc:Choice>
    </mc:AlternateContent>
    <mc:AlternateContent xmlns:mc="http://schemas.openxmlformats.org/markup-compatibility/2006">
      <mc:Choice Requires="x14">
        <control shapeId="4131" r:id="rId21" name="cbSSstats">
          <controlPr defaultSize="0" autoFill="0" autoLine="0" autoPict="0" macro="[0]!cbSSstats_Click">
            <anchor moveWithCells="1">
              <from>
                <xdr:col>4</xdr:col>
                <xdr:colOff>1314450</xdr:colOff>
                <xdr:row>6</xdr:row>
                <xdr:rowOff>9525</xdr:rowOff>
              </from>
              <to>
                <xdr:col>4</xdr:col>
                <xdr:colOff>2638425</xdr:colOff>
                <xdr:row>7</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P40"/>
  <sheetViews>
    <sheetView workbookViewId="0">
      <selection activeCell="B2" sqref="B2"/>
    </sheetView>
  </sheetViews>
  <sheetFormatPr defaultRowHeight="15" x14ac:dyDescent="0.25"/>
  <cols>
    <col min="1" max="1" width="25.5703125" customWidth="1"/>
    <col min="2" max="2" width="37.140625" customWidth="1"/>
    <col min="3" max="3" width="37.5703125" customWidth="1"/>
    <col min="4" max="4" width="36.85546875" customWidth="1"/>
    <col min="6" max="6" width="10.7109375" bestFit="1" customWidth="1"/>
    <col min="7" max="7" width="7.42578125" bestFit="1" customWidth="1"/>
    <col min="8" max="8" width="12.28515625" bestFit="1" customWidth="1"/>
    <col min="9" max="9" width="11.42578125" bestFit="1" customWidth="1"/>
    <col min="10" max="10" width="11" bestFit="1" customWidth="1"/>
    <col min="11" max="11" width="14.140625" bestFit="1" customWidth="1"/>
    <col min="12" max="12" width="10.85546875" bestFit="1" customWidth="1"/>
    <col min="13" max="13" width="14.42578125" bestFit="1" customWidth="1"/>
    <col min="14" max="14" width="17.5703125" bestFit="1" customWidth="1"/>
    <col min="15" max="15" width="16.140625" bestFit="1" customWidth="1"/>
    <col min="16" max="16" width="12.85546875" bestFit="1" customWidth="1"/>
  </cols>
  <sheetData>
    <row r="1" spans="1:16" ht="15.75" thickBot="1" x14ac:dyDescent="0.3">
      <c r="A1" s="71" t="s">
        <v>20514</v>
      </c>
      <c r="B1" s="72" t="s">
        <v>20515</v>
      </c>
      <c r="C1" s="71" t="s">
        <v>20516</v>
      </c>
      <c r="F1" s="533" t="s">
        <v>20532</v>
      </c>
      <c r="G1" s="533"/>
      <c r="H1" s="533"/>
      <c r="I1" s="533"/>
      <c r="J1" s="533"/>
      <c r="K1" s="533"/>
      <c r="L1" s="533"/>
      <c r="M1" s="533"/>
      <c r="N1" s="533"/>
      <c r="O1" s="533"/>
      <c r="P1" s="533"/>
    </row>
    <row r="2" spans="1:16" x14ac:dyDescent="0.25">
      <c r="A2" t="s">
        <v>20507</v>
      </c>
      <c r="B2" s="370" t="s">
        <v>20652</v>
      </c>
      <c r="F2" s="83" t="s">
        <v>42</v>
      </c>
      <c r="G2" s="84" t="s">
        <v>20522</v>
      </c>
      <c r="H2" s="84" t="s">
        <v>20523</v>
      </c>
      <c r="I2" s="84" t="s">
        <v>20524</v>
      </c>
      <c r="J2" s="84" t="s">
        <v>20525</v>
      </c>
      <c r="K2" s="84" t="s">
        <v>20526</v>
      </c>
      <c r="L2" s="84" t="s">
        <v>20527</v>
      </c>
      <c r="M2" s="84" t="s">
        <v>20528</v>
      </c>
      <c r="N2" s="84" t="s">
        <v>20529</v>
      </c>
      <c r="O2" s="84" t="s">
        <v>20530</v>
      </c>
      <c r="P2" s="84" t="s">
        <v>20531</v>
      </c>
    </row>
    <row r="3" spans="1:16" x14ac:dyDescent="0.25">
      <c r="A3" t="s">
        <v>20502</v>
      </c>
      <c r="B3" t="s">
        <v>20578</v>
      </c>
      <c r="C3" t="s">
        <v>20504</v>
      </c>
      <c r="F3" s="81" t="s">
        <v>20533</v>
      </c>
      <c r="G3" s="79"/>
      <c r="H3" s="79"/>
      <c r="I3" s="79"/>
      <c r="J3" s="79"/>
      <c r="K3" s="79" t="s">
        <v>20558</v>
      </c>
      <c r="L3" s="79" t="s">
        <v>20560</v>
      </c>
      <c r="M3" s="79" t="s">
        <v>20563</v>
      </c>
      <c r="N3" s="79" t="s">
        <v>20563</v>
      </c>
      <c r="O3" s="79" t="s">
        <v>20563</v>
      </c>
      <c r="P3" s="79"/>
    </row>
    <row r="4" spans="1:16" x14ac:dyDescent="0.25">
      <c r="A4" t="s">
        <v>20503</v>
      </c>
      <c r="B4" t="s">
        <v>20579</v>
      </c>
      <c r="C4" t="s">
        <v>20505</v>
      </c>
      <c r="F4" s="82" t="s">
        <v>20534</v>
      </c>
      <c r="G4" s="80"/>
      <c r="H4" s="80"/>
      <c r="I4" s="80"/>
      <c r="J4" s="80"/>
      <c r="K4" s="80" t="s">
        <v>20559</v>
      </c>
      <c r="L4" s="80" t="s">
        <v>20561</v>
      </c>
      <c r="M4" s="80" t="s">
        <v>20564</v>
      </c>
      <c r="N4" s="80" t="s">
        <v>20565</v>
      </c>
      <c r="O4" s="80" t="s">
        <v>20564</v>
      </c>
      <c r="P4" s="80"/>
    </row>
    <row r="5" spans="1:16" x14ac:dyDescent="0.25">
      <c r="F5" s="81" t="s">
        <v>20535</v>
      </c>
      <c r="G5" s="79"/>
      <c r="H5" s="79"/>
      <c r="I5" s="79"/>
      <c r="J5" s="79"/>
      <c r="K5" s="79"/>
      <c r="L5" s="79" t="s">
        <v>20567</v>
      </c>
      <c r="M5" s="79"/>
      <c r="N5" s="79" t="s">
        <v>20564</v>
      </c>
      <c r="O5" s="79" t="s">
        <v>20566</v>
      </c>
      <c r="P5" s="79"/>
    </row>
    <row r="6" spans="1:16" x14ac:dyDescent="0.25">
      <c r="A6" t="s">
        <v>20508</v>
      </c>
      <c r="B6" s="64" t="s">
        <v>20581</v>
      </c>
      <c r="C6" t="s">
        <v>20517</v>
      </c>
      <c r="D6" t="s">
        <v>20519</v>
      </c>
      <c r="F6" s="82" t="s">
        <v>20536</v>
      </c>
      <c r="G6" s="80"/>
      <c r="H6" s="80"/>
      <c r="I6" s="80"/>
      <c r="J6" s="80"/>
      <c r="K6" s="80"/>
      <c r="L6" s="80" t="s">
        <v>20562</v>
      </c>
      <c r="M6" s="80"/>
      <c r="N6" s="80"/>
      <c r="O6" s="80"/>
      <c r="P6" s="80"/>
    </row>
    <row r="7" spans="1:16" x14ac:dyDescent="0.25">
      <c r="A7" t="s">
        <v>20510</v>
      </c>
      <c r="B7" t="s">
        <v>20577</v>
      </c>
      <c r="F7" s="81" t="s">
        <v>20537</v>
      </c>
      <c r="G7" s="79"/>
      <c r="H7" s="79"/>
      <c r="I7" s="79"/>
      <c r="J7" s="79"/>
      <c r="K7" s="79"/>
      <c r="L7" s="79"/>
      <c r="M7" s="79"/>
      <c r="N7" s="79"/>
      <c r="O7" s="79"/>
      <c r="P7" s="79"/>
    </row>
    <row r="8" spans="1:16" x14ac:dyDescent="0.25">
      <c r="A8" t="s">
        <v>20511</v>
      </c>
      <c r="B8" t="s">
        <v>20583</v>
      </c>
      <c r="F8" s="82" t="s">
        <v>20538</v>
      </c>
      <c r="G8" s="80"/>
      <c r="H8" s="80"/>
      <c r="I8" s="80"/>
      <c r="J8" s="80"/>
      <c r="K8" s="80"/>
      <c r="L8" s="80"/>
      <c r="M8" s="80"/>
      <c r="N8" s="80"/>
      <c r="O8" s="80"/>
      <c r="P8" s="80"/>
    </row>
    <row r="9" spans="1:16" x14ac:dyDescent="0.25">
      <c r="F9" s="81" t="s">
        <v>20539</v>
      </c>
      <c r="G9" s="79"/>
      <c r="H9" s="79"/>
      <c r="I9" s="79"/>
      <c r="J9" s="79"/>
      <c r="K9" s="79"/>
      <c r="L9" s="79"/>
      <c r="M9" s="79"/>
      <c r="N9" s="79"/>
      <c r="O9" s="79"/>
      <c r="P9" s="79"/>
    </row>
    <row r="10" spans="1:16" x14ac:dyDescent="0.25">
      <c r="A10" t="s">
        <v>20509</v>
      </c>
      <c r="B10" s="64" t="s">
        <v>20582</v>
      </c>
      <c r="C10" t="s">
        <v>20518</v>
      </c>
      <c r="D10" t="s">
        <v>20519</v>
      </c>
      <c r="F10" s="82" t="s">
        <v>20540</v>
      </c>
      <c r="G10" s="80"/>
      <c r="H10" s="80"/>
      <c r="I10" s="80"/>
      <c r="J10" s="80"/>
      <c r="K10" s="80"/>
      <c r="L10" s="80"/>
      <c r="M10" s="80"/>
      <c r="N10" s="80"/>
      <c r="O10" s="80"/>
      <c r="P10" s="80"/>
    </row>
    <row r="11" spans="1:16" x14ac:dyDescent="0.25">
      <c r="A11" t="s">
        <v>20512</v>
      </c>
      <c r="B11" t="s">
        <v>20577</v>
      </c>
      <c r="F11" s="81" t="s">
        <v>20541</v>
      </c>
      <c r="G11" s="79"/>
      <c r="H11" s="79"/>
      <c r="I11" s="79"/>
      <c r="J11" s="79"/>
      <c r="K11" s="79"/>
      <c r="L11" s="79"/>
      <c r="M11" s="79"/>
      <c r="N11" s="79"/>
      <c r="O11" s="79"/>
      <c r="P11" s="79"/>
    </row>
    <row r="12" spans="1:16" x14ac:dyDescent="0.25">
      <c r="A12" t="s">
        <v>20513</v>
      </c>
      <c r="B12" t="s">
        <v>20583</v>
      </c>
      <c r="F12" s="82" t="s">
        <v>21</v>
      </c>
      <c r="G12" s="80"/>
      <c r="H12" s="80"/>
      <c r="I12" s="80"/>
      <c r="J12" s="80"/>
      <c r="K12" s="80"/>
      <c r="L12" s="80"/>
      <c r="M12" s="80"/>
      <c r="N12" s="80"/>
      <c r="O12" s="80"/>
      <c r="P12" s="80"/>
    </row>
    <row r="13" spans="1:16" x14ac:dyDescent="0.25">
      <c r="F13" s="81" t="s">
        <v>22</v>
      </c>
      <c r="G13" s="79"/>
      <c r="H13" s="79"/>
      <c r="I13" s="79"/>
      <c r="J13" s="79"/>
      <c r="K13" s="79"/>
      <c r="L13" s="79"/>
      <c r="M13" s="79"/>
      <c r="N13" s="79"/>
      <c r="O13" s="79"/>
      <c r="P13" s="79"/>
    </row>
    <row r="14" spans="1:16" x14ac:dyDescent="0.25">
      <c r="A14" t="s">
        <v>20568</v>
      </c>
      <c r="B14" s="64" t="s">
        <v>20640</v>
      </c>
      <c r="C14" t="s">
        <v>20569</v>
      </c>
      <c r="F14" s="82" t="s">
        <v>23</v>
      </c>
      <c r="G14" s="80"/>
      <c r="H14" s="80"/>
      <c r="I14" s="80"/>
      <c r="J14" s="80"/>
      <c r="K14" s="80"/>
      <c r="L14" s="80"/>
      <c r="M14" s="80"/>
      <c r="N14" s="80"/>
      <c r="O14" s="80"/>
      <c r="P14" s="80"/>
    </row>
    <row r="15" spans="1:16" x14ac:dyDescent="0.25">
      <c r="F15" s="81" t="s">
        <v>20542</v>
      </c>
      <c r="G15" s="79"/>
      <c r="H15" s="79"/>
      <c r="I15" s="79"/>
      <c r="J15" s="79"/>
      <c r="K15" s="79"/>
      <c r="L15" s="79"/>
      <c r="M15" s="79"/>
      <c r="N15" s="79"/>
      <c r="O15" s="79"/>
      <c r="P15" s="79"/>
    </row>
    <row r="16" spans="1:16" x14ac:dyDescent="0.25">
      <c r="F16" s="82" t="s">
        <v>20543</v>
      </c>
      <c r="G16" s="80"/>
      <c r="H16" s="80"/>
      <c r="I16" s="80"/>
      <c r="J16" s="80"/>
      <c r="K16" s="80"/>
      <c r="L16" s="80"/>
      <c r="M16" s="80"/>
      <c r="N16" s="80"/>
      <c r="O16" s="80"/>
      <c r="P16" s="80"/>
    </row>
    <row r="17" spans="1:16" x14ac:dyDescent="0.25">
      <c r="A17" s="534" t="s">
        <v>20570</v>
      </c>
      <c r="B17" s="534"/>
      <c r="C17" s="534"/>
      <c r="F17" s="81" t="s">
        <v>20544</v>
      </c>
      <c r="G17" s="79"/>
      <c r="H17" s="79"/>
      <c r="I17" s="79"/>
      <c r="J17" s="79"/>
      <c r="K17" s="79"/>
      <c r="L17" s="79"/>
      <c r="M17" s="79"/>
      <c r="N17" s="79"/>
      <c r="O17" s="79"/>
      <c r="P17" s="79"/>
    </row>
    <row r="18" spans="1:16" x14ac:dyDescent="0.25">
      <c r="A18" s="534"/>
      <c r="B18" s="534"/>
      <c r="C18" s="534"/>
      <c r="F18" s="82" t="s">
        <v>20545</v>
      </c>
      <c r="G18" s="80"/>
      <c r="H18" s="80"/>
      <c r="I18" s="80"/>
      <c r="J18" s="80"/>
      <c r="K18" s="80"/>
      <c r="L18" s="80"/>
      <c r="M18" s="80"/>
      <c r="N18" s="80"/>
      <c r="O18" s="80"/>
      <c r="P18" s="80"/>
    </row>
    <row r="19" spans="1:16" x14ac:dyDescent="0.25">
      <c r="A19" s="535" t="s">
        <v>20571</v>
      </c>
      <c r="B19" s="535"/>
      <c r="C19" s="535"/>
      <c r="F19" s="81" t="s">
        <v>20546</v>
      </c>
      <c r="G19" s="79"/>
      <c r="H19" s="79"/>
      <c r="I19" s="79"/>
      <c r="J19" s="79"/>
      <c r="K19" s="79"/>
      <c r="L19" s="79"/>
      <c r="M19" s="79"/>
      <c r="N19" s="79"/>
      <c r="O19" s="79"/>
      <c r="P19" s="79"/>
    </row>
    <row r="20" spans="1:16" x14ac:dyDescent="0.25">
      <c r="A20" s="535"/>
      <c r="B20" s="535"/>
      <c r="C20" s="535"/>
      <c r="F20" s="82" t="s">
        <v>20547</v>
      </c>
      <c r="G20" s="80"/>
      <c r="H20" s="80"/>
      <c r="I20" s="80"/>
      <c r="J20" s="80"/>
      <c r="K20" s="80"/>
      <c r="L20" s="80"/>
      <c r="M20" s="80"/>
      <c r="N20" s="80"/>
      <c r="O20" s="80"/>
      <c r="P20" s="80"/>
    </row>
    <row r="21" spans="1:16" x14ac:dyDescent="0.25">
      <c r="A21" s="535"/>
      <c r="B21" s="535"/>
      <c r="C21" s="535"/>
      <c r="F21" s="81" t="s">
        <v>20548</v>
      </c>
      <c r="G21" s="79"/>
      <c r="H21" s="79"/>
      <c r="I21" s="79"/>
      <c r="J21" s="79"/>
      <c r="K21" s="79"/>
      <c r="L21" s="79"/>
      <c r="M21" s="79"/>
      <c r="N21" s="79"/>
      <c r="O21" s="79"/>
      <c r="P21" s="79"/>
    </row>
    <row r="22" spans="1:16" x14ac:dyDescent="0.25">
      <c r="A22" s="535"/>
      <c r="B22" s="535"/>
      <c r="C22" s="535"/>
      <c r="F22" s="82" t="s">
        <v>20549</v>
      </c>
      <c r="G22" s="80"/>
      <c r="H22" s="80"/>
      <c r="I22" s="80"/>
      <c r="J22" s="80"/>
      <c r="K22" s="80"/>
      <c r="L22" s="80"/>
      <c r="M22" s="80"/>
      <c r="N22" s="80"/>
      <c r="O22" s="80"/>
      <c r="P22" s="80"/>
    </row>
    <row r="23" spans="1:16" x14ac:dyDescent="0.25">
      <c r="A23" s="535"/>
      <c r="B23" s="535"/>
      <c r="C23" s="535"/>
      <c r="F23" s="81" t="s">
        <v>20550</v>
      </c>
      <c r="G23" s="79"/>
      <c r="H23" s="79"/>
      <c r="I23" s="79"/>
      <c r="J23" s="79"/>
      <c r="K23" s="79"/>
      <c r="L23" s="79"/>
      <c r="M23" s="79"/>
      <c r="N23" s="79"/>
      <c r="O23" s="79"/>
      <c r="P23" s="79"/>
    </row>
    <row r="24" spans="1:16" x14ac:dyDescent="0.25">
      <c r="A24" s="535"/>
      <c r="B24" s="535"/>
      <c r="C24" s="535"/>
      <c r="F24" s="82" t="s">
        <v>33</v>
      </c>
      <c r="G24" s="80"/>
      <c r="H24" s="80"/>
      <c r="I24" s="80"/>
      <c r="J24" s="80"/>
      <c r="K24" s="80"/>
      <c r="L24" s="80"/>
      <c r="M24" s="80"/>
      <c r="N24" s="80"/>
      <c r="O24" s="80"/>
      <c r="P24" s="80"/>
    </row>
    <row r="25" spans="1:16" x14ac:dyDescent="0.25">
      <c r="A25" s="535"/>
      <c r="B25" s="535"/>
      <c r="C25" s="535"/>
      <c r="F25" s="81" t="s">
        <v>34</v>
      </c>
      <c r="G25" s="79"/>
      <c r="H25" s="79"/>
      <c r="I25" s="79"/>
      <c r="J25" s="79"/>
      <c r="K25" s="79"/>
      <c r="L25" s="79"/>
      <c r="M25" s="79"/>
      <c r="N25" s="79"/>
      <c r="O25" s="79"/>
      <c r="P25" s="79"/>
    </row>
    <row r="26" spans="1:16" x14ac:dyDescent="0.25">
      <c r="A26" s="535"/>
      <c r="B26" s="535"/>
      <c r="C26" s="535"/>
      <c r="F26" s="82" t="s">
        <v>63</v>
      </c>
      <c r="G26" s="80"/>
      <c r="H26" s="80"/>
      <c r="I26" s="80"/>
      <c r="J26" s="80"/>
      <c r="K26" s="80"/>
      <c r="L26" s="80"/>
      <c r="M26" s="80"/>
      <c r="N26" s="80"/>
      <c r="O26" s="80"/>
      <c r="P26" s="80"/>
    </row>
    <row r="27" spans="1:16" x14ac:dyDescent="0.25">
      <c r="A27" s="535"/>
      <c r="B27" s="535"/>
      <c r="C27" s="535"/>
      <c r="F27" s="81" t="s">
        <v>64</v>
      </c>
      <c r="G27" s="79"/>
      <c r="H27" s="79"/>
      <c r="I27" s="79"/>
      <c r="J27" s="79"/>
      <c r="K27" s="79"/>
      <c r="L27" s="79"/>
      <c r="M27" s="79"/>
      <c r="N27" s="79"/>
      <c r="O27" s="79"/>
      <c r="P27" s="79"/>
    </row>
    <row r="28" spans="1:16" x14ac:dyDescent="0.25">
      <c r="A28" s="535"/>
      <c r="B28" s="535"/>
      <c r="C28" s="535"/>
      <c r="F28" s="82" t="s">
        <v>65</v>
      </c>
      <c r="G28" s="80"/>
      <c r="H28" s="80"/>
      <c r="I28" s="80"/>
      <c r="J28" s="80"/>
      <c r="K28" s="80"/>
      <c r="L28" s="80"/>
      <c r="M28" s="80"/>
      <c r="N28" s="80"/>
      <c r="O28" s="80"/>
      <c r="P28" s="80"/>
    </row>
    <row r="29" spans="1:16" x14ac:dyDescent="0.25">
      <c r="A29" s="535"/>
      <c r="B29" s="535"/>
      <c r="C29" s="535"/>
      <c r="F29" s="81" t="s">
        <v>66</v>
      </c>
      <c r="G29" s="79"/>
      <c r="H29" s="79"/>
      <c r="I29" s="79"/>
      <c r="J29" s="79"/>
      <c r="K29" s="79"/>
      <c r="L29" s="79"/>
      <c r="M29" s="79"/>
      <c r="N29" s="79"/>
      <c r="O29" s="79"/>
      <c r="P29" s="79"/>
    </row>
    <row r="30" spans="1:16" x14ac:dyDescent="0.25">
      <c r="A30" s="535"/>
      <c r="B30" s="535"/>
      <c r="C30" s="535"/>
      <c r="F30" s="82" t="s">
        <v>67</v>
      </c>
      <c r="G30" s="80"/>
      <c r="H30" s="80"/>
      <c r="I30" s="80"/>
      <c r="J30" s="80"/>
      <c r="K30" s="80"/>
      <c r="L30" s="80"/>
      <c r="M30" s="80"/>
      <c r="N30" s="80"/>
      <c r="O30" s="80"/>
      <c r="P30" s="80"/>
    </row>
    <row r="31" spans="1:16" x14ac:dyDescent="0.25">
      <c r="F31" s="81" t="s">
        <v>68</v>
      </c>
      <c r="G31" s="79"/>
      <c r="H31" s="79"/>
      <c r="I31" s="79"/>
      <c r="J31" s="79"/>
      <c r="K31" s="79"/>
      <c r="L31" s="79"/>
      <c r="M31" s="79"/>
      <c r="N31" s="79"/>
      <c r="O31" s="79"/>
      <c r="P31" s="79"/>
    </row>
    <row r="32" spans="1:16" x14ac:dyDescent="0.25">
      <c r="F32" s="82" t="s">
        <v>69</v>
      </c>
      <c r="G32" s="80"/>
      <c r="H32" s="80"/>
      <c r="I32" s="80"/>
      <c r="J32" s="80"/>
      <c r="K32" s="80"/>
      <c r="L32" s="80"/>
      <c r="M32" s="80"/>
      <c r="N32" s="80"/>
      <c r="O32" s="80"/>
      <c r="P32" s="80"/>
    </row>
    <row r="33" spans="6:16" x14ac:dyDescent="0.25">
      <c r="F33" s="81" t="s">
        <v>70</v>
      </c>
      <c r="G33" s="79"/>
      <c r="H33" s="79"/>
      <c r="I33" s="79"/>
      <c r="J33" s="79"/>
      <c r="K33" s="79"/>
      <c r="L33" s="79"/>
      <c r="M33" s="79"/>
      <c r="N33" s="79"/>
      <c r="O33" s="79"/>
      <c r="P33" s="79"/>
    </row>
    <row r="34" spans="6:16" x14ac:dyDescent="0.25">
      <c r="F34" s="82" t="s">
        <v>20551</v>
      </c>
      <c r="G34" s="80"/>
      <c r="H34" s="80"/>
      <c r="I34" s="80"/>
      <c r="J34" s="80"/>
      <c r="K34" s="80"/>
      <c r="L34" s="80"/>
      <c r="M34" s="80"/>
      <c r="N34" s="80"/>
      <c r="O34" s="80"/>
      <c r="P34" s="80"/>
    </row>
    <row r="35" spans="6:16" x14ac:dyDescent="0.25">
      <c r="F35" s="81" t="s">
        <v>20552</v>
      </c>
      <c r="G35" s="79"/>
      <c r="H35" s="79"/>
      <c r="I35" s="79"/>
      <c r="J35" s="79"/>
      <c r="K35" s="79"/>
      <c r="L35" s="79"/>
      <c r="M35" s="79"/>
      <c r="N35" s="79"/>
      <c r="O35" s="79"/>
      <c r="P35" s="79"/>
    </row>
    <row r="36" spans="6:16" x14ac:dyDescent="0.25">
      <c r="F36" s="82" t="s">
        <v>20553</v>
      </c>
      <c r="G36" s="80"/>
      <c r="H36" s="80"/>
      <c r="I36" s="80"/>
      <c r="J36" s="80"/>
      <c r="K36" s="80"/>
      <c r="L36" s="80"/>
      <c r="M36" s="80"/>
      <c r="N36" s="80"/>
      <c r="O36" s="80"/>
      <c r="P36" s="80"/>
    </row>
    <row r="37" spans="6:16" x14ac:dyDescent="0.25">
      <c r="F37" s="81" t="s">
        <v>20554</v>
      </c>
      <c r="G37" s="79"/>
      <c r="H37" s="79"/>
      <c r="I37" s="79"/>
      <c r="J37" s="79"/>
      <c r="K37" s="79"/>
      <c r="L37" s="79"/>
      <c r="M37" s="79"/>
      <c r="N37" s="79"/>
      <c r="O37" s="79"/>
      <c r="P37" s="79"/>
    </row>
    <row r="38" spans="6:16" x14ac:dyDescent="0.25">
      <c r="F38" s="82" t="s">
        <v>20555</v>
      </c>
      <c r="G38" s="80"/>
      <c r="H38" s="80"/>
      <c r="I38" s="80"/>
      <c r="J38" s="80"/>
      <c r="K38" s="80"/>
      <c r="L38" s="80"/>
      <c r="M38" s="80"/>
      <c r="N38" s="80"/>
      <c r="O38" s="80"/>
      <c r="P38" s="80"/>
    </row>
    <row r="39" spans="6:16" x14ac:dyDescent="0.25">
      <c r="F39" s="81" t="s">
        <v>20556</v>
      </c>
      <c r="G39" s="79"/>
      <c r="H39" s="79"/>
      <c r="I39" s="79"/>
      <c r="J39" s="79"/>
      <c r="K39" s="79"/>
      <c r="L39" s="79"/>
      <c r="M39" s="79"/>
      <c r="N39" s="79"/>
      <c r="O39" s="79"/>
      <c r="P39" s="79"/>
    </row>
    <row r="40" spans="6:16" x14ac:dyDescent="0.25">
      <c r="F40" s="82" t="s">
        <v>20557</v>
      </c>
      <c r="G40" s="80"/>
      <c r="H40" s="80"/>
      <c r="I40" s="80"/>
      <c r="J40" s="80"/>
      <c r="K40" s="80"/>
      <c r="L40" s="80"/>
      <c r="M40" s="80"/>
      <c r="N40" s="80"/>
      <c r="O40" s="80"/>
      <c r="P40" s="80"/>
    </row>
  </sheetData>
  <sheetProtection algorithmName="SHA-512" hashValue="Hlsp+hyWdBanSDrRoCqIJcCW1zttvg/W3ZTmAaePPIzXwrJhK0XC5ufLeK9YUn9xgM4o7/ZeMcOuQgsAFXG6dA==" saltValue="pupy3W9hDScgFaFBiN9o+Q==" spinCount="100000" sheet="1" objects="1" scenarios="1" formatCells="0" selectLockedCells="1" selectUnlockedCells="1"/>
  <mergeCells count="3">
    <mergeCell ref="F1:P1"/>
    <mergeCell ref="A17:C18"/>
    <mergeCell ref="A19:C30"/>
  </mergeCells>
  <hyperlinks>
    <hyperlink ref="B6" r:id="rId1"/>
    <hyperlink ref="B14" r:id="rId2"/>
  </hyperlinks>
  <pageMargins left="0.7" right="0.7" top="0.75" bottom="0.75" header="0.3" footer="0.3"/>
  <pageSetup orientation="portrait"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1024"/>
  <sheetViews>
    <sheetView workbookViewId="0">
      <selection activeCell="A11" sqref="A11"/>
    </sheetView>
  </sheetViews>
  <sheetFormatPr defaultRowHeight="15" x14ac:dyDescent="0.25"/>
  <cols>
    <col min="1" max="1" width="23.140625" bestFit="1" customWidth="1"/>
    <col min="3" max="3" width="23.5703125" bestFit="1" customWidth="1"/>
  </cols>
  <sheetData>
    <row r="1" spans="1:3" x14ac:dyDescent="0.25">
      <c r="A1" t="s">
        <v>20626</v>
      </c>
      <c r="C1" s="65" t="s">
        <v>20627</v>
      </c>
    </row>
    <row r="2" spans="1:3" x14ac:dyDescent="0.25">
      <c r="A2" s="64" t="s">
        <v>20628</v>
      </c>
      <c r="C2" s="179" t="s">
        <v>20628</v>
      </c>
    </row>
    <row r="3" spans="1:3" x14ac:dyDescent="0.25">
      <c r="A3" s="64" t="s">
        <v>20629</v>
      </c>
      <c r="C3" s="179" t="s">
        <v>20629</v>
      </c>
    </row>
    <row r="4" spans="1:3" x14ac:dyDescent="0.25">
      <c r="A4" s="64" t="s">
        <v>20630</v>
      </c>
      <c r="C4" s="371" t="s">
        <v>20635</v>
      </c>
    </row>
    <row r="5" spans="1:3" x14ac:dyDescent="0.25">
      <c r="A5" s="64" t="s">
        <v>20631</v>
      </c>
      <c r="C5" s="180"/>
    </row>
    <row r="6" spans="1:3" x14ac:dyDescent="0.25">
      <c r="A6" s="64" t="s">
        <v>20632</v>
      </c>
      <c r="C6" s="180"/>
    </row>
    <row r="7" spans="1:3" x14ac:dyDescent="0.25">
      <c r="A7" s="64" t="s">
        <v>20633</v>
      </c>
      <c r="C7" s="180"/>
    </row>
    <row r="8" spans="1:3" x14ac:dyDescent="0.25">
      <c r="A8" s="64" t="s">
        <v>20634</v>
      </c>
      <c r="C8" s="180"/>
    </row>
    <row r="9" spans="1:3" x14ac:dyDescent="0.25">
      <c r="A9" s="64" t="s">
        <v>18982</v>
      </c>
      <c r="C9" s="180"/>
    </row>
    <row r="10" spans="1:3" x14ac:dyDescent="0.25">
      <c r="A10" s="64" t="s">
        <v>14418</v>
      </c>
      <c r="C10" s="180"/>
    </row>
    <row r="11" spans="1:3" x14ac:dyDescent="0.25">
      <c r="A11" s="64" t="s">
        <v>20635</v>
      </c>
      <c r="C11" s="180"/>
    </row>
    <row r="12" spans="1:3" x14ac:dyDescent="0.25">
      <c r="A12" s="64"/>
      <c r="C12" s="180"/>
    </row>
    <row r="13" spans="1:3" x14ac:dyDescent="0.25">
      <c r="A13" s="64"/>
      <c r="C13" s="180"/>
    </row>
    <row r="14" spans="1:3" x14ac:dyDescent="0.25">
      <c r="A14" s="64"/>
      <c r="C14" s="180"/>
    </row>
    <row r="15" spans="1:3" x14ac:dyDescent="0.25">
      <c r="A15" s="64"/>
      <c r="C15" s="180"/>
    </row>
    <row r="16" spans="1:3" x14ac:dyDescent="0.25">
      <c r="A16" s="64"/>
      <c r="C16" s="180"/>
    </row>
    <row r="17" spans="1:3" x14ac:dyDescent="0.25">
      <c r="A17" s="64"/>
      <c r="C17" s="180"/>
    </row>
    <row r="18" spans="1:3" x14ac:dyDescent="0.25">
      <c r="A18" s="64"/>
      <c r="C18" s="180"/>
    </row>
    <row r="19" spans="1:3" x14ac:dyDescent="0.25">
      <c r="A19" s="64"/>
      <c r="C19" s="180"/>
    </row>
    <row r="20" spans="1:3" x14ac:dyDescent="0.25">
      <c r="A20" s="64"/>
      <c r="C20" s="180"/>
    </row>
    <row r="21" spans="1:3" x14ac:dyDescent="0.25">
      <c r="A21" s="64"/>
      <c r="C21" s="180"/>
    </row>
    <row r="22" spans="1:3" x14ac:dyDescent="0.25">
      <c r="A22" s="64"/>
      <c r="C22" s="180"/>
    </row>
    <row r="23" spans="1:3" x14ac:dyDescent="0.25">
      <c r="A23" s="180"/>
      <c r="C23" s="180"/>
    </row>
    <row r="24" spans="1:3" x14ac:dyDescent="0.25">
      <c r="A24" s="64"/>
      <c r="C24" s="180"/>
    </row>
    <row r="25" spans="1:3" x14ac:dyDescent="0.25">
      <c r="A25" s="64"/>
      <c r="C25" s="180"/>
    </row>
    <row r="26" spans="1:3" x14ac:dyDescent="0.25">
      <c r="A26" s="64"/>
      <c r="C26" s="180"/>
    </row>
    <row r="27" spans="1:3" x14ac:dyDescent="0.25">
      <c r="A27" s="64"/>
      <c r="C27" s="181"/>
    </row>
    <row r="28" spans="1:3" x14ac:dyDescent="0.25">
      <c r="A28" s="64"/>
      <c r="C28" s="53"/>
    </row>
    <row r="29" spans="1:3" x14ac:dyDescent="0.25">
      <c r="A29" s="64"/>
    </row>
    <row r="30" spans="1:3" x14ac:dyDescent="0.25">
      <c r="A30" s="64"/>
    </row>
    <row r="288" spans="5:5" x14ac:dyDescent="0.25">
      <c r="E288" t="s">
        <v>121</v>
      </c>
    </row>
    <row r="289" spans="5:5" x14ac:dyDescent="0.25">
      <c r="E289" t="s">
        <v>122</v>
      </c>
    </row>
    <row r="290" spans="5:5" x14ac:dyDescent="0.25">
      <c r="E290" t="s">
        <v>123</v>
      </c>
    </row>
    <row r="291" spans="5:5" x14ac:dyDescent="0.25">
      <c r="E291" t="s">
        <v>124</v>
      </c>
    </row>
    <row r="292" spans="5:5" x14ac:dyDescent="0.25">
      <c r="E292" t="s">
        <v>125</v>
      </c>
    </row>
    <row r="293" spans="5:5" x14ac:dyDescent="0.25">
      <c r="E293" t="s">
        <v>126</v>
      </c>
    </row>
    <row r="300" spans="5:5" x14ac:dyDescent="0.25">
      <c r="E300" t="s">
        <v>127</v>
      </c>
    </row>
    <row r="302" spans="5:5" x14ac:dyDescent="0.25">
      <c r="E302" t="s">
        <v>128</v>
      </c>
    </row>
    <row r="303" spans="5:5" x14ac:dyDescent="0.25">
      <c r="E303" t="s">
        <v>129</v>
      </c>
    </row>
    <row r="304" spans="5:5" x14ac:dyDescent="0.25">
      <c r="E304" t="s">
        <v>130</v>
      </c>
    </row>
    <row r="305" spans="5:5" x14ac:dyDescent="0.25">
      <c r="E305" t="s">
        <v>131</v>
      </c>
    </row>
    <row r="306" spans="5:5" x14ac:dyDescent="0.25">
      <c r="E306" t="s">
        <v>132</v>
      </c>
    </row>
    <row r="307" spans="5:5" x14ac:dyDescent="0.25">
      <c r="E307" t="s">
        <v>133</v>
      </c>
    </row>
    <row r="308" spans="5:5" x14ac:dyDescent="0.25">
      <c r="E308" t="s">
        <v>134</v>
      </c>
    </row>
    <row r="309" spans="5:5" x14ac:dyDescent="0.25">
      <c r="E309" t="s">
        <v>135</v>
      </c>
    </row>
    <row r="310" spans="5:5" x14ac:dyDescent="0.25">
      <c r="E310" t="s">
        <v>136</v>
      </c>
    </row>
    <row r="314" spans="5:5" x14ac:dyDescent="0.25">
      <c r="E314" t="s">
        <v>137</v>
      </c>
    </row>
    <row r="316" spans="5:5" x14ac:dyDescent="0.25">
      <c r="E316" t="s">
        <v>138</v>
      </c>
    </row>
    <row r="317" spans="5:5" x14ac:dyDescent="0.25">
      <c r="E317" t="s">
        <v>139</v>
      </c>
    </row>
    <row r="318" spans="5:5" x14ac:dyDescent="0.25">
      <c r="E318" t="s">
        <v>140</v>
      </c>
    </row>
    <row r="319" spans="5:5" x14ac:dyDescent="0.25">
      <c r="E319" t="s">
        <v>141</v>
      </c>
    </row>
    <row r="320" spans="5:5" x14ac:dyDescent="0.25">
      <c r="E320" t="s">
        <v>142</v>
      </c>
    </row>
    <row r="321" spans="5:5" x14ac:dyDescent="0.25">
      <c r="E321" t="s">
        <v>143</v>
      </c>
    </row>
    <row r="322" spans="5:5" x14ac:dyDescent="0.25">
      <c r="E322" t="s">
        <v>144</v>
      </c>
    </row>
    <row r="323" spans="5:5" x14ac:dyDescent="0.25">
      <c r="E323" t="s">
        <v>145</v>
      </c>
    </row>
    <row r="324" spans="5:5" x14ac:dyDescent="0.25">
      <c r="E324" t="s">
        <v>146</v>
      </c>
    </row>
    <row r="325" spans="5:5" x14ac:dyDescent="0.25">
      <c r="E325" t="s">
        <v>147</v>
      </c>
    </row>
    <row r="326" spans="5:5" x14ac:dyDescent="0.25">
      <c r="E326" t="s">
        <v>148</v>
      </c>
    </row>
    <row r="327" spans="5:5" x14ac:dyDescent="0.25">
      <c r="E327" t="s">
        <v>149</v>
      </c>
    </row>
    <row r="328" spans="5:5" x14ac:dyDescent="0.25">
      <c r="E328" t="s">
        <v>150</v>
      </c>
    </row>
    <row r="329" spans="5:5" x14ac:dyDescent="0.25">
      <c r="E329" t="s">
        <v>151</v>
      </c>
    </row>
    <row r="330" spans="5:5" x14ac:dyDescent="0.25">
      <c r="E330" t="s">
        <v>152</v>
      </c>
    </row>
    <row r="331" spans="5:5" x14ac:dyDescent="0.25">
      <c r="E331" t="s">
        <v>153</v>
      </c>
    </row>
    <row r="332" spans="5:5" x14ac:dyDescent="0.25">
      <c r="E332" t="s">
        <v>154</v>
      </c>
    </row>
    <row r="333" spans="5:5" x14ac:dyDescent="0.25">
      <c r="E333" t="s">
        <v>155</v>
      </c>
    </row>
    <row r="334" spans="5:5" x14ac:dyDescent="0.25">
      <c r="E334" t="s">
        <v>156</v>
      </c>
    </row>
    <row r="335" spans="5:5" x14ac:dyDescent="0.25">
      <c r="E335" t="s">
        <v>157</v>
      </c>
    </row>
    <row r="336" spans="5:5" x14ac:dyDescent="0.25">
      <c r="E336" t="s">
        <v>158</v>
      </c>
    </row>
    <row r="337" spans="5:5" x14ac:dyDescent="0.25">
      <c r="E337" t="s">
        <v>159</v>
      </c>
    </row>
    <row r="338" spans="5:5" x14ac:dyDescent="0.25">
      <c r="E338" t="s">
        <v>160</v>
      </c>
    </row>
    <row r="339" spans="5:5" x14ac:dyDescent="0.25">
      <c r="E339" t="s">
        <v>161</v>
      </c>
    </row>
    <row r="340" spans="5:5" x14ac:dyDescent="0.25">
      <c r="E340" t="s">
        <v>162</v>
      </c>
    </row>
    <row r="341" spans="5:5" x14ac:dyDescent="0.25">
      <c r="E341" t="s">
        <v>163</v>
      </c>
    </row>
    <row r="342" spans="5:5" x14ac:dyDescent="0.25">
      <c r="E342" t="s">
        <v>164</v>
      </c>
    </row>
    <row r="343" spans="5:5" x14ac:dyDescent="0.25">
      <c r="E343" t="s">
        <v>165</v>
      </c>
    </row>
    <row r="344" spans="5:5" x14ac:dyDescent="0.25">
      <c r="E344" t="s">
        <v>166</v>
      </c>
    </row>
    <row r="345" spans="5:5" x14ac:dyDescent="0.25">
      <c r="E345" t="s">
        <v>167</v>
      </c>
    </row>
    <row r="346" spans="5:5" x14ac:dyDescent="0.25">
      <c r="E346" t="s">
        <v>168</v>
      </c>
    </row>
    <row r="347" spans="5:5" x14ac:dyDescent="0.25">
      <c r="E347" t="s">
        <v>169</v>
      </c>
    </row>
    <row r="348" spans="5:5" x14ac:dyDescent="0.25">
      <c r="E348" t="s">
        <v>170</v>
      </c>
    </row>
    <row r="349" spans="5:5" x14ac:dyDescent="0.25">
      <c r="E349" t="s">
        <v>171</v>
      </c>
    </row>
    <row r="351" spans="5:5" x14ac:dyDescent="0.25">
      <c r="E351" t="s">
        <v>172</v>
      </c>
    </row>
    <row r="352" spans="5:5" x14ac:dyDescent="0.25">
      <c r="E352" t="s">
        <v>173</v>
      </c>
    </row>
    <row r="353" spans="5:5" x14ac:dyDescent="0.25">
      <c r="E353" t="s">
        <v>174</v>
      </c>
    </row>
    <row r="354" spans="5:5" x14ac:dyDescent="0.25">
      <c r="E354" t="s">
        <v>175</v>
      </c>
    </row>
    <row r="355" spans="5:5" x14ac:dyDescent="0.25">
      <c r="E355" t="s">
        <v>176</v>
      </c>
    </row>
    <row r="356" spans="5:5" x14ac:dyDescent="0.25">
      <c r="E356" t="s">
        <v>177</v>
      </c>
    </row>
    <row r="357" spans="5:5" x14ac:dyDescent="0.25">
      <c r="E357" t="s">
        <v>178</v>
      </c>
    </row>
    <row r="358" spans="5:5" x14ac:dyDescent="0.25">
      <c r="E358" t="s">
        <v>179</v>
      </c>
    </row>
    <row r="359" spans="5:5" x14ac:dyDescent="0.25">
      <c r="E359" t="s">
        <v>180</v>
      </c>
    </row>
    <row r="360" spans="5:5" x14ac:dyDescent="0.25">
      <c r="E360" t="s">
        <v>181</v>
      </c>
    </row>
    <row r="361" spans="5:5" x14ac:dyDescent="0.25">
      <c r="E361" t="s">
        <v>182</v>
      </c>
    </row>
    <row r="362" spans="5:5" x14ac:dyDescent="0.25">
      <c r="E362" t="s">
        <v>183</v>
      </c>
    </row>
    <row r="363" spans="5:5" x14ac:dyDescent="0.25">
      <c r="E363" t="s">
        <v>184</v>
      </c>
    </row>
    <row r="364" spans="5:5" x14ac:dyDescent="0.25">
      <c r="E364" t="s">
        <v>185</v>
      </c>
    </row>
    <row r="365" spans="5:5" x14ac:dyDescent="0.25">
      <c r="E365" t="s">
        <v>186</v>
      </c>
    </row>
    <row r="366" spans="5:5" x14ac:dyDescent="0.25">
      <c r="E366" t="s">
        <v>187</v>
      </c>
    </row>
    <row r="367" spans="5:5" x14ac:dyDescent="0.25">
      <c r="E367" t="s">
        <v>188</v>
      </c>
    </row>
    <row r="368" spans="5:5" x14ac:dyDescent="0.25">
      <c r="E368" t="s">
        <v>189</v>
      </c>
    </row>
    <row r="369" spans="5:5" x14ac:dyDescent="0.25">
      <c r="E369" t="s">
        <v>190</v>
      </c>
    </row>
    <row r="370" spans="5:5" x14ac:dyDescent="0.25">
      <c r="E370" t="s">
        <v>191</v>
      </c>
    </row>
    <row r="371" spans="5:5" x14ac:dyDescent="0.25">
      <c r="E371" t="s">
        <v>192</v>
      </c>
    </row>
    <row r="372" spans="5:5" x14ac:dyDescent="0.25">
      <c r="E372" t="s">
        <v>193</v>
      </c>
    </row>
    <row r="373" spans="5:5" x14ac:dyDescent="0.25">
      <c r="E373" t="s">
        <v>194</v>
      </c>
    </row>
    <row r="374" spans="5:5" x14ac:dyDescent="0.25">
      <c r="E374" t="s">
        <v>195</v>
      </c>
    </row>
    <row r="375" spans="5:5" x14ac:dyDescent="0.25">
      <c r="E375" t="s">
        <v>196</v>
      </c>
    </row>
    <row r="376" spans="5:5" x14ac:dyDescent="0.25">
      <c r="E376" t="s">
        <v>197</v>
      </c>
    </row>
    <row r="377" spans="5:5" x14ac:dyDescent="0.25">
      <c r="E377" t="s">
        <v>198</v>
      </c>
    </row>
    <row r="378" spans="5:5" x14ac:dyDescent="0.25">
      <c r="E378" t="s">
        <v>199</v>
      </c>
    </row>
    <row r="379" spans="5:5" x14ac:dyDescent="0.25">
      <c r="E379" t="s">
        <v>200</v>
      </c>
    </row>
    <row r="380" spans="5:5" x14ac:dyDescent="0.25">
      <c r="E380" t="s">
        <v>201</v>
      </c>
    </row>
    <row r="381" spans="5:5" x14ac:dyDescent="0.25">
      <c r="E381" t="s">
        <v>202</v>
      </c>
    </row>
    <row r="382" spans="5:5" x14ac:dyDescent="0.25">
      <c r="E382" t="s">
        <v>203</v>
      </c>
    </row>
    <row r="383" spans="5:5" x14ac:dyDescent="0.25">
      <c r="E383" t="s">
        <v>204</v>
      </c>
    </row>
    <row r="384" spans="5:5" x14ac:dyDescent="0.25">
      <c r="E384" t="s">
        <v>205</v>
      </c>
    </row>
    <row r="385" spans="5:5" x14ac:dyDescent="0.25">
      <c r="E385" t="s">
        <v>206</v>
      </c>
    </row>
    <row r="386" spans="5:5" x14ac:dyDescent="0.25">
      <c r="E386" t="s">
        <v>207</v>
      </c>
    </row>
    <row r="387" spans="5:5" x14ac:dyDescent="0.25">
      <c r="E387" t="s">
        <v>208</v>
      </c>
    </row>
    <row r="388" spans="5:5" x14ac:dyDescent="0.25">
      <c r="E388" t="s">
        <v>209</v>
      </c>
    </row>
    <row r="389" spans="5:5" x14ac:dyDescent="0.25">
      <c r="E389" t="s">
        <v>210</v>
      </c>
    </row>
    <row r="390" spans="5:5" x14ac:dyDescent="0.25">
      <c r="E390" t="s">
        <v>211</v>
      </c>
    </row>
    <row r="391" spans="5:5" x14ac:dyDescent="0.25">
      <c r="E391" t="s">
        <v>212</v>
      </c>
    </row>
    <row r="392" spans="5:5" x14ac:dyDescent="0.25">
      <c r="E392" t="s">
        <v>213</v>
      </c>
    </row>
    <row r="393" spans="5:5" x14ac:dyDescent="0.25">
      <c r="E393" t="s">
        <v>214</v>
      </c>
    </row>
    <row r="394" spans="5:5" x14ac:dyDescent="0.25">
      <c r="E394" t="s">
        <v>215</v>
      </c>
    </row>
    <row r="395" spans="5:5" x14ac:dyDescent="0.25">
      <c r="E395" t="s">
        <v>216</v>
      </c>
    </row>
    <row r="396" spans="5:5" x14ac:dyDescent="0.25">
      <c r="E396" t="s">
        <v>217</v>
      </c>
    </row>
    <row r="397" spans="5:5" x14ac:dyDescent="0.25">
      <c r="E397" t="s">
        <v>218</v>
      </c>
    </row>
    <row r="398" spans="5:5" x14ac:dyDescent="0.25">
      <c r="E398" t="s">
        <v>219</v>
      </c>
    </row>
    <row r="399" spans="5:5" x14ac:dyDescent="0.25">
      <c r="E399" t="s">
        <v>220</v>
      </c>
    </row>
    <row r="400" spans="5:5" x14ac:dyDescent="0.25">
      <c r="E400" t="s">
        <v>221</v>
      </c>
    </row>
    <row r="401" spans="5:5" x14ac:dyDescent="0.25">
      <c r="E401" t="s">
        <v>222</v>
      </c>
    </row>
    <row r="402" spans="5:5" x14ac:dyDescent="0.25">
      <c r="E402" t="s">
        <v>223</v>
      </c>
    </row>
    <row r="403" spans="5:5" x14ac:dyDescent="0.25">
      <c r="E403" t="s">
        <v>224</v>
      </c>
    </row>
    <row r="404" spans="5:5" x14ac:dyDescent="0.25">
      <c r="E404" t="s">
        <v>225</v>
      </c>
    </row>
    <row r="405" spans="5:5" x14ac:dyDescent="0.25">
      <c r="E405" t="s">
        <v>226</v>
      </c>
    </row>
    <row r="406" spans="5:5" x14ac:dyDescent="0.25">
      <c r="E406" t="s">
        <v>227</v>
      </c>
    </row>
    <row r="407" spans="5:5" x14ac:dyDescent="0.25">
      <c r="E407" t="s">
        <v>228</v>
      </c>
    </row>
    <row r="408" spans="5:5" x14ac:dyDescent="0.25">
      <c r="E408" t="s">
        <v>229</v>
      </c>
    </row>
    <row r="409" spans="5:5" x14ac:dyDescent="0.25">
      <c r="E409" t="s">
        <v>230</v>
      </c>
    </row>
    <row r="410" spans="5:5" x14ac:dyDescent="0.25">
      <c r="E410" t="s">
        <v>231</v>
      </c>
    </row>
    <row r="411" spans="5:5" x14ac:dyDescent="0.25">
      <c r="E411" t="s">
        <v>232</v>
      </c>
    </row>
    <row r="412" spans="5:5" x14ac:dyDescent="0.25">
      <c r="E412" t="s">
        <v>233</v>
      </c>
    </row>
    <row r="413" spans="5:5" x14ac:dyDescent="0.25">
      <c r="E413" t="s">
        <v>234</v>
      </c>
    </row>
    <row r="414" spans="5:5" x14ac:dyDescent="0.25">
      <c r="E414" t="s">
        <v>235</v>
      </c>
    </row>
    <row r="415" spans="5:5" x14ac:dyDescent="0.25">
      <c r="E415" t="s">
        <v>236</v>
      </c>
    </row>
    <row r="416" spans="5:5" x14ac:dyDescent="0.25">
      <c r="E416" t="s">
        <v>237</v>
      </c>
    </row>
    <row r="417" spans="5:5" x14ac:dyDescent="0.25">
      <c r="E417" t="s">
        <v>238</v>
      </c>
    </row>
    <row r="418" spans="5:5" x14ac:dyDescent="0.25">
      <c r="E418" t="s">
        <v>239</v>
      </c>
    </row>
    <row r="419" spans="5:5" x14ac:dyDescent="0.25">
      <c r="E419" t="s">
        <v>240</v>
      </c>
    </row>
    <row r="421" spans="5:5" x14ac:dyDescent="0.25">
      <c r="E421" t="s">
        <v>241</v>
      </c>
    </row>
    <row r="422" spans="5:5" x14ac:dyDescent="0.25">
      <c r="E422" t="s">
        <v>242</v>
      </c>
    </row>
    <row r="423" spans="5:5" x14ac:dyDescent="0.25">
      <c r="E423" t="s">
        <v>243</v>
      </c>
    </row>
    <row r="424" spans="5:5" x14ac:dyDescent="0.25">
      <c r="E424" t="s">
        <v>244</v>
      </c>
    </row>
    <row r="425" spans="5:5" x14ac:dyDescent="0.25">
      <c r="E425" t="s">
        <v>245</v>
      </c>
    </row>
    <row r="426" spans="5:5" x14ac:dyDescent="0.25">
      <c r="E426" t="s">
        <v>246</v>
      </c>
    </row>
    <row r="427" spans="5:5" x14ac:dyDescent="0.25">
      <c r="E427" t="s">
        <v>247</v>
      </c>
    </row>
    <row r="428" spans="5:5" x14ac:dyDescent="0.25">
      <c r="E428" t="s">
        <v>248</v>
      </c>
    </row>
    <row r="429" spans="5:5" x14ac:dyDescent="0.25">
      <c r="E429" t="s">
        <v>249</v>
      </c>
    </row>
    <row r="430" spans="5:5" x14ac:dyDescent="0.25">
      <c r="E430" t="s">
        <v>250</v>
      </c>
    </row>
    <row r="431" spans="5:5" x14ac:dyDescent="0.25">
      <c r="E431" t="s">
        <v>251</v>
      </c>
    </row>
    <row r="432" spans="5:5" x14ac:dyDescent="0.25">
      <c r="E432" t="s">
        <v>252</v>
      </c>
    </row>
    <row r="433" spans="5:5" x14ac:dyDescent="0.25">
      <c r="E433" t="s">
        <v>253</v>
      </c>
    </row>
    <row r="434" spans="5:5" x14ac:dyDescent="0.25">
      <c r="E434" t="s">
        <v>254</v>
      </c>
    </row>
    <row r="435" spans="5:5" x14ac:dyDescent="0.25">
      <c r="E435" t="s">
        <v>255</v>
      </c>
    </row>
    <row r="436" spans="5:5" x14ac:dyDescent="0.25">
      <c r="E436" t="s">
        <v>256</v>
      </c>
    </row>
    <row r="437" spans="5:5" x14ac:dyDescent="0.25">
      <c r="E437" t="s">
        <v>257</v>
      </c>
    </row>
    <row r="438" spans="5:5" x14ac:dyDescent="0.25">
      <c r="E438" t="s">
        <v>258</v>
      </c>
    </row>
    <row r="439" spans="5:5" x14ac:dyDescent="0.25">
      <c r="E439" t="s">
        <v>259</v>
      </c>
    </row>
    <row r="440" spans="5:5" x14ac:dyDescent="0.25">
      <c r="E440" t="s">
        <v>260</v>
      </c>
    </row>
    <row r="441" spans="5:5" x14ac:dyDescent="0.25">
      <c r="E441" t="s">
        <v>261</v>
      </c>
    </row>
    <row r="442" spans="5:5" x14ac:dyDescent="0.25">
      <c r="E442" t="s">
        <v>262</v>
      </c>
    </row>
    <row r="443" spans="5:5" x14ac:dyDescent="0.25">
      <c r="E443" t="s">
        <v>263</v>
      </c>
    </row>
    <row r="444" spans="5:5" x14ac:dyDescent="0.25">
      <c r="E444" t="s">
        <v>264</v>
      </c>
    </row>
    <row r="445" spans="5:5" x14ac:dyDescent="0.25">
      <c r="E445" t="s">
        <v>265</v>
      </c>
    </row>
    <row r="446" spans="5:5" x14ac:dyDescent="0.25">
      <c r="E446" t="s">
        <v>266</v>
      </c>
    </row>
    <row r="447" spans="5:5" x14ac:dyDescent="0.25">
      <c r="E447" t="s">
        <v>267</v>
      </c>
    </row>
    <row r="448" spans="5:5" x14ac:dyDescent="0.25">
      <c r="E448" t="s">
        <v>268</v>
      </c>
    </row>
    <row r="449" spans="5:5" x14ac:dyDescent="0.25">
      <c r="E449" t="s">
        <v>269</v>
      </c>
    </row>
    <row r="450" spans="5:5" x14ac:dyDescent="0.25">
      <c r="E450" t="s">
        <v>270</v>
      </c>
    </row>
    <row r="451" spans="5:5" x14ac:dyDescent="0.25">
      <c r="E451" t="s">
        <v>271</v>
      </c>
    </row>
    <row r="452" spans="5:5" x14ac:dyDescent="0.25">
      <c r="E452" t="s">
        <v>272</v>
      </c>
    </row>
    <row r="453" spans="5:5" x14ac:dyDescent="0.25">
      <c r="E453" t="s">
        <v>273</v>
      </c>
    </row>
    <row r="454" spans="5:5" x14ac:dyDescent="0.25">
      <c r="E454" t="s">
        <v>274</v>
      </c>
    </row>
    <row r="455" spans="5:5" x14ac:dyDescent="0.25">
      <c r="E455" t="s">
        <v>275</v>
      </c>
    </row>
    <row r="456" spans="5:5" x14ac:dyDescent="0.25">
      <c r="E456" t="s">
        <v>276</v>
      </c>
    </row>
    <row r="457" spans="5:5" x14ac:dyDescent="0.25">
      <c r="E457" t="s">
        <v>277</v>
      </c>
    </row>
    <row r="458" spans="5:5" x14ac:dyDescent="0.25">
      <c r="E458" t="s">
        <v>278</v>
      </c>
    </row>
    <row r="459" spans="5:5" x14ac:dyDescent="0.25">
      <c r="E459" t="s">
        <v>279</v>
      </c>
    </row>
    <row r="460" spans="5:5" x14ac:dyDescent="0.25">
      <c r="E460" t="s">
        <v>280</v>
      </c>
    </row>
    <row r="461" spans="5:5" x14ac:dyDescent="0.25">
      <c r="E461" t="s">
        <v>281</v>
      </c>
    </row>
    <row r="462" spans="5:5" x14ac:dyDescent="0.25">
      <c r="E462" t="s">
        <v>282</v>
      </c>
    </row>
    <row r="463" spans="5:5" x14ac:dyDescent="0.25">
      <c r="E463" t="s">
        <v>283</v>
      </c>
    </row>
    <row r="464" spans="5:5" x14ac:dyDescent="0.25">
      <c r="E464" t="s">
        <v>284</v>
      </c>
    </row>
    <row r="465" spans="5:5" x14ac:dyDescent="0.25">
      <c r="E465" t="s">
        <v>285</v>
      </c>
    </row>
    <row r="466" spans="5:5" x14ac:dyDescent="0.25">
      <c r="E466" t="s">
        <v>286</v>
      </c>
    </row>
    <row r="467" spans="5:5" x14ac:dyDescent="0.25">
      <c r="E467" t="s">
        <v>287</v>
      </c>
    </row>
    <row r="468" spans="5:5" x14ac:dyDescent="0.25">
      <c r="E468" t="s">
        <v>288</v>
      </c>
    </row>
    <row r="469" spans="5:5" x14ac:dyDescent="0.25">
      <c r="E469" t="s">
        <v>289</v>
      </c>
    </row>
    <row r="470" spans="5:5" x14ac:dyDescent="0.25">
      <c r="E470" t="s">
        <v>290</v>
      </c>
    </row>
    <row r="471" spans="5:5" x14ac:dyDescent="0.25">
      <c r="E471" t="s">
        <v>291</v>
      </c>
    </row>
    <row r="472" spans="5:5" x14ac:dyDescent="0.25">
      <c r="E472" t="s">
        <v>292</v>
      </c>
    </row>
    <row r="473" spans="5:5" x14ac:dyDescent="0.25">
      <c r="E473" t="s">
        <v>293</v>
      </c>
    </row>
    <row r="474" spans="5:5" x14ac:dyDescent="0.25">
      <c r="E474" t="s">
        <v>294</v>
      </c>
    </row>
    <row r="475" spans="5:5" x14ac:dyDescent="0.25">
      <c r="E475" t="s">
        <v>295</v>
      </c>
    </row>
    <row r="476" spans="5:5" x14ac:dyDescent="0.25">
      <c r="E476" t="s">
        <v>296</v>
      </c>
    </row>
    <row r="477" spans="5:5" x14ac:dyDescent="0.25">
      <c r="E477" t="s">
        <v>297</v>
      </c>
    </row>
    <row r="478" spans="5:5" x14ac:dyDescent="0.25">
      <c r="E478" t="s">
        <v>298</v>
      </c>
    </row>
    <row r="479" spans="5:5" x14ac:dyDescent="0.25">
      <c r="E479" t="s">
        <v>299</v>
      </c>
    </row>
    <row r="480" spans="5:5" x14ac:dyDescent="0.25">
      <c r="E480" t="s">
        <v>300</v>
      </c>
    </row>
    <row r="481" spans="5:5" x14ac:dyDescent="0.25">
      <c r="E481" t="s">
        <v>301</v>
      </c>
    </row>
    <row r="482" spans="5:5" x14ac:dyDescent="0.25">
      <c r="E482" t="s">
        <v>302</v>
      </c>
    </row>
    <row r="483" spans="5:5" x14ac:dyDescent="0.25">
      <c r="E483" t="s">
        <v>303</v>
      </c>
    </row>
    <row r="484" spans="5:5" x14ac:dyDescent="0.25">
      <c r="E484" t="s">
        <v>304</v>
      </c>
    </row>
    <row r="485" spans="5:5" x14ac:dyDescent="0.25">
      <c r="E485" t="s">
        <v>305</v>
      </c>
    </row>
    <row r="486" spans="5:5" x14ac:dyDescent="0.25">
      <c r="E486" t="s">
        <v>306</v>
      </c>
    </row>
    <row r="487" spans="5:5" x14ac:dyDescent="0.25">
      <c r="E487" t="s">
        <v>307</v>
      </c>
    </row>
    <row r="488" spans="5:5" x14ac:dyDescent="0.25">
      <c r="E488" t="s">
        <v>308</v>
      </c>
    </row>
    <row r="489" spans="5:5" x14ac:dyDescent="0.25">
      <c r="E489" t="s">
        <v>309</v>
      </c>
    </row>
    <row r="490" spans="5:5" x14ac:dyDescent="0.25">
      <c r="E490" t="s">
        <v>310</v>
      </c>
    </row>
    <row r="491" spans="5:5" x14ac:dyDescent="0.25">
      <c r="E491" t="s">
        <v>311</v>
      </c>
    </row>
    <row r="492" spans="5:5" x14ac:dyDescent="0.25">
      <c r="E492" t="s">
        <v>312</v>
      </c>
    </row>
    <row r="493" spans="5:5" x14ac:dyDescent="0.25">
      <c r="E493" t="s">
        <v>313</v>
      </c>
    </row>
    <row r="494" spans="5:5" x14ac:dyDescent="0.25">
      <c r="E494" t="s">
        <v>314</v>
      </c>
    </row>
    <row r="495" spans="5:5" x14ac:dyDescent="0.25">
      <c r="E495" t="s">
        <v>315</v>
      </c>
    </row>
    <row r="496" spans="5:5" x14ac:dyDescent="0.25">
      <c r="E496" t="s">
        <v>316</v>
      </c>
    </row>
    <row r="497" spans="5:5" x14ac:dyDescent="0.25">
      <c r="E497" t="s">
        <v>317</v>
      </c>
    </row>
    <row r="498" spans="5:5" x14ac:dyDescent="0.25">
      <c r="E498" t="s">
        <v>318</v>
      </c>
    </row>
    <row r="499" spans="5:5" x14ac:dyDescent="0.25">
      <c r="E499" t="s">
        <v>319</v>
      </c>
    </row>
    <row r="500" spans="5:5" x14ac:dyDescent="0.25">
      <c r="E500" t="s">
        <v>320</v>
      </c>
    </row>
    <row r="501" spans="5:5" x14ac:dyDescent="0.25">
      <c r="E501" t="s">
        <v>321</v>
      </c>
    </row>
    <row r="502" spans="5:5" x14ac:dyDescent="0.25">
      <c r="E502" t="s">
        <v>322</v>
      </c>
    </row>
    <row r="503" spans="5:5" x14ac:dyDescent="0.25">
      <c r="E503" t="s">
        <v>323</v>
      </c>
    </row>
    <row r="504" spans="5:5" x14ac:dyDescent="0.25">
      <c r="E504" t="s">
        <v>324</v>
      </c>
    </row>
    <row r="505" spans="5:5" x14ac:dyDescent="0.25">
      <c r="E505" t="s">
        <v>325</v>
      </c>
    </row>
    <row r="506" spans="5:5" x14ac:dyDescent="0.25">
      <c r="E506" t="s">
        <v>326</v>
      </c>
    </row>
    <row r="507" spans="5:5" x14ac:dyDescent="0.25">
      <c r="E507" t="s">
        <v>327</v>
      </c>
    </row>
    <row r="508" spans="5:5" x14ac:dyDescent="0.25">
      <c r="E508" t="s">
        <v>328</v>
      </c>
    </row>
    <row r="509" spans="5:5" x14ac:dyDescent="0.25">
      <c r="E509" t="s">
        <v>329</v>
      </c>
    </row>
    <row r="510" spans="5:5" x14ac:dyDescent="0.25">
      <c r="E510" t="s">
        <v>330</v>
      </c>
    </row>
    <row r="511" spans="5:5" x14ac:dyDescent="0.25">
      <c r="E511" t="s">
        <v>331</v>
      </c>
    </row>
    <row r="512" spans="5:5" x14ac:dyDescent="0.25">
      <c r="E512" t="s">
        <v>332</v>
      </c>
    </row>
    <row r="513" spans="5:5" x14ac:dyDescent="0.25">
      <c r="E513" t="s">
        <v>333</v>
      </c>
    </row>
    <row r="514" spans="5:5" x14ac:dyDescent="0.25">
      <c r="E514" t="s">
        <v>334</v>
      </c>
    </row>
    <row r="515" spans="5:5" x14ac:dyDescent="0.25">
      <c r="E515" t="s">
        <v>335</v>
      </c>
    </row>
    <row r="516" spans="5:5" x14ac:dyDescent="0.25">
      <c r="E516" t="s">
        <v>336</v>
      </c>
    </row>
    <row r="517" spans="5:5" x14ac:dyDescent="0.25">
      <c r="E517" t="s">
        <v>337</v>
      </c>
    </row>
    <row r="518" spans="5:5" x14ac:dyDescent="0.25">
      <c r="E518" t="s">
        <v>338</v>
      </c>
    </row>
    <row r="519" spans="5:5" x14ac:dyDescent="0.25">
      <c r="E519" t="s">
        <v>339</v>
      </c>
    </row>
    <row r="520" spans="5:5" x14ac:dyDescent="0.25">
      <c r="E520" t="s">
        <v>340</v>
      </c>
    </row>
    <row r="521" spans="5:5" x14ac:dyDescent="0.25">
      <c r="E521" t="s">
        <v>341</v>
      </c>
    </row>
    <row r="522" spans="5:5" x14ac:dyDescent="0.25">
      <c r="E522" t="s">
        <v>342</v>
      </c>
    </row>
    <row r="523" spans="5:5" x14ac:dyDescent="0.25">
      <c r="E523" t="s">
        <v>343</v>
      </c>
    </row>
    <row r="524" spans="5:5" x14ac:dyDescent="0.25">
      <c r="E524" t="s">
        <v>344</v>
      </c>
    </row>
    <row r="525" spans="5:5" x14ac:dyDescent="0.25">
      <c r="E525" t="s">
        <v>345</v>
      </c>
    </row>
    <row r="526" spans="5:5" x14ac:dyDescent="0.25">
      <c r="E526" t="s">
        <v>346</v>
      </c>
    </row>
    <row r="527" spans="5:5" x14ac:dyDescent="0.25">
      <c r="E527" t="s">
        <v>347</v>
      </c>
    </row>
    <row r="528" spans="5:5" x14ac:dyDescent="0.25">
      <c r="E528" t="s">
        <v>348</v>
      </c>
    </row>
    <row r="529" spans="5:5" x14ac:dyDescent="0.25">
      <c r="E529" t="s">
        <v>349</v>
      </c>
    </row>
    <row r="530" spans="5:5" x14ac:dyDescent="0.25">
      <c r="E530" t="s">
        <v>350</v>
      </c>
    </row>
    <row r="531" spans="5:5" x14ac:dyDescent="0.25">
      <c r="E531" t="s">
        <v>351</v>
      </c>
    </row>
    <row r="532" spans="5:5" x14ac:dyDescent="0.25">
      <c r="E532" t="s">
        <v>352</v>
      </c>
    </row>
    <row r="533" spans="5:5" x14ac:dyDescent="0.25">
      <c r="E533" t="s">
        <v>353</v>
      </c>
    </row>
    <row r="535" spans="5:5" x14ac:dyDescent="0.25">
      <c r="E535" t="s">
        <v>354</v>
      </c>
    </row>
    <row r="537" spans="5:5" x14ac:dyDescent="0.25">
      <c r="E537" t="s">
        <v>355</v>
      </c>
    </row>
    <row r="538" spans="5:5" x14ac:dyDescent="0.25">
      <c r="E538" t="s">
        <v>356</v>
      </c>
    </row>
    <row r="539" spans="5:5" x14ac:dyDescent="0.25">
      <c r="E539" t="s">
        <v>357</v>
      </c>
    </row>
    <row r="540" spans="5:5" x14ac:dyDescent="0.25">
      <c r="E540" t="s">
        <v>358</v>
      </c>
    </row>
    <row r="541" spans="5:5" x14ac:dyDescent="0.25">
      <c r="E541" t="s">
        <v>359</v>
      </c>
    </row>
    <row r="542" spans="5:5" x14ac:dyDescent="0.25">
      <c r="E542" t="s">
        <v>360</v>
      </c>
    </row>
    <row r="543" spans="5:5" x14ac:dyDescent="0.25">
      <c r="E543" t="s">
        <v>361</v>
      </c>
    </row>
    <row r="544" spans="5:5" x14ac:dyDescent="0.25">
      <c r="E544" t="s">
        <v>362</v>
      </c>
    </row>
    <row r="545" spans="5:5" x14ac:dyDescent="0.25">
      <c r="E545" t="s">
        <v>363</v>
      </c>
    </row>
    <row r="546" spans="5:5" x14ac:dyDescent="0.25">
      <c r="E546" t="s">
        <v>364</v>
      </c>
    </row>
    <row r="547" spans="5:5" x14ac:dyDescent="0.25">
      <c r="E547" t="s">
        <v>365</v>
      </c>
    </row>
    <row r="548" spans="5:5" x14ac:dyDescent="0.25">
      <c r="E548" t="s">
        <v>366</v>
      </c>
    </row>
    <row r="549" spans="5:5" x14ac:dyDescent="0.25">
      <c r="E549" t="s">
        <v>367</v>
      </c>
    </row>
    <row r="550" spans="5:5" x14ac:dyDescent="0.25">
      <c r="E550" t="s">
        <v>368</v>
      </c>
    </row>
    <row r="551" spans="5:5" x14ac:dyDescent="0.25">
      <c r="E551" t="s">
        <v>369</v>
      </c>
    </row>
    <row r="552" spans="5:5" x14ac:dyDescent="0.25">
      <c r="E552" t="s">
        <v>370</v>
      </c>
    </row>
    <row r="553" spans="5:5" x14ac:dyDescent="0.25">
      <c r="E553" t="s">
        <v>371</v>
      </c>
    </row>
    <row r="554" spans="5:5" x14ac:dyDescent="0.25">
      <c r="E554" t="s">
        <v>372</v>
      </c>
    </row>
    <row r="555" spans="5:5" x14ac:dyDescent="0.25">
      <c r="E555" t="s">
        <v>373</v>
      </c>
    </row>
    <row r="556" spans="5:5" x14ac:dyDescent="0.25">
      <c r="E556" t="s">
        <v>374</v>
      </c>
    </row>
    <row r="557" spans="5:5" x14ac:dyDescent="0.25">
      <c r="E557" t="s">
        <v>375</v>
      </c>
    </row>
    <row r="558" spans="5:5" x14ac:dyDescent="0.25">
      <c r="E558" t="s">
        <v>376</v>
      </c>
    </row>
    <row r="559" spans="5:5" x14ac:dyDescent="0.25">
      <c r="E559" t="s">
        <v>377</v>
      </c>
    </row>
    <row r="560" spans="5:5" x14ac:dyDescent="0.25">
      <c r="E560" t="s">
        <v>378</v>
      </c>
    </row>
    <row r="561" spans="5:5" x14ac:dyDescent="0.25">
      <c r="E561" t="s">
        <v>379</v>
      </c>
    </row>
    <row r="562" spans="5:5" x14ac:dyDescent="0.25">
      <c r="E562" t="s">
        <v>380</v>
      </c>
    </row>
    <row r="563" spans="5:5" x14ac:dyDescent="0.25">
      <c r="E563" t="s">
        <v>381</v>
      </c>
    </row>
    <row r="564" spans="5:5" x14ac:dyDescent="0.25">
      <c r="E564" t="s">
        <v>382</v>
      </c>
    </row>
    <row r="565" spans="5:5" x14ac:dyDescent="0.25">
      <c r="E565" t="s">
        <v>383</v>
      </c>
    </row>
    <row r="566" spans="5:5" x14ac:dyDescent="0.25">
      <c r="E566" t="s">
        <v>384</v>
      </c>
    </row>
    <row r="567" spans="5:5" x14ac:dyDescent="0.25">
      <c r="E567" t="s">
        <v>385</v>
      </c>
    </row>
    <row r="568" spans="5:5" x14ac:dyDescent="0.25">
      <c r="E568" t="s">
        <v>386</v>
      </c>
    </row>
    <row r="569" spans="5:5" x14ac:dyDescent="0.25">
      <c r="E569" t="s">
        <v>387</v>
      </c>
    </row>
    <row r="570" spans="5:5" x14ac:dyDescent="0.25">
      <c r="E570" t="s">
        <v>388</v>
      </c>
    </row>
    <row r="571" spans="5:5" x14ac:dyDescent="0.25">
      <c r="E571" t="s">
        <v>389</v>
      </c>
    </row>
    <row r="572" spans="5:5" x14ac:dyDescent="0.25">
      <c r="E572" t="s">
        <v>390</v>
      </c>
    </row>
    <row r="573" spans="5:5" x14ac:dyDescent="0.25">
      <c r="E573" t="s">
        <v>391</v>
      </c>
    </row>
    <row r="574" spans="5:5" x14ac:dyDescent="0.25">
      <c r="E574" t="s">
        <v>392</v>
      </c>
    </row>
    <row r="575" spans="5:5" x14ac:dyDescent="0.25">
      <c r="E575" t="s">
        <v>393</v>
      </c>
    </row>
    <row r="576" spans="5:5" x14ac:dyDescent="0.25">
      <c r="E576" t="s">
        <v>394</v>
      </c>
    </row>
    <row r="577" spans="5:5" x14ac:dyDescent="0.25">
      <c r="E577" t="s">
        <v>395</v>
      </c>
    </row>
    <row r="578" spans="5:5" x14ac:dyDescent="0.25">
      <c r="E578" t="s">
        <v>396</v>
      </c>
    </row>
    <row r="579" spans="5:5" x14ac:dyDescent="0.25">
      <c r="E579" t="s">
        <v>397</v>
      </c>
    </row>
    <row r="580" spans="5:5" x14ac:dyDescent="0.25">
      <c r="E580" t="s">
        <v>398</v>
      </c>
    </row>
    <row r="581" spans="5:5" x14ac:dyDescent="0.25">
      <c r="E581" t="s">
        <v>399</v>
      </c>
    </row>
    <row r="582" spans="5:5" x14ac:dyDescent="0.25">
      <c r="E582" t="s">
        <v>400</v>
      </c>
    </row>
    <row r="583" spans="5:5" x14ac:dyDescent="0.25">
      <c r="E583" t="s">
        <v>401</v>
      </c>
    </row>
    <row r="584" spans="5:5" x14ac:dyDescent="0.25">
      <c r="E584" t="s">
        <v>402</v>
      </c>
    </row>
    <row r="585" spans="5:5" x14ac:dyDescent="0.25">
      <c r="E585" t="s">
        <v>403</v>
      </c>
    </row>
    <row r="586" spans="5:5" x14ac:dyDescent="0.25">
      <c r="E586" t="s">
        <v>404</v>
      </c>
    </row>
    <row r="587" spans="5:5" x14ac:dyDescent="0.25">
      <c r="E587" t="s">
        <v>405</v>
      </c>
    </row>
    <row r="588" spans="5:5" x14ac:dyDescent="0.25">
      <c r="E588" t="s">
        <v>406</v>
      </c>
    </row>
    <row r="589" spans="5:5" x14ac:dyDescent="0.25">
      <c r="E589" t="s">
        <v>407</v>
      </c>
    </row>
    <row r="590" spans="5:5" x14ac:dyDescent="0.25">
      <c r="E590" t="s">
        <v>408</v>
      </c>
    </row>
    <row r="591" spans="5:5" x14ac:dyDescent="0.25">
      <c r="E591" t="s">
        <v>409</v>
      </c>
    </row>
    <row r="592" spans="5:5" x14ac:dyDescent="0.25">
      <c r="E592" t="s">
        <v>410</v>
      </c>
    </row>
    <row r="593" spans="5:5" x14ac:dyDescent="0.25">
      <c r="E593" t="s">
        <v>411</v>
      </c>
    </row>
    <row r="594" spans="5:5" x14ac:dyDescent="0.25">
      <c r="E594" t="s">
        <v>412</v>
      </c>
    </row>
    <row r="595" spans="5:5" x14ac:dyDescent="0.25">
      <c r="E595" t="s">
        <v>413</v>
      </c>
    </row>
    <row r="596" spans="5:5" x14ac:dyDescent="0.25">
      <c r="E596" t="s">
        <v>414</v>
      </c>
    </row>
    <row r="597" spans="5:5" x14ac:dyDescent="0.25">
      <c r="E597" t="s">
        <v>415</v>
      </c>
    </row>
    <row r="598" spans="5:5" x14ac:dyDescent="0.25">
      <c r="E598" t="s">
        <v>416</v>
      </c>
    </row>
    <row r="599" spans="5:5" x14ac:dyDescent="0.25">
      <c r="E599" t="s">
        <v>417</v>
      </c>
    </row>
    <row r="600" spans="5:5" x14ac:dyDescent="0.25">
      <c r="E600" t="s">
        <v>418</v>
      </c>
    </row>
    <row r="601" spans="5:5" x14ac:dyDescent="0.25">
      <c r="E601" t="s">
        <v>419</v>
      </c>
    </row>
    <row r="602" spans="5:5" x14ac:dyDescent="0.25">
      <c r="E602" t="s">
        <v>420</v>
      </c>
    </row>
    <row r="603" spans="5:5" x14ac:dyDescent="0.25">
      <c r="E603" t="s">
        <v>421</v>
      </c>
    </row>
    <row r="604" spans="5:5" x14ac:dyDescent="0.25">
      <c r="E604" t="s">
        <v>422</v>
      </c>
    </row>
    <row r="605" spans="5:5" x14ac:dyDescent="0.25">
      <c r="E605" t="s">
        <v>423</v>
      </c>
    </row>
    <row r="606" spans="5:5" x14ac:dyDescent="0.25">
      <c r="E606" t="s">
        <v>424</v>
      </c>
    </row>
    <row r="607" spans="5:5" x14ac:dyDescent="0.25">
      <c r="E607" t="s">
        <v>425</v>
      </c>
    </row>
    <row r="608" spans="5:5" x14ac:dyDescent="0.25">
      <c r="E608" t="s">
        <v>426</v>
      </c>
    </row>
    <row r="609" spans="5:5" x14ac:dyDescent="0.25">
      <c r="E609" t="s">
        <v>427</v>
      </c>
    </row>
    <row r="610" spans="5:5" x14ac:dyDescent="0.25">
      <c r="E610" t="s">
        <v>428</v>
      </c>
    </row>
    <row r="611" spans="5:5" x14ac:dyDescent="0.25">
      <c r="E611" t="s">
        <v>429</v>
      </c>
    </row>
    <row r="612" spans="5:5" x14ac:dyDescent="0.25">
      <c r="E612" t="s">
        <v>430</v>
      </c>
    </row>
    <row r="613" spans="5:5" x14ac:dyDescent="0.25">
      <c r="E613" t="s">
        <v>431</v>
      </c>
    </row>
    <row r="614" spans="5:5" x14ac:dyDescent="0.25">
      <c r="E614" t="s">
        <v>432</v>
      </c>
    </row>
    <row r="615" spans="5:5" x14ac:dyDescent="0.25">
      <c r="E615" t="s">
        <v>433</v>
      </c>
    </row>
    <row r="616" spans="5:5" x14ac:dyDescent="0.25">
      <c r="E616" t="s">
        <v>434</v>
      </c>
    </row>
    <row r="617" spans="5:5" x14ac:dyDescent="0.25">
      <c r="E617" t="s">
        <v>435</v>
      </c>
    </row>
    <row r="618" spans="5:5" x14ac:dyDescent="0.25">
      <c r="E618" t="s">
        <v>436</v>
      </c>
    </row>
    <row r="619" spans="5:5" x14ac:dyDescent="0.25">
      <c r="E619" t="s">
        <v>437</v>
      </c>
    </row>
    <row r="620" spans="5:5" x14ac:dyDescent="0.25">
      <c r="E620" t="s">
        <v>438</v>
      </c>
    </row>
    <row r="621" spans="5:5" x14ac:dyDescent="0.25">
      <c r="E621" t="s">
        <v>439</v>
      </c>
    </row>
    <row r="622" spans="5:5" x14ac:dyDescent="0.25">
      <c r="E622" t="s">
        <v>440</v>
      </c>
    </row>
    <row r="623" spans="5:5" x14ac:dyDescent="0.25">
      <c r="E623" t="s">
        <v>441</v>
      </c>
    </row>
    <row r="624" spans="5:5" x14ac:dyDescent="0.25">
      <c r="E624" t="s">
        <v>442</v>
      </c>
    </row>
    <row r="625" spans="5:5" x14ac:dyDescent="0.25">
      <c r="E625" t="s">
        <v>443</v>
      </c>
    </row>
    <row r="626" spans="5:5" x14ac:dyDescent="0.25">
      <c r="E626" t="s">
        <v>444</v>
      </c>
    </row>
    <row r="627" spans="5:5" x14ac:dyDescent="0.25">
      <c r="E627" t="s">
        <v>445</v>
      </c>
    </row>
    <row r="628" spans="5:5" x14ac:dyDescent="0.25">
      <c r="E628" t="s">
        <v>446</v>
      </c>
    </row>
    <row r="629" spans="5:5" x14ac:dyDescent="0.25">
      <c r="E629" t="s">
        <v>447</v>
      </c>
    </row>
    <row r="630" spans="5:5" x14ac:dyDescent="0.25">
      <c r="E630" t="s">
        <v>448</v>
      </c>
    </row>
    <row r="631" spans="5:5" x14ac:dyDescent="0.25">
      <c r="E631" t="s">
        <v>449</v>
      </c>
    </row>
    <row r="632" spans="5:5" x14ac:dyDescent="0.25">
      <c r="E632" t="s">
        <v>450</v>
      </c>
    </row>
    <row r="633" spans="5:5" x14ac:dyDescent="0.25">
      <c r="E633" t="s">
        <v>451</v>
      </c>
    </row>
    <row r="634" spans="5:5" x14ac:dyDescent="0.25">
      <c r="E634" t="s">
        <v>452</v>
      </c>
    </row>
    <row r="635" spans="5:5" x14ac:dyDescent="0.25">
      <c r="E635" t="s">
        <v>453</v>
      </c>
    </row>
    <row r="636" spans="5:5" x14ac:dyDescent="0.25">
      <c r="E636" t="s">
        <v>454</v>
      </c>
    </row>
    <row r="637" spans="5:5" x14ac:dyDescent="0.25">
      <c r="E637" t="s">
        <v>455</v>
      </c>
    </row>
    <row r="638" spans="5:5" x14ac:dyDescent="0.25">
      <c r="E638" t="s">
        <v>456</v>
      </c>
    </row>
    <row r="639" spans="5:5" x14ac:dyDescent="0.25">
      <c r="E639" t="s">
        <v>457</v>
      </c>
    </row>
    <row r="640" spans="5:5" x14ac:dyDescent="0.25">
      <c r="E640" t="s">
        <v>458</v>
      </c>
    </row>
    <row r="641" spans="5:5" x14ac:dyDescent="0.25">
      <c r="E641" t="s">
        <v>459</v>
      </c>
    </row>
    <row r="642" spans="5:5" x14ac:dyDescent="0.25">
      <c r="E642" t="s">
        <v>460</v>
      </c>
    </row>
    <row r="643" spans="5:5" x14ac:dyDescent="0.25">
      <c r="E643" t="s">
        <v>461</v>
      </c>
    </row>
    <row r="644" spans="5:5" x14ac:dyDescent="0.25">
      <c r="E644" t="s">
        <v>462</v>
      </c>
    </row>
    <row r="646" spans="5:5" x14ac:dyDescent="0.25">
      <c r="E646" t="s">
        <v>463</v>
      </c>
    </row>
    <row r="647" spans="5:5" x14ac:dyDescent="0.25">
      <c r="E647" t="s">
        <v>464</v>
      </c>
    </row>
    <row r="648" spans="5:5" x14ac:dyDescent="0.25">
      <c r="E648" t="s">
        <v>465</v>
      </c>
    </row>
    <row r="649" spans="5:5" x14ac:dyDescent="0.25">
      <c r="E649" t="s">
        <v>466</v>
      </c>
    </row>
    <row r="650" spans="5:5" x14ac:dyDescent="0.25">
      <c r="E650" t="s">
        <v>467</v>
      </c>
    </row>
    <row r="651" spans="5:5" x14ac:dyDescent="0.25">
      <c r="E651" t="s">
        <v>468</v>
      </c>
    </row>
    <row r="652" spans="5:5" x14ac:dyDescent="0.25">
      <c r="E652" t="s">
        <v>469</v>
      </c>
    </row>
    <row r="653" spans="5:5" x14ac:dyDescent="0.25">
      <c r="E653" t="s">
        <v>470</v>
      </c>
    </row>
    <row r="654" spans="5:5" x14ac:dyDescent="0.25">
      <c r="E654" t="s">
        <v>471</v>
      </c>
    </row>
    <row r="655" spans="5:5" x14ac:dyDescent="0.25">
      <c r="E655" t="s">
        <v>472</v>
      </c>
    </row>
    <row r="656" spans="5:5" x14ac:dyDescent="0.25">
      <c r="E656" t="s">
        <v>473</v>
      </c>
    </row>
    <row r="657" spans="5:5" x14ac:dyDescent="0.25">
      <c r="E657" t="s">
        <v>474</v>
      </c>
    </row>
    <row r="658" spans="5:5" x14ac:dyDescent="0.25">
      <c r="E658" t="s">
        <v>475</v>
      </c>
    </row>
    <row r="659" spans="5:5" x14ac:dyDescent="0.25">
      <c r="E659" t="s">
        <v>476</v>
      </c>
    </row>
    <row r="660" spans="5:5" x14ac:dyDescent="0.25">
      <c r="E660" t="s">
        <v>477</v>
      </c>
    </row>
    <row r="661" spans="5:5" x14ac:dyDescent="0.25">
      <c r="E661" t="s">
        <v>478</v>
      </c>
    </row>
    <row r="662" spans="5:5" x14ac:dyDescent="0.25">
      <c r="E662" t="s">
        <v>479</v>
      </c>
    </row>
    <row r="663" spans="5:5" x14ac:dyDescent="0.25">
      <c r="E663" t="s">
        <v>480</v>
      </c>
    </row>
    <row r="664" spans="5:5" x14ac:dyDescent="0.25">
      <c r="E664" t="s">
        <v>481</v>
      </c>
    </row>
    <row r="665" spans="5:5" x14ac:dyDescent="0.25">
      <c r="E665" t="s">
        <v>482</v>
      </c>
    </row>
    <row r="666" spans="5:5" x14ac:dyDescent="0.25">
      <c r="E666" t="s">
        <v>483</v>
      </c>
    </row>
    <row r="667" spans="5:5" x14ac:dyDescent="0.25">
      <c r="E667" t="s">
        <v>484</v>
      </c>
    </row>
    <row r="668" spans="5:5" x14ac:dyDescent="0.25">
      <c r="E668" t="s">
        <v>485</v>
      </c>
    </row>
    <row r="669" spans="5:5" x14ac:dyDescent="0.25">
      <c r="E669" t="s">
        <v>486</v>
      </c>
    </row>
    <row r="670" spans="5:5" x14ac:dyDescent="0.25">
      <c r="E670" t="s">
        <v>487</v>
      </c>
    </row>
    <row r="671" spans="5:5" x14ac:dyDescent="0.25">
      <c r="E671" t="s">
        <v>488</v>
      </c>
    </row>
    <row r="672" spans="5:5" x14ac:dyDescent="0.25">
      <c r="E672" t="s">
        <v>489</v>
      </c>
    </row>
    <row r="673" spans="5:5" x14ac:dyDescent="0.25">
      <c r="E673" t="s">
        <v>490</v>
      </c>
    </row>
    <row r="674" spans="5:5" x14ac:dyDescent="0.25">
      <c r="E674" t="s">
        <v>491</v>
      </c>
    </row>
    <row r="675" spans="5:5" x14ac:dyDescent="0.25">
      <c r="E675" t="s">
        <v>492</v>
      </c>
    </row>
    <row r="676" spans="5:5" x14ac:dyDescent="0.25">
      <c r="E676" t="s">
        <v>493</v>
      </c>
    </row>
    <row r="677" spans="5:5" x14ac:dyDescent="0.25">
      <c r="E677" t="s">
        <v>494</v>
      </c>
    </row>
    <row r="678" spans="5:5" x14ac:dyDescent="0.25">
      <c r="E678" t="s">
        <v>495</v>
      </c>
    </row>
    <row r="679" spans="5:5" x14ac:dyDescent="0.25">
      <c r="E679" t="s">
        <v>496</v>
      </c>
    </row>
    <row r="680" spans="5:5" x14ac:dyDescent="0.25">
      <c r="E680" t="s">
        <v>497</v>
      </c>
    </row>
    <row r="681" spans="5:5" x14ac:dyDescent="0.25">
      <c r="E681" t="s">
        <v>498</v>
      </c>
    </row>
    <row r="682" spans="5:5" x14ac:dyDescent="0.25">
      <c r="E682" t="s">
        <v>499</v>
      </c>
    </row>
    <row r="683" spans="5:5" x14ac:dyDescent="0.25">
      <c r="E683" t="s">
        <v>500</v>
      </c>
    </row>
    <row r="684" spans="5:5" x14ac:dyDescent="0.25">
      <c r="E684" t="s">
        <v>501</v>
      </c>
    </row>
    <row r="685" spans="5:5" x14ac:dyDescent="0.25">
      <c r="E685" t="s">
        <v>502</v>
      </c>
    </row>
    <row r="686" spans="5:5" x14ac:dyDescent="0.25">
      <c r="E686" t="s">
        <v>503</v>
      </c>
    </row>
    <row r="687" spans="5:5" x14ac:dyDescent="0.25">
      <c r="E687" t="s">
        <v>504</v>
      </c>
    </row>
    <row r="688" spans="5:5" x14ac:dyDescent="0.25">
      <c r="E688" t="s">
        <v>505</v>
      </c>
    </row>
    <row r="689" spans="5:5" x14ac:dyDescent="0.25">
      <c r="E689" t="s">
        <v>506</v>
      </c>
    </row>
    <row r="690" spans="5:5" x14ac:dyDescent="0.25">
      <c r="E690" t="s">
        <v>507</v>
      </c>
    </row>
    <row r="691" spans="5:5" x14ac:dyDescent="0.25">
      <c r="E691" t="s">
        <v>508</v>
      </c>
    </row>
    <row r="692" spans="5:5" x14ac:dyDescent="0.25">
      <c r="E692" t="s">
        <v>509</v>
      </c>
    </row>
    <row r="693" spans="5:5" x14ac:dyDescent="0.25">
      <c r="E693" t="s">
        <v>510</v>
      </c>
    </row>
    <row r="694" spans="5:5" x14ac:dyDescent="0.25">
      <c r="E694" t="s">
        <v>511</v>
      </c>
    </row>
    <row r="695" spans="5:5" x14ac:dyDescent="0.25">
      <c r="E695" t="s">
        <v>512</v>
      </c>
    </row>
    <row r="696" spans="5:5" x14ac:dyDescent="0.25">
      <c r="E696" t="s">
        <v>513</v>
      </c>
    </row>
    <row r="697" spans="5:5" x14ac:dyDescent="0.25">
      <c r="E697" t="s">
        <v>514</v>
      </c>
    </row>
    <row r="698" spans="5:5" x14ac:dyDescent="0.25">
      <c r="E698" t="s">
        <v>515</v>
      </c>
    </row>
    <row r="699" spans="5:5" x14ac:dyDescent="0.25">
      <c r="E699" t="s">
        <v>516</v>
      </c>
    </row>
    <row r="700" spans="5:5" x14ac:dyDescent="0.25">
      <c r="E700" t="s">
        <v>517</v>
      </c>
    </row>
    <row r="701" spans="5:5" x14ac:dyDescent="0.25">
      <c r="E701" t="s">
        <v>518</v>
      </c>
    </row>
    <row r="702" spans="5:5" x14ac:dyDescent="0.25">
      <c r="E702" t="s">
        <v>519</v>
      </c>
    </row>
    <row r="703" spans="5:5" x14ac:dyDescent="0.25">
      <c r="E703" t="s">
        <v>520</v>
      </c>
    </row>
    <row r="704" spans="5:5" x14ac:dyDescent="0.25">
      <c r="E704" t="s">
        <v>521</v>
      </c>
    </row>
    <row r="705" spans="5:5" x14ac:dyDescent="0.25">
      <c r="E705" t="s">
        <v>522</v>
      </c>
    </row>
    <row r="706" spans="5:5" x14ac:dyDescent="0.25">
      <c r="E706" t="s">
        <v>523</v>
      </c>
    </row>
    <row r="707" spans="5:5" x14ac:dyDescent="0.25">
      <c r="E707" t="s">
        <v>524</v>
      </c>
    </row>
    <row r="708" spans="5:5" x14ac:dyDescent="0.25">
      <c r="E708" t="s">
        <v>525</v>
      </c>
    </row>
    <row r="709" spans="5:5" x14ac:dyDescent="0.25">
      <c r="E709" t="s">
        <v>526</v>
      </c>
    </row>
    <row r="710" spans="5:5" x14ac:dyDescent="0.25">
      <c r="E710" t="s">
        <v>527</v>
      </c>
    </row>
    <row r="711" spans="5:5" x14ac:dyDescent="0.25">
      <c r="E711" t="s">
        <v>528</v>
      </c>
    </row>
    <row r="712" spans="5:5" x14ac:dyDescent="0.25">
      <c r="E712" t="s">
        <v>529</v>
      </c>
    </row>
    <row r="713" spans="5:5" x14ac:dyDescent="0.25">
      <c r="E713" t="s">
        <v>530</v>
      </c>
    </row>
    <row r="714" spans="5:5" x14ac:dyDescent="0.25">
      <c r="E714" t="s">
        <v>531</v>
      </c>
    </row>
    <row r="715" spans="5:5" x14ac:dyDescent="0.25">
      <c r="E715" t="s">
        <v>532</v>
      </c>
    </row>
    <row r="716" spans="5:5" x14ac:dyDescent="0.25">
      <c r="E716" t="s">
        <v>533</v>
      </c>
    </row>
    <row r="717" spans="5:5" x14ac:dyDescent="0.25">
      <c r="E717" t="s">
        <v>534</v>
      </c>
    </row>
    <row r="718" spans="5:5" x14ac:dyDescent="0.25">
      <c r="E718" t="s">
        <v>535</v>
      </c>
    </row>
    <row r="719" spans="5:5" x14ac:dyDescent="0.25">
      <c r="E719" t="s">
        <v>536</v>
      </c>
    </row>
    <row r="720" spans="5:5" x14ac:dyDescent="0.25">
      <c r="E720" t="s">
        <v>537</v>
      </c>
    </row>
    <row r="721" spans="5:5" x14ac:dyDescent="0.25">
      <c r="E721" t="s">
        <v>538</v>
      </c>
    </row>
    <row r="722" spans="5:5" x14ac:dyDescent="0.25">
      <c r="E722" t="s">
        <v>539</v>
      </c>
    </row>
    <row r="723" spans="5:5" x14ac:dyDescent="0.25">
      <c r="E723" t="s">
        <v>540</v>
      </c>
    </row>
    <row r="724" spans="5:5" x14ac:dyDescent="0.25">
      <c r="E724" t="s">
        <v>541</v>
      </c>
    </row>
    <row r="725" spans="5:5" x14ac:dyDescent="0.25">
      <c r="E725" t="s">
        <v>542</v>
      </c>
    </row>
    <row r="726" spans="5:5" x14ac:dyDescent="0.25">
      <c r="E726" t="s">
        <v>543</v>
      </c>
    </row>
    <row r="727" spans="5:5" x14ac:dyDescent="0.25">
      <c r="E727" t="s">
        <v>544</v>
      </c>
    </row>
    <row r="728" spans="5:5" x14ac:dyDescent="0.25">
      <c r="E728" t="s">
        <v>545</v>
      </c>
    </row>
    <row r="729" spans="5:5" x14ac:dyDescent="0.25">
      <c r="E729" t="s">
        <v>546</v>
      </c>
    </row>
    <row r="730" spans="5:5" x14ac:dyDescent="0.25">
      <c r="E730" t="s">
        <v>547</v>
      </c>
    </row>
    <row r="731" spans="5:5" x14ac:dyDescent="0.25">
      <c r="E731" t="s">
        <v>548</v>
      </c>
    </row>
    <row r="732" spans="5:5" x14ac:dyDescent="0.25">
      <c r="E732" t="s">
        <v>549</v>
      </c>
    </row>
    <row r="733" spans="5:5" x14ac:dyDescent="0.25">
      <c r="E733" t="s">
        <v>550</v>
      </c>
    </row>
    <row r="734" spans="5:5" x14ac:dyDescent="0.25">
      <c r="E734" t="s">
        <v>551</v>
      </c>
    </row>
    <row r="735" spans="5:5" x14ac:dyDescent="0.25">
      <c r="E735" t="s">
        <v>552</v>
      </c>
    </row>
    <row r="736" spans="5:5" x14ac:dyDescent="0.25">
      <c r="E736" t="s">
        <v>553</v>
      </c>
    </row>
    <row r="737" spans="5:5" x14ac:dyDescent="0.25">
      <c r="E737" t="s">
        <v>554</v>
      </c>
    </row>
    <row r="738" spans="5:5" x14ac:dyDescent="0.25">
      <c r="E738" t="s">
        <v>555</v>
      </c>
    </row>
    <row r="741" spans="5:5" x14ac:dyDescent="0.25">
      <c r="E741" t="s">
        <v>556</v>
      </c>
    </row>
    <row r="743" spans="5:5" x14ac:dyDescent="0.25">
      <c r="E743" t="s">
        <v>557</v>
      </c>
    </row>
    <row r="744" spans="5:5" x14ac:dyDescent="0.25">
      <c r="E744" t="s">
        <v>558</v>
      </c>
    </row>
    <row r="745" spans="5:5" x14ac:dyDescent="0.25">
      <c r="E745" t="s">
        <v>559</v>
      </c>
    </row>
    <row r="746" spans="5:5" x14ac:dyDescent="0.25">
      <c r="E746" t="s">
        <v>560</v>
      </c>
    </row>
    <row r="747" spans="5:5" x14ac:dyDescent="0.25">
      <c r="E747" t="s">
        <v>561</v>
      </c>
    </row>
    <row r="748" spans="5:5" x14ac:dyDescent="0.25">
      <c r="E748" t="s">
        <v>562</v>
      </c>
    </row>
    <row r="749" spans="5:5" x14ac:dyDescent="0.25">
      <c r="E749" t="s">
        <v>563</v>
      </c>
    </row>
    <row r="750" spans="5:5" x14ac:dyDescent="0.25">
      <c r="E750" t="s">
        <v>564</v>
      </c>
    </row>
    <row r="751" spans="5:5" x14ac:dyDescent="0.25">
      <c r="E751" t="s">
        <v>565</v>
      </c>
    </row>
    <row r="752" spans="5:5" x14ac:dyDescent="0.25">
      <c r="E752" t="s">
        <v>566</v>
      </c>
    </row>
    <row r="753" spans="5:5" x14ac:dyDescent="0.25">
      <c r="E753" t="s">
        <v>567</v>
      </c>
    </row>
    <row r="754" spans="5:5" x14ac:dyDescent="0.25">
      <c r="E754" t="s">
        <v>568</v>
      </c>
    </row>
    <row r="755" spans="5:5" x14ac:dyDescent="0.25">
      <c r="E755" t="s">
        <v>569</v>
      </c>
    </row>
    <row r="756" spans="5:5" x14ac:dyDescent="0.25">
      <c r="E756" t="s">
        <v>570</v>
      </c>
    </row>
    <row r="757" spans="5:5" x14ac:dyDescent="0.25">
      <c r="E757" t="s">
        <v>571</v>
      </c>
    </row>
    <row r="758" spans="5:5" x14ac:dyDescent="0.25">
      <c r="E758" t="s">
        <v>572</v>
      </c>
    </row>
    <row r="759" spans="5:5" x14ac:dyDescent="0.25">
      <c r="E759" t="s">
        <v>573</v>
      </c>
    </row>
    <row r="760" spans="5:5" x14ac:dyDescent="0.25">
      <c r="E760" t="s">
        <v>574</v>
      </c>
    </row>
    <row r="761" spans="5:5" x14ac:dyDescent="0.25">
      <c r="E761" t="s">
        <v>575</v>
      </c>
    </row>
    <row r="762" spans="5:5" x14ac:dyDescent="0.25">
      <c r="E762" t="s">
        <v>576</v>
      </c>
    </row>
    <row r="763" spans="5:5" x14ac:dyDescent="0.25">
      <c r="E763" t="s">
        <v>577</v>
      </c>
    </row>
    <row r="764" spans="5:5" x14ac:dyDescent="0.25">
      <c r="E764" t="s">
        <v>578</v>
      </c>
    </row>
    <row r="765" spans="5:5" x14ac:dyDescent="0.25">
      <c r="E765" t="s">
        <v>579</v>
      </c>
    </row>
    <row r="766" spans="5:5" x14ac:dyDescent="0.25">
      <c r="E766" t="s">
        <v>580</v>
      </c>
    </row>
    <row r="767" spans="5:5" x14ac:dyDescent="0.25">
      <c r="E767" t="s">
        <v>581</v>
      </c>
    </row>
    <row r="768" spans="5:5" x14ac:dyDescent="0.25">
      <c r="E768" t="s">
        <v>582</v>
      </c>
    </row>
    <row r="770" spans="5:5" x14ac:dyDescent="0.25">
      <c r="E770" t="s">
        <v>583</v>
      </c>
    </row>
    <row r="771" spans="5:5" x14ac:dyDescent="0.25">
      <c r="E771" t="s">
        <v>584</v>
      </c>
    </row>
    <row r="772" spans="5:5" x14ac:dyDescent="0.25">
      <c r="E772" t="s">
        <v>585</v>
      </c>
    </row>
    <row r="773" spans="5:5" x14ac:dyDescent="0.25">
      <c r="E773" t="s">
        <v>586</v>
      </c>
    </row>
    <row r="774" spans="5:5" x14ac:dyDescent="0.25">
      <c r="E774" t="s">
        <v>587</v>
      </c>
    </row>
    <row r="775" spans="5:5" x14ac:dyDescent="0.25">
      <c r="E775" t="s">
        <v>588</v>
      </c>
    </row>
    <row r="776" spans="5:5" x14ac:dyDescent="0.25">
      <c r="E776" t="s">
        <v>589</v>
      </c>
    </row>
    <row r="777" spans="5:5" x14ac:dyDescent="0.25">
      <c r="E777" t="s">
        <v>590</v>
      </c>
    </row>
    <row r="778" spans="5:5" x14ac:dyDescent="0.25">
      <c r="E778" t="s">
        <v>591</v>
      </c>
    </row>
    <row r="779" spans="5:5" x14ac:dyDescent="0.25">
      <c r="E779" t="s">
        <v>592</v>
      </c>
    </row>
    <row r="780" spans="5:5" x14ac:dyDescent="0.25">
      <c r="E780" t="s">
        <v>593</v>
      </c>
    </row>
    <row r="781" spans="5:5" x14ac:dyDescent="0.25">
      <c r="E781" t="s">
        <v>594</v>
      </c>
    </row>
    <row r="782" spans="5:5" x14ac:dyDescent="0.25">
      <c r="E782" t="s">
        <v>595</v>
      </c>
    </row>
    <row r="783" spans="5:5" x14ac:dyDescent="0.25">
      <c r="E783" t="s">
        <v>596</v>
      </c>
    </row>
    <row r="784" spans="5:5" x14ac:dyDescent="0.25">
      <c r="E784" t="s">
        <v>597</v>
      </c>
    </row>
    <row r="785" spans="5:5" x14ac:dyDescent="0.25">
      <c r="E785" t="s">
        <v>598</v>
      </c>
    </row>
    <row r="786" spans="5:5" x14ac:dyDescent="0.25">
      <c r="E786" t="s">
        <v>599</v>
      </c>
    </row>
    <row r="787" spans="5:5" x14ac:dyDescent="0.25">
      <c r="E787" t="s">
        <v>600</v>
      </c>
    </row>
    <row r="788" spans="5:5" x14ac:dyDescent="0.25">
      <c r="E788" t="s">
        <v>601</v>
      </c>
    </row>
    <row r="789" spans="5:5" x14ac:dyDescent="0.25">
      <c r="E789" t="s">
        <v>602</v>
      </c>
    </row>
    <row r="790" spans="5:5" x14ac:dyDescent="0.25">
      <c r="E790" t="s">
        <v>603</v>
      </c>
    </row>
    <row r="791" spans="5:5" x14ac:dyDescent="0.25">
      <c r="E791" t="s">
        <v>604</v>
      </c>
    </row>
    <row r="792" spans="5:5" x14ac:dyDescent="0.25">
      <c r="E792" t="s">
        <v>605</v>
      </c>
    </row>
    <row r="793" spans="5:5" x14ac:dyDescent="0.25">
      <c r="E793" t="s">
        <v>606</v>
      </c>
    </row>
    <row r="794" spans="5:5" x14ac:dyDescent="0.25">
      <c r="E794" t="s">
        <v>607</v>
      </c>
    </row>
    <row r="795" spans="5:5" x14ac:dyDescent="0.25">
      <c r="E795" t="s">
        <v>608</v>
      </c>
    </row>
    <row r="796" spans="5:5" x14ac:dyDescent="0.25">
      <c r="E796" t="s">
        <v>609</v>
      </c>
    </row>
    <row r="797" spans="5:5" x14ac:dyDescent="0.25">
      <c r="E797" t="s">
        <v>610</v>
      </c>
    </row>
    <row r="798" spans="5:5" x14ac:dyDescent="0.25">
      <c r="E798" t="s">
        <v>611</v>
      </c>
    </row>
    <row r="799" spans="5:5" x14ac:dyDescent="0.25">
      <c r="E799" t="s">
        <v>612</v>
      </c>
    </row>
    <row r="800" spans="5:5" x14ac:dyDescent="0.25">
      <c r="E800" t="s">
        <v>613</v>
      </c>
    </row>
    <row r="801" spans="5:5" x14ac:dyDescent="0.25">
      <c r="E801" t="s">
        <v>614</v>
      </c>
    </row>
    <row r="802" spans="5:5" x14ac:dyDescent="0.25">
      <c r="E802" t="s">
        <v>615</v>
      </c>
    </row>
    <row r="803" spans="5:5" x14ac:dyDescent="0.25">
      <c r="E803" t="s">
        <v>616</v>
      </c>
    </row>
    <row r="804" spans="5:5" x14ac:dyDescent="0.25">
      <c r="E804" t="s">
        <v>617</v>
      </c>
    </row>
    <row r="805" spans="5:5" x14ac:dyDescent="0.25">
      <c r="E805" t="s">
        <v>618</v>
      </c>
    </row>
    <row r="806" spans="5:5" x14ac:dyDescent="0.25">
      <c r="E806" t="s">
        <v>619</v>
      </c>
    </row>
    <row r="807" spans="5:5" x14ac:dyDescent="0.25">
      <c r="E807" t="s">
        <v>620</v>
      </c>
    </row>
    <row r="808" spans="5:5" x14ac:dyDescent="0.25">
      <c r="E808" t="s">
        <v>621</v>
      </c>
    </row>
    <row r="809" spans="5:5" x14ac:dyDescent="0.25">
      <c r="E809" t="s">
        <v>622</v>
      </c>
    </row>
    <row r="810" spans="5:5" x14ac:dyDescent="0.25">
      <c r="E810" t="s">
        <v>623</v>
      </c>
    </row>
    <row r="811" spans="5:5" x14ac:dyDescent="0.25">
      <c r="E811" t="s">
        <v>624</v>
      </c>
    </row>
    <row r="812" spans="5:5" x14ac:dyDescent="0.25">
      <c r="E812" t="s">
        <v>625</v>
      </c>
    </row>
    <row r="813" spans="5:5" x14ac:dyDescent="0.25">
      <c r="E813" t="s">
        <v>626</v>
      </c>
    </row>
    <row r="814" spans="5:5" x14ac:dyDescent="0.25">
      <c r="E814" t="s">
        <v>627</v>
      </c>
    </row>
    <row r="815" spans="5:5" x14ac:dyDescent="0.25">
      <c r="E815" t="s">
        <v>628</v>
      </c>
    </row>
    <row r="816" spans="5:5" x14ac:dyDescent="0.25">
      <c r="E816" t="s">
        <v>629</v>
      </c>
    </row>
    <row r="817" spans="5:5" x14ac:dyDescent="0.25">
      <c r="E817" t="s">
        <v>630</v>
      </c>
    </row>
    <row r="818" spans="5:5" x14ac:dyDescent="0.25">
      <c r="E818" t="s">
        <v>631</v>
      </c>
    </row>
    <row r="819" spans="5:5" x14ac:dyDescent="0.25">
      <c r="E819" t="s">
        <v>632</v>
      </c>
    </row>
    <row r="820" spans="5:5" x14ac:dyDescent="0.25">
      <c r="E820" t="s">
        <v>633</v>
      </c>
    </row>
    <row r="821" spans="5:5" x14ac:dyDescent="0.25">
      <c r="E821" t="s">
        <v>634</v>
      </c>
    </row>
    <row r="822" spans="5:5" x14ac:dyDescent="0.25">
      <c r="E822" t="s">
        <v>635</v>
      </c>
    </row>
    <row r="823" spans="5:5" x14ac:dyDescent="0.25">
      <c r="E823" t="s">
        <v>636</v>
      </c>
    </row>
    <row r="824" spans="5:5" x14ac:dyDescent="0.25">
      <c r="E824" t="s">
        <v>637</v>
      </c>
    </row>
    <row r="825" spans="5:5" x14ac:dyDescent="0.25">
      <c r="E825" t="s">
        <v>638</v>
      </c>
    </row>
    <row r="826" spans="5:5" x14ac:dyDescent="0.25">
      <c r="E826" t="s">
        <v>639</v>
      </c>
    </row>
    <row r="827" spans="5:5" x14ac:dyDescent="0.25">
      <c r="E827" t="s">
        <v>640</v>
      </c>
    </row>
    <row r="828" spans="5:5" x14ac:dyDescent="0.25">
      <c r="E828" t="s">
        <v>641</v>
      </c>
    </row>
    <row r="829" spans="5:5" x14ac:dyDescent="0.25">
      <c r="E829" t="s">
        <v>642</v>
      </c>
    </row>
    <row r="830" spans="5:5" x14ac:dyDescent="0.25">
      <c r="E830" t="s">
        <v>643</v>
      </c>
    </row>
    <row r="831" spans="5:5" x14ac:dyDescent="0.25">
      <c r="E831" t="s">
        <v>644</v>
      </c>
    </row>
    <row r="832" spans="5:5" x14ac:dyDescent="0.25">
      <c r="E832" t="s">
        <v>645</v>
      </c>
    </row>
    <row r="833" spans="5:5" x14ac:dyDescent="0.25">
      <c r="E833" t="s">
        <v>646</v>
      </c>
    </row>
    <row r="834" spans="5:5" x14ac:dyDescent="0.25">
      <c r="E834" t="s">
        <v>647</v>
      </c>
    </row>
    <row r="835" spans="5:5" x14ac:dyDescent="0.25">
      <c r="E835" t="s">
        <v>648</v>
      </c>
    </row>
    <row r="836" spans="5:5" x14ac:dyDescent="0.25">
      <c r="E836" t="s">
        <v>649</v>
      </c>
    </row>
    <row r="837" spans="5:5" x14ac:dyDescent="0.25">
      <c r="E837" t="s">
        <v>650</v>
      </c>
    </row>
    <row r="838" spans="5:5" x14ac:dyDescent="0.25">
      <c r="E838" t="s">
        <v>651</v>
      </c>
    </row>
    <row r="839" spans="5:5" x14ac:dyDescent="0.25">
      <c r="E839" t="s">
        <v>652</v>
      </c>
    </row>
    <row r="840" spans="5:5" x14ac:dyDescent="0.25">
      <c r="E840" t="s">
        <v>653</v>
      </c>
    </row>
    <row r="841" spans="5:5" x14ac:dyDescent="0.25">
      <c r="E841" t="s">
        <v>654</v>
      </c>
    </row>
    <row r="842" spans="5:5" x14ac:dyDescent="0.25">
      <c r="E842" t="s">
        <v>655</v>
      </c>
    </row>
    <row r="843" spans="5:5" x14ac:dyDescent="0.25">
      <c r="E843" t="s">
        <v>656</v>
      </c>
    </row>
    <row r="844" spans="5:5" x14ac:dyDescent="0.25">
      <c r="E844" t="s">
        <v>657</v>
      </c>
    </row>
    <row r="845" spans="5:5" x14ac:dyDescent="0.25">
      <c r="E845" t="s">
        <v>658</v>
      </c>
    </row>
    <row r="846" spans="5:5" x14ac:dyDescent="0.25">
      <c r="E846" t="s">
        <v>659</v>
      </c>
    </row>
    <row r="847" spans="5:5" x14ac:dyDescent="0.25">
      <c r="E847" t="s">
        <v>660</v>
      </c>
    </row>
    <row r="848" spans="5:5" x14ac:dyDescent="0.25">
      <c r="E848" t="s">
        <v>661</v>
      </c>
    </row>
    <row r="849" spans="5:5" x14ac:dyDescent="0.25">
      <c r="E849" t="s">
        <v>662</v>
      </c>
    </row>
    <row r="850" spans="5:5" x14ac:dyDescent="0.25">
      <c r="E850" t="s">
        <v>663</v>
      </c>
    </row>
    <row r="851" spans="5:5" x14ac:dyDescent="0.25">
      <c r="E851" t="s">
        <v>664</v>
      </c>
    </row>
    <row r="852" spans="5:5" x14ac:dyDescent="0.25">
      <c r="E852" t="s">
        <v>665</v>
      </c>
    </row>
    <row r="853" spans="5:5" x14ac:dyDescent="0.25">
      <c r="E853" t="s">
        <v>666</v>
      </c>
    </row>
    <row r="854" spans="5:5" x14ac:dyDescent="0.25">
      <c r="E854" t="s">
        <v>667</v>
      </c>
    </row>
    <row r="855" spans="5:5" x14ac:dyDescent="0.25">
      <c r="E855" t="s">
        <v>668</v>
      </c>
    </row>
    <row r="856" spans="5:5" x14ac:dyDescent="0.25">
      <c r="E856" t="s">
        <v>669</v>
      </c>
    </row>
    <row r="857" spans="5:5" x14ac:dyDescent="0.25">
      <c r="E857" t="s">
        <v>670</v>
      </c>
    </row>
    <row r="858" spans="5:5" x14ac:dyDescent="0.25">
      <c r="E858" t="s">
        <v>671</v>
      </c>
    </row>
    <row r="859" spans="5:5" x14ac:dyDescent="0.25">
      <c r="E859" t="s">
        <v>672</v>
      </c>
    </row>
    <row r="860" spans="5:5" x14ac:dyDescent="0.25">
      <c r="E860" t="s">
        <v>673</v>
      </c>
    </row>
    <row r="861" spans="5:5" x14ac:dyDescent="0.25">
      <c r="E861" t="s">
        <v>674</v>
      </c>
    </row>
    <row r="862" spans="5:5" x14ac:dyDescent="0.25">
      <c r="E862" t="s">
        <v>675</v>
      </c>
    </row>
    <row r="863" spans="5:5" x14ac:dyDescent="0.25">
      <c r="E863" t="s">
        <v>676</v>
      </c>
    </row>
    <row r="864" spans="5:5" x14ac:dyDescent="0.25">
      <c r="E864" t="s">
        <v>677</v>
      </c>
    </row>
    <row r="865" spans="5:5" x14ac:dyDescent="0.25">
      <c r="E865" t="s">
        <v>678</v>
      </c>
    </row>
    <row r="866" spans="5:5" x14ac:dyDescent="0.25">
      <c r="E866" t="s">
        <v>679</v>
      </c>
    </row>
    <row r="867" spans="5:5" x14ac:dyDescent="0.25">
      <c r="E867" t="s">
        <v>680</v>
      </c>
    </row>
    <row r="868" spans="5:5" x14ac:dyDescent="0.25">
      <c r="E868" t="s">
        <v>681</v>
      </c>
    </row>
    <row r="869" spans="5:5" x14ac:dyDescent="0.25">
      <c r="E869" t="s">
        <v>682</v>
      </c>
    </row>
    <row r="870" spans="5:5" x14ac:dyDescent="0.25">
      <c r="E870" t="s">
        <v>683</v>
      </c>
    </row>
    <row r="871" spans="5:5" x14ac:dyDescent="0.25">
      <c r="E871" t="s">
        <v>684</v>
      </c>
    </row>
    <row r="872" spans="5:5" x14ac:dyDescent="0.25">
      <c r="E872" t="s">
        <v>685</v>
      </c>
    </row>
    <row r="873" spans="5:5" x14ac:dyDescent="0.25">
      <c r="E873" t="s">
        <v>686</v>
      </c>
    </row>
    <row r="874" spans="5:5" x14ac:dyDescent="0.25">
      <c r="E874" t="s">
        <v>687</v>
      </c>
    </row>
    <row r="875" spans="5:5" x14ac:dyDescent="0.25">
      <c r="E875" t="s">
        <v>688</v>
      </c>
    </row>
    <row r="876" spans="5:5" x14ac:dyDescent="0.25">
      <c r="E876" t="s">
        <v>689</v>
      </c>
    </row>
    <row r="877" spans="5:5" x14ac:dyDescent="0.25">
      <c r="E877" t="s">
        <v>690</v>
      </c>
    </row>
    <row r="878" spans="5:5" x14ac:dyDescent="0.25">
      <c r="E878" t="s">
        <v>691</v>
      </c>
    </row>
    <row r="879" spans="5:5" x14ac:dyDescent="0.25">
      <c r="E879" t="s">
        <v>692</v>
      </c>
    </row>
    <row r="880" spans="5:5" x14ac:dyDescent="0.25">
      <c r="E880" t="s">
        <v>693</v>
      </c>
    </row>
    <row r="881" spans="5:5" x14ac:dyDescent="0.25">
      <c r="E881" t="s">
        <v>694</v>
      </c>
    </row>
    <row r="882" spans="5:5" x14ac:dyDescent="0.25">
      <c r="E882" t="s">
        <v>695</v>
      </c>
    </row>
    <row r="883" spans="5:5" x14ac:dyDescent="0.25">
      <c r="E883" t="s">
        <v>696</v>
      </c>
    </row>
    <row r="884" spans="5:5" x14ac:dyDescent="0.25">
      <c r="E884" t="s">
        <v>697</v>
      </c>
    </row>
    <row r="885" spans="5:5" x14ac:dyDescent="0.25">
      <c r="E885" t="s">
        <v>698</v>
      </c>
    </row>
    <row r="886" spans="5:5" x14ac:dyDescent="0.25">
      <c r="E886" t="s">
        <v>699</v>
      </c>
    </row>
    <row r="887" spans="5:5" x14ac:dyDescent="0.25">
      <c r="E887" t="s">
        <v>700</v>
      </c>
    </row>
    <row r="888" spans="5:5" x14ac:dyDescent="0.25">
      <c r="E888" t="s">
        <v>701</v>
      </c>
    </row>
    <row r="889" spans="5:5" x14ac:dyDescent="0.25">
      <c r="E889" t="s">
        <v>702</v>
      </c>
    </row>
    <row r="890" spans="5:5" x14ac:dyDescent="0.25">
      <c r="E890" t="s">
        <v>703</v>
      </c>
    </row>
    <row r="891" spans="5:5" x14ac:dyDescent="0.25">
      <c r="E891" t="s">
        <v>704</v>
      </c>
    </row>
    <row r="892" spans="5:5" x14ac:dyDescent="0.25">
      <c r="E892" t="s">
        <v>705</v>
      </c>
    </row>
    <row r="893" spans="5:5" x14ac:dyDescent="0.25">
      <c r="E893" t="s">
        <v>706</v>
      </c>
    </row>
    <row r="894" spans="5:5" x14ac:dyDescent="0.25">
      <c r="E894" t="s">
        <v>707</v>
      </c>
    </row>
    <row r="895" spans="5:5" x14ac:dyDescent="0.25">
      <c r="E895" t="s">
        <v>708</v>
      </c>
    </row>
    <row r="896" spans="5:5" x14ac:dyDescent="0.25">
      <c r="E896" t="s">
        <v>709</v>
      </c>
    </row>
    <row r="897" spans="5:5" x14ac:dyDescent="0.25">
      <c r="E897" t="s">
        <v>710</v>
      </c>
    </row>
    <row r="898" spans="5:5" x14ac:dyDescent="0.25">
      <c r="E898" t="s">
        <v>711</v>
      </c>
    </row>
    <row r="899" spans="5:5" x14ac:dyDescent="0.25">
      <c r="E899" t="s">
        <v>712</v>
      </c>
    </row>
    <row r="900" spans="5:5" x14ac:dyDescent="0.25">
      <c r="E900" t="s">
        <v>713</v>
      </c>
    </row>
    <row r="901" spans="5:5" x14ac:dyDescent="0.25">
      <c r="E901" t="s">
        <v>714</v>
      </c>
    </row>
    <row r="902" spans="5:5" x14ac:dyDescent="0.25">
      <c r="E902" t="s">
        <v>715</v>
      </c>
    </row>
    <row r="903" spans="5:5" x14ac:dyDescent="0.25">
      <c r="E903" t="s">
        <v>716</v>
      </c>
    </row>
    <row r="904" spans="5:5" x14ac:dyDescent="0.25">
      <c r="E904" t="s">
        <v>717</v>
      </c>
    </row>
    <row r="905" spans="5:5" x14ac:dyDescent="0.25">
      <c r="E905" t="s">
        <v>718</v>
      </c>
    </row>
    <row r="906" spans="5:5" x14ac:dyDescent="0.25">
      <c r="E906" t="s">
        <v>719</v>
      </c>
    </row>
    <row r="907" spans="5:5" x14ac:dyDescent="0.25">
      <c r="E907" t="s">
        <v>720</v>
      </c>
    </row>
    <row r="908" spans="5:5" x14ac:dyDescent="0.25">
      <c r="E908" t="s">
        <v>721</v>
      </c>
    </row>
    <row r="909" spans="5:5" x14ac:dyDescent="0.25">
      <c r="E909" t="s">
        <v>722</v>
      </c>
    </row>
    <row r="910" spans="5:5" x14ac:dyDescent="0.25">
      <c r="E910" t="s">
        <v>723</v>
      </c>
    </row>
    <row r="911" spans="5:5" x14ac:dyDescent="0.25">
      <c r="E911" t="s">
        <v>724</v>
      </c>
    </row>
    <row r="912" spans="5:5" x14ac:dyDescent="0.25">
      <c r="E912" t="s">
        <v>725</v>
      </c>
    </row>
    <row r="913" spans="5:5" x14ac:dyDescent="0.25">
      <c r="E913" t="s">
        <v>726</v>
      </c>
    </row>
    <row r="914" spans="5:5" x14ac:dyDescent="0.25">
      <c r="E914" t="s">
        <v>727</v>
      </c>
    </row>
    <row r="915" spans="5:5" x14ac:dyDescent="0.25">
      <c r="E915" t="s">
        <v>728</v>
      </c>
    </row>
    <row r="916" spans="5:5" x14ac:dyDescent="0.25">
      <c r="E916" t="s">
        <v>729</v>
      </c>
    </row>
    <row r="917" spans="5:5" x14ac:dyDescent="0.25">
      <c r="E917" t="s">
        <v>730</v>
      </c>
    </row>
    <row r="918" spans="5:5" x14ac:dyDescent="0.25">
      <c r="E918" t="s">
        <v>731</v>
      </c>
    </row>
    <row r="919" spans="5:5" x14ac:dyDescent="0.25">
      <c r="E919" t="s">
        <v>732</v>
      </c>
    </row>
    <row r="920" spans="5:5" x14ac:dyDescent="0.25">
      <c r="E920" t="s">
        <v>733</v>
      </c>
    </row>
    <row r="921" spans="5:5" x14ac:dyDescent="0.25">
      <c r="E921" t="s">
        <v>734</v>
      </c>
    </row>
    <row r="922" spans="5:5" x14ac:dyDescent="0.25">
      <c r="E922" t="s">
        <v>735</v>
      </c>
    </row>
    <row r="923" spans="5:5" x14ac:dyDescent="0.25">
      <c r="E923" t="s">
        <v>736</v>
      </c>
    </row>
    <row r="924" spans="5:5" x14ac:dyDescent="0.25">
      <c r="E924" t="s">
        <v>737</v>
      </c>
    </row>
    <row r="925" spans="5:5" x14ac:dyDescent="0.25">
      <c r="E925" t="s">
        <v>738</v>
      </c>
    </row>
    <row r="926" spans="5:5" x14ac:dyDescent="0.25">
      <c r="E926" t="s">
        <v>739</v>
      </c>
    </row>
    <row r="927" spans="5:5" x14ac:dyDescent="0.25">
      <c r="E927" t="s">
        <v>740</v>
      </c>
    </row>
    <row r="928" spans="5:5" x14ac:dyDescent="0.25">
      <c r="E928" t="s">
        <v>741</v>
      </c>
    </row>
    <row r="929" spans="5:5" x14ac:dyDescent="0.25">
      <c r="E929" t="s">
        <v>742</v>
      </c>
    </row>
    <row r="930" spans="5:5" x14ac:dyDescent="0.25">
      <c r="E930" t="s">
        <v>743</v>
      </c>
    </row>
    <row r="931" spans="5:5" x14ac:dyDescent="0.25">
      <c r="E931" t="s">
        <v>744</v>
      </c>
    </row>
    <row r="932" spans="5:5" x14ac:dyDescent="0.25">
      <c r="E932" t="s">
        <v>745</v>
      </c>
    </row>
    <row r="933" spans="5:5" x14ac:dyDescent="0.25">
      <c r="E933" t="s">
        <v>746</v>
      </c>
    </row>
    <row r="934" spans="5:5" x14ac:dyDescent="0.25">
      <c r="E934" t="s">
        <v>747</v>
      </c>
    </row>
    <row r="935" spans="5:5" x14ac:dyDescent="0.25">
      <c r="E935" t="s">
        <v>748</v>
      </c>
    </row>
    <row r="936" spans="5:5" x14ac:dyDescent="0.25">
      <c r="E936" t="s">
        <v>749</v>
      </c>
    </row>
    <row r="937" spans="5:5" x14ac:dyDescent="0.25">
      <c r="E937" t="s">
        <v>750</v>
      </c>
    </row>
    <row r="938" spans="5:5" x14ac:dyDescent="0.25">
      <c r="E938" t="s">
        <v>751</v>
      </c>
    </row>
    <row r="939" spans="5:5" x14ac:dyDescent="0.25">
      <c r="E939" t="s">
        <v>752</v>
      </c>
    </row>
    <row r="940" spans="5:5" x14ac:dyDescent="0.25">
      <c r="E940" t="s">
        <v>753</v>
      </c>
    </row>
    <row r="941" spans="5:5" x14ac:dyDescent="0.25">
      <c r="E941" t="s">
        <v>754</v>
      </c>
    </row>
    <row r="942" spans="5:5" x14ac:dyDescent="0.25">
      <c r="E942" t="s">
        <v>755</v>
      </c>
    </row>
    <row r="943" spans="5:5" x14ac:dyDescent="0.25">
      <c r="E943" t="s">
        <v>756</v>
      </c>
    </row>
    <row r="944" spans="5:5" x14ac:dyDescent="0.25">
      <c r="E944" t="s">
        <v>757</v>
      </c>
    </row>
    <row r="945" spans="5:5" x14ac:dyDescent="0.25">
      <c r="E945" t="s">
        <v>758</v>
      </c>
    </row>
    <row r="946" spans="5:5" x14ac:dyDescent="0.25">
      <c r="E946" t="s">
        <v>759</v>
      </c>
    </row>
    <row r="947" spans="5:5" x14ac:dyDescent="0.25">
      <c r="E947" t="s">
        <v>760</v>
      </c>
    </row>
    <row r="948" spans="5:5" x14ac:dyDescent="0.25">
      <c r="E948" t="s">
        <v>761</v>
      </c>
    </row>
    <row r="949" spans="5:5" x14ac:dyDescent="0.25">
      <c r="E949" t="s">
        <v>762</v>
      </c>
    </row>
    <row r="950" spans="5:5" x14ac:dyDescent="0.25">
      <c r="E950" t="s">
        <v>763</v>
      </c>
    </row>
    <row r="951" spans="5:5" x14ac:dyDescent="0.25">
      <c r="E951" t="s">
        <v>764</v>
      </c>
    </row>
    <row r="952" spans="5:5" x14ac:dyDescent="0.25">
      <c r="E952" t="s">
        <v>765</v>
      </c>
    </row>
    <row r="953" spans="5:5" x14ac:dyDescent="0.25">
      <c r="E953" t="s">
        <v>766</v>
      </c>
    </row>
    <row r="954" spans="5:5" x14ac:dyDescent="0.25">
      <c r="E954" t="s">
        <v>767</v>
      </c>
    </row>
    <row r="955" spans="5:5" x14ac:dyDescent="0.25">
      <c r="E955" t="s">
        <v>768</v>
      </c>
    </row>
    <row r="956" spans="5:5" x14ac:dyDescent="0.25">
      <c r="E956" t="s">
        <v>769</v>
      </c>
    </row>
    <row r="957" spans="5:5" x14ac:dyDescent="0.25">
      <c r="E957" t="s">
        <v>770</v>
      </c>
    </row>
    <row r="958" spans="5:5" x14ac:dyDescent="0.25">
      <c r="E958" t="s">
        <v>771</v>
      </c>
    </row>
    <row r="959" spans="5:5" x14ac:dyDescent="0.25">
      <c r="E959" t="s">
        <v>772</v>
      </c>
    </row>
    <row r="960" spans="5:5" x14ac:dyDescent="0.25">
      <c r="E960" t="s">
        <v>773</v>
      </c>
    </row>
    <row r="961" spans="5:5" x14ac:dyDescent="0.25">
      <c r="E961" t="s">
        <v>774</v>
      </c>
    </row>
    <row r="962" spans="5:5" x14ac:dyDescent="0.25">
      <c r="E962" t="s">
        <v>775</v>
      </c>
    </row>
    <row r="963" spans="5:5" x14ac:dyDescent="0.25">
      <c r="E963" t="s">
        <v>776</v>
      </c>
    </row>
    <row r="964" spans="5:5" x14ac:dyDescent="0.25">
      <c r="E964" t="s">
        <v>777</v>
      </c>
    </row>
    <row r="965" spans="5:5" x14ac:dyDescent="0.25">
      <c r="E965" t="s">
        <v>778</v>
      </c>
    </row>
    <row r="966" spans="5:5" x14ac:dyDescent="0.25">
      <c r="E966" t="s">
        <v>779</v>
      </c>
    </row>
    <row r="967" spans="5:5" x14ac:dyDescent="0.25">
      <c r="E967" t="s">
        <v>780</v>
      </c>
    </row>
    <row r="968" spans="5:5" x14ac:dyDescent="0.25">
      <c r="E968" t="s">
        <v>781</v>
      </c>
    </row>
    <row r="969" spans="5:5" x14ac:dyDescent="0.25">
      <c r="E969" t="s">
        <v>782</v>
      </c>
    </row>
    <row r="970" spans="5:5" x14ac:dyDescent="0.25">
      <c r="E970" t="s">
        <v>783</v>
      </c>
    </row>
    <row r="971" spans="5:5" x14ac:dyDescent="0.25">
      <c r="E971" t="s">
        <v>784</v>
      </c>
    </row>
    <row r="972" spans="5:5" x14ac:dyDescent="0.25">
      <c r="E972" t="s">
        <v>785</v>
      </c>
    </row>
    <row r="973" spans="5:5" x14ac:dyDescent="0.25">
      <c r="E973" t="s">
        <v>786</v>
      </c>
    </row>
    <row r="974" spans="5:5" x14ac:dyDescent="0.25">
      <c r="E974" t="s">
        <v>787</v>
      </c>
    </row>
    <row r="975" spans="5:5" x14ac:dyDescent="0.25">
      <c r="E975" t="s">
        <v>788</v>
      </c>
    </row>
    <row r="976" spans="5:5" x14ac:dyDescent="0.25">
      <c r="E976" t="s">
        <v>789</v>
      </c>
    </row>
    <row r="977" spans="5:5" x14ac:dyDescent="0.25">
      <c r="E977" t="s">
        <v>790</v>
      </c>
    </row>
    <row r="978" spans="5:5" x14ac:dyDescent="0.25">
      <c r="E978" t="s">
        <v>791</v>
      </c>
    </row>
    <row r="979" spans="5:5" x14ac:dyDescent="0.25">
      <c r="E979" t="s">
        <v>792</v>
      </c>
    </row>
    <row r="980" spans="5:5" x14ac:dyDescent="0.25">
      <c r="E980" t="s">
        <v>793</v>
      </c>
    </row>
    <row r="981" spans="5:5" x14ac:dyDescent="0.25">
      <c r="E981" t="s">
        <v>794</v>
      </c>
    </row>
    <row r="982" spans="5:5" x14ac:dyDescent="0.25">
      <c r="E982" t="s">
        <v>795</v>
      </c>
    </row>
    <row r="983" spans="5:5" x14ac:dyDescent="0.25">
      <c r="E983" t="s">
        <v>796</v>
      </c>
    </row>
    <row r="984" spans="5:5" x14ac:dyDescent="0.25">
      <c r="E984" t="s">
        <v>797</v>
      </c>
    </row>
    <row r="985" spans="5:5" x14ac:dyDescent="0.25">
      <c r="E985" t="s">
        <v>798</v>
      </c>
    </row>
    <row r="986" spans="5:5" x14ac:dyDescent="0.25">
      <c r="E986" t="s">
        <v>799</v>
      </c>
    </row>
    <row r="987" spans="5:5" x14ac:dyDescent="0.25">
      <c r="E987" t="s">
        <v>800</v>
      </c>
    </row>
    <row r="988" spans="5:5" x14ac:dyDescent="0.25">
      <c r="E988" t="s">
        <v>801</v>
      </c>
    </row>
    <row r="989" spans="5:5" x14ac:dyDescent="0.25">
      <c r="E989" t="s">
        <v>802</v>
      </c>
    </row>
    <row r="990" spans="5:5" x14ac:dyDescent="0.25">
      <c r="E990" t="s">
        <v>803</v>
      </c>
    </row>
    <row r="991" spans="5:5" x14ac:dyDescent="0.25">
      <c r="E991" t="s">
        <v>804</v>
      </c>
    </row>
    <row r="992" spans="5:5" x14ac:dyDescent="0.25">
      <c r="E992" t="s">
        <v>805</v>
      </c>
    </row>
    <row r="993" spans="5:5" x14ac:dyDescent="0.25">
      <c r="E993" t="s">
        <v>806</v>
      </c>
    </row>
    <row r="994" spans="5:5" x14ac:dyDescent="0.25">
      <c r="E994" t="s">
        <v>807</v>
      </c>
    </row>
    <row r="995" spans="5:5" x14ac:dyDescent="0.25">
      <c r="E995" t="s">
        <v>808</v>
      </c>
    </row>
    <row r="996" spans="5:5" x14ac:dyDescent="0.25">
      <c r="E996" t="s">
        <v>809</v>
      </c>
    </row>
    <row r="997" spans="5:5" x14ac:dyDescent="0.25">
      <c r="E997" t="s">
        <v>810</v>
      </c>
    </row>
    <row r="998" spans="5:5" x14ac:dyDescent="0.25">
      <c r="E998" t="s">
        <v>811</v>
      </c>
    </row>
    <row r="999" spans="5:5" x14ac:dyDescent="0.25">
      <c r="E999" t="s">
        <v>812</v>
      </c>
    </row>
    <row r="1000" spans="5:5" x14ac:dyDescent="0.25">
      <c r="E1000" t="s">
        <v>813</v>
      </c>
    </row>
    <row r="1001" spans="5:5" x14ac:dyDescent="0.25">
      <c r="E1001" t="s">
        <v>814</v>
      </c>
    </row>
    <row r="1002" spans="5:5" x14ac:dyDescent="0.25">
      <c r="E1002" t="s">
        <v>815</v>
      </c>
    </row>
    <row r="1003" spans="5:5" x14ac:dyDescent="0.25">
      <c r="E1003" t="s">
        <v>816</v>
      </c>
    </row>
    <row r="1004" spans="5:5" x14ac:dyDescent="0.25">
      <c r="E1004" t="s">
        <v>817</v>
      </c>
    </row>
    <row r="1005" spans="5:5" x14ac:dyDescent="0.25">
      <c r="E1005" t="s">
        <v>818</v>
      </c>
    </row>
    <row r="1006" spans="5:5" x14ac:dyDescent="0.25">
      <c r="E1006" t="s">
        <v>819</v>
      </c>
    </row>
    <row r="1007" spans="5:5" x14ac:dyDescent="0.25">
      <c r="E1007" t="s">
        <v>820</v>
      </c>
    </row>
    <row r="1008" spans="5:5" x14ac:dyDescent="0.25">
      <c r="E1008" t="s">
        <v>821</v>
      </c>
    </row>
    <row r="1009" spans="5:5" x14ac:dyDescent="0.25">
      <c r="E1009" t="s">
        <v>822</v>
      </c>
    </row>
    <row r="1010" spans="5:5" x14ac:dyDescent="0.25">
      <c r="E1010" t="s">
        <v>823</v>
      </c>
    </row>
    <row r="1011" spans="5:5" x14ac:dyDescent="0.25">
      <c r="E1011" t="s">
        <v>824</v>
      </c>
    </row>
    <row r="1012" spans="5:5" x14ac:dyDescent="0.25">
      <c r="E1012" t="s">
        <v>825</v>
      </c>
    </row>
    <row r="1013" spans="5:5" x14ac:dyDescent="0.25">
      <c r="E1013" t="s">
        <v>826</v>
      </c>
    </row>
    <row r="1014" spans="5:5" x14ac:dyDescent="0.25">
      <c r="E1014" t="s">
        <v>827</v>
      </c>
    </row>
    <row r="1015" spans="5:5" x14ac:dyDescent="0.25">
      <c r="E1015" t="s">
        <v>828</v>
      </c>
    </row>
    <row r="1016" spans="5:5" x14ac:dyDescent="0.25">
      <c r="E1016" t="s">
        <v>829</v>
      </c>
    </row>
    <row r="1017" spans="5:5" x14ac:dyDescent="0.25">
      <c r="E1017" t="s">
        <v>830</v>
      </c>
    </row>
    <row r="1018" spans="5:5" x14ac:dyDescent="0.25">
      <c r="E1018" t="s">
        <v>831</v>
      </c>
    </row>
    <row r="1019" spans="5:5" x14ac:dyDescent="0.25">
      <c r="E1019" t="s">
        <v>832</v>
      </c>
    </row>
    <row r="1020" spans="5:5" x14ac:dyDescent="0.25">
      <c r="E1020" t="s">
        <v>833</v>
      </c>
    </row>
    <row r="1022" spans="5:5" x14ac:dyDescent="0.25">
      <c r="E1022" t="s">
        <v>834</v>
      </c>
    </row>
    <row r="1023" spans="5:5" x14ac:dyDescent="0.25">
      <c r="E1023" t="s">
        <v>835</v>
      </c>
    </row>
    <row r="1024" spans="5:5" x14ac:dyDescent="0.25">
      <c r="E1024" t="s">
        <v>836</v>
      </c>
    </row>
    <row r="1025" spans="5:5" x14ac:dyDescent="0.25">
      <c r="E1025" t="s">
        <v>837</v>
      </c>
    </row>
    <row r="1026" spans="5:5" x14ac:dyDescent="0.25">
      <c r="E1026" t="s">
        <v>838</v>
      </c>
    </row>
    <row r="1027" spans="5:5" x14ac:dyDescent="0.25">
      <c r="E1027" t="s">
        <v>839</v>
      </c>
    </row>
    <row r="1028" spans="5:5" x14ac:dyDescent="0.25">
      <c r="E1028" t="s">
        <v>840</v>
      </c>
    </row>
    <row r="1029" spans="5:5" x14ac:dyDescent="0.25">
      <c r="E1029" t="s">
        <v>841</v>
      </c>
    </row>
    <row r="1030" spans="5:5" x14ac:dyDescent="0.25">
      <c r="E1030" t="s">
        <v>842</v>
      </c>
    </row>
    <row r="1031" spans="5:5" x14ac:dyDescent="0.25">
      <c r="E1031" t="s">
        <v>843</v>
      </c>
    </row>
    <row r="1032" spans="5:5" x14ac:dyDescent="0.25">
      <c r="E1032" t="s">
        <v>844</v>
      </c>
    </row>
    <row r="1033" spans="5:5" x14ac:dyDescent="0.25">
      <c r="E1033" t="s">
        <v>845</v>
      </c>
    </row>
    <row r="1034" spans="5:5" x14ac:dyDescent="0.25">
      <c r="E1034" t="s">
        <v>846</v>
      </c>
    </row>
    <row r="1035" spans="5:5" x14ac:dyDescent="0.25">
      <c r="E1035" t="s">
        <v>847</v>
      </c>
    </row>
    <row r="1036" spans="5:5" x14ac:dyDescent="0.25">
      <c r="E1036" t="s">
        <v>848</v>
      </c>
    </row>
    <row r="1037" spans="5:5" x14ac:dyDescent="0.25">
      <c r="E1037" t="s">
        <v>849</v>
      </c>
    </row>
    <row r="1038" spans="5:5" x14ac:dyDescent="0.25">
      <c r="E1038" t="s">
        <v>850</v>
      </c>
    </row>
    <row r="1039" spans="5:5" x14ac:dyDescent="0.25">
      <c r="E1039" t="s">
        <v>851</v>
      </c>
    </row>
    <row r="1040" spans="5:5" x14ac:dyDescent="0.25">
      <c r="E1040" t="s">
        <v>852</v>
      </c>
    </row>
    <row r="1041" spans="5:5" x14ac:dyDescent="0.25">
      <c r="E1041" t="s">
        <v>853</v>
      </c>
    </row>
    <row r="1042" spans="5:5" x14ac:dyDescent="0.25">
      <c r="E1042" t="s">
        <v>854</v>
      </c>
    </row>
    <row r="1043" spans="5:5" x14ac:dyDescent="0.25">
      <c r="E1043" t="s">
        <v>855</v>
      </c>
    </row>
    <row r="1044" spans="5:5" x14ac:dyDescent="0.25">
      <c r="E1044" t="s">
        <v>856</v>
      </c>
    </row>
    <row r="1045" spans="5:5" x14ac:dyDescent="0.25">
      <c r="E1045" t="s">
        <v>857</v>
      </c>
    </row>
    <row r="1046" spans="5:5" x14ac:dyDescent="0.25">
      <c r="E1046" t="s">
        <v>858</v>
      </c>
    </row>
    <row r="1047" spans="5:5" x14ac:dyDescent="0.25">
      <c r="E1047" t="s">
        <v>859</v>
      </c>
    </row>
    <row r="1048" spans="5:5" x14ac:dyDescent="0.25">
      <c r="E1048" t="s">
        <v>860</v>
      </c>
    </row>
    <row r="1049" spans="5:5" x14ac:dyDescent="0.25">
      <c r="E1049" t="s">
        <v>861</v>
      </c>
    </row>
    <row r="1050" spans="5:5" x14ac:dyDescent="0.25">
      <c r="E1050" t="s">
        <v>862</v>
      </c>
    </row>
    <row r="1051" spans="5:5" x14ac:dyDescent="0.25">
      <c r="E1051" t="s">
        <v>863</v>
      </c>
    </row>
    <row r="1052" spans="5:5" x14ac:dyDescent="0.25">
      <c r="E1052" t="s">
        <v>864</v>
      </c>
    </row>
    <row r="1053" spans="5:5" x14ac:dyDescent="0.25">
      <c r="E1053" t="s">
        <v>865</v>
      </c>
    </row>
    <row r="1054" spans="5:5" x14ac:dyDescent="0.25">
      <c r="E1054" t="s">
        <v>866</v>
      </c>
    </row>
    <row r="1055" spans="5:5" x14ac:dyDescent="0.25">
      <c r="E1055" t="s">
        <v>867</v>
      </c>
    </row>
    <row r="1056" spans="5:5" x14ac:dyDescent="0.25">
      <c r="E1056" t="s">
        <v>868</v>
      </c>
    </row>
    <row r="1057" spans="5:5" x14ac:dyDescent="0.25">
      <c r="E1057" t="s">
        <v>869</v>
      </c>
    </row>
    <row r="1058" spans="5:5" x14ac:dyDescent="0.25">
      <c r="E1058" t="s">
        <v>870</v>
      </c>
    </row>
    <row r="1059" spans="5:5" x14ac:dyDescent="0.25">
      <c r="E1059" t="s">
        <v>871</v>
      </c>
    </row>
    <row r="1060" spans="5:5" x14ac:dyDescent="0.25">
      <c r="E1060" t="s">
        <v>872</v>
      </c>
    </row>
    <row r="1061" spans="5:5" x14ac:dyDescent="0.25">
      <c r="E1061" t="s">
        <v>873</v>
      </c>
    </row>
    <row r="1062" spans="5:5" x14ac:dyDescent="0.25">
      <c r="E1062" t="s">
        <v>874</v>
      </c>
    </row>
    <row r="1063" spans="5:5" x14ac:dyDescent="0.25">
      <c r="E1063" t="s">
        <v>875</v>
      </c>
    </row>
    <row r="1064" spans="5:5" x14ac:dyDescent="0.25">
      <c r="E1064" t="s">
        <v>876</v>
      </c>
    </row>
    <row r="1065" spans="5:5" x14ac:dyDescent="0.25">
      <c r="E1065" t="s">
        <v>877</v>
      </c>
    </row>
    <row r="1066" spans="5:5" x14ac:dyDescent="0.25">
      <c r="E1066" t="s">
        <v>878</v>
      </c>
    </row>
    <row r="1067" spans="5:5" x14ac:dyDescent="0.25">
      <c r="E1067" t="s">
        <v>879</v>
      </c>
    </row>
    <row r="1068" spans="5:5" x14ac:dyDescent="0.25">
      <c r="E1068" t="s">
        <v>880</v>
      </c>
    </row>
    <row r="1069" spans="5:5" x14ac:dyDescent="0.25">
      <c r="E1069" t="s">
        <v>881</v>
      </c>
    </row>
    <row r="1070" spans="5:5" x14ac:dyDescent="0.25">
      <c r="E1070" t="s">
        <v>882</v>
      </c>
    </row>
    <row r="1071" spans="5:5" x14ac:dyDescent="0.25">
      <c r="E1071" t="s">
        <v>883</v>
      </c>
    </row>
    <row r="1072" spans="5:5" x14ac:dyDescent="0.25">
      <c r="E1072" t="s">
        <v>884</v>
      </c>
    </row>
    <row r="1073" spans="5:5" x14ac:dyDescent="0.25">
      <c r="E1073" t="s">
        <v>885</v>
      </c>
    </row>
    <row r="1074" spans="5:5" x14ac:dyDescent="0.25">
      <c r="E1074" t="s">
        <v>886</v>
      </c>
    </row>
    <row r="1075" spans="5:5" x14ac:dyDescent="0.25">
      <c r="E1075" t="s">
        <v>887</v>
      </c>
    </row>
    <row r="1076" spans="5:5" x14ac:dyDescent="0.25">
      <c r="E1076" t="s">
        <v>888</v>
      </c>
    </row>
    <row r="1077" spans="5:5" x14ac:dyDescent="0.25">
      <c r="E1077" t="s">
        <v>889</v>
      </c>
    </row>
    <row r="1078" spans="5:5" x14ac:dyDescent="0.25">
      <c r="E1078" t="s">
        <v>890</v>
      </c>
    </row>
    <row r="1079" spans="5:5" x14ac:dyDescent="0.25">
      <c r="E1079" t="s">
        <v>891</v>
      </c>
    </row>
    <row r="1080" spans="5:5" x14ac:dyDescent="0.25">
      <c r="E1080" t="s">
        <v>892</v>
      </c>
    </row>
    <row r="1081" spans="5:5" x14ac:dyDescent="0.25">
      <c r="E1081" t="s">
        <v>893</v>
      </c>
    </row>
    <row r="1082" spans="5:5" x14ac:dyDescent="0.25">
      <c r="E1082" t="s">
        <v>894</v>
      </c>
    </row>
    <row r="1083" spans="5:5" x14ac:dyDescent="0.25">
      <c r="E1083" t="s">
        <v>895</v>
      </c>
    </row>
    <row r="1084" spans="5:5" x14ac:dyDescent="0.25">
      <c r="E1084" t="s">
        <v>896</v>
      </c>
    </row>
    <row r="1085" spans="5:5" x14ac:dyDescent="0.25">
      <c r="E1085" t="s">
        <v>897</v>
      </c>
    </row>
    <row r="1086" spans="5:5" x14ac:dyDescent="0.25">
      <c r="E1086" t="s">
        <v>898</v>
      </c>
    </row>
    <row r="1087" spans="5:5" x14ac:dyDescent="0.25">
      <c r="E1087" t="s">
        <v>899</v>
      </c>
    </row>
    <row r="1088" spans="5:5" x14ac:dyDescent="0.25">
      <c r="E1088" t="s">
        <v>900</v>
      </c>
    </row>
    <row r="1089" spans="5:5" x14ac:dyDescent="0.25">
      <c r="E1089" t="s">
        <v>901</v>
      </c>
    </row>
    <row r="1090" spans="5:5" x14ac:dyDescent="0.25">
      <c r="E1090" t="s">
        <v>902</v>
      </c>
    </row>
    <row r="1091" spans="5:5" x14ac:dyDescent="0.25">
      <c r="E1091" t="s">
        <v>903</v>
      </c>
    </row>
    <row r="1092" spans="5:5" x14ac:dyDescent="0.25">
      <c r="E1092" t="s">
        <v>904</v>
      </c>
    </row>
    <row r="1093" spans="5:5" x14ac:dyDescent="0.25">
      <c r="E1093" t="s">
        <v>905</v>
      </c>
    </row>
    <row r="1094" spans="5:5" x14ac:dyDescent="0.25">
      <c r="E1094" t="s">
        <v>906</v>
      </c>
    </row>
    <row r="1095" spans="5:5" x14ac:dyDescent="0.25">
      <c r="E1095" t="s">
        <v>907</v>
      </c>
    </row>
    <row r="1096" spans="5:5" x14ac:dyDescent="0.25">
      <c r="E1096" t="s">
        <v>908</v>
      </c>
    </row>
    <row r="1097" spans="5:5" x14ac:dyDescent="0.25">
      <c r="E1097" t="s">
        <v>909</v>
      </c>
    </row>
    <row r="1098" spans="5:5" x14ac:dyDescent="0.25">
      <c r="E1098" t="s">
        <v>910</v>
      </c>
    </row>
    <row r="1099" spans="5:5" x14ac:dyDescent="0.25">
      <c r="E1099" t="s">
        <v>911</v>
      </c>
    </row>
    <row r="1100" spans="5:5" x14ac:dyDescent="0.25">
      <c r="E1100" t="s">
        <v>912</v>
      </c>
    </row>
    <row r="1101" spans="5:5" x14ac:dyDescent="0.25">
      <c r="E1101" t="s">
        <v>913</v>
      </c>
    </row>
    <row r="1102" spans="5:5" x14ac:dyDescent="0.25">
      <c r="E1102" t="s">
        <v>914</v>
      </c>
    </row>
    <row r="1103" spans="5:5" x14ac:dyDescent="0.25">
      <c r="E1103" t="s">
        <v>915</v>
      </c>
    </row>
    <row r="1104" spans="5:5" x14ac:dyDescent="0.25">
      <c r="E1104" t="s">
        <v>916</v>
      </c>
    </row>
    <row r="1105" spans="5:5" x14ac:dyDescent="0.25">
      <c r="E1105" t="s">
        <v>917</v>
      </c>
    </row>
    <row r="1106" spans="5:5" x14ac:dyDescent="0.25">
      <c r="E1106" t="s">
        <v>918</v>
      </c>
    </row>
    <row r="1107" spans="5:5" x14ac:dyDescent="0.25">
      <c r="E1107" t="s">
        <v>919</v>
      </c>
    </row>
    <row r="1108" spans="5:5" x14ac:dyDescent="0.25">
      <c r="E1108" t="s">
        <v>920</v>
      </c>
    </row>
    <row r="1109" spans="5:5" x14ac:dyDescent="0.25">
      <c r="E1109" t="s">
        <v>921</v>
      </c>
    </row>
    <row r="1110" spans="5:5" x14ac:dyDescent="0.25">
      <c r="E1110" t="s">
        <v>922</v>
      </c>
    </row>
    <row r="1111" spans="5:5" x14ac:dyDescent="0.25">
      <c r="E1111" t="s">
        <v>923</v>
      </c>
    </row>
    <row r="1112" spans="5:5" x14ac:dyDescent="0.25">
      <c r="E1112" t="s">
        <v>924</v>
      </c>
    </row>
    <row r="1113" spans="5:5" x14ac:dyDescent="0.25">
      <c r="E1113" t="s">
        <v>925</v>
      </c>
    </row>
    <row r="1114" spans="5:5" x14ac:dyDescent="0.25">
      <c r="E1114" t="s">
        <v>926</v>
      </c>
    </row>
    <row r="1115" spans="5:5" x14ac:dyDescent="0.25">
      <c r="E1115" t="s">
        <v>927</v>
      </c>
    </row>
    <row r="1116" spans="5:5" x14ac:dyDescent="0.25">
      <c r="E1116" t="s">
        <v>928</v>
      </c>
    </row>
    <row r="1117" spans="5:5" x14ac:dyDescent="0.25">
      <c r="E1117" t="s">
        <v>929</v>
      </c>
    </row>
    <row r="1118" spans="5:5" x14ac:dyDescent="0.25">
      <c r="E1118" t="s">
        <v>930</v>
      </c>
    </row>
    <row r="1119" spans="5:5" x14ac:dyDescent="0.25">
      <c r="E1119" t="s">
        <v>931</v>
      </c>
    </row>
    <row r="1120" spans="5:5" x14ac:dyDescent="0.25">
      <c r="E1120" t="s">
        <v>932</v>
      </c>
    </row>
    <row r="1121" spans="5:5" x14ac:dyDescent="0.25">
      <c r="E1121" t="s">
        <v>933</v>
      </c>
    </row>
    <row r="1122" spans="5:5" x14ac:dyDescent="0.25">
      <c r="E1122" t="s">
        <v>934</v>
      </c>
    </row>
    <row r="1123" spans="5:5" x14ac:dyDescent="0.25">
      <c r="E1123" t="s">
        <v>935</v>
      </c>
    </row>
    <row r="1124" spans="5:5" x14ac:dyDescent="0.25">
      <c r="E1124" t="s">
        <v>936</v>
      </c>
    </row>
    <row r="1125" spans="5:5" x14ac:dyDescent="0.25">
      <c r="E1125" t="s">
        <v>937</v>
      </c>
    </row>
    <row r="1126" spans="5:5" x14ac:dyDescent="0.25">
      <c r="E1126" t="s">
        <v>938</v>
      </c>
    </row>
    <row r="1127" spans="5:5" x14ac:dyDescent="0.25">
      <c r="E1127" t="s">
        <v>939</v>
      </c>
    </row>
    <row r="1128" spans="5:5" x14ac:dyDescent="0.25">
      <c r="E1128" t="s">
        <v>940</v>
      </c>
    </row>
    <row r="1129" spans="5:5" x14ac:dyDescent="0.25">
      <c r="E1129" t="s">
        <v>941</v>
      </c>
    </row>
    <row r="1130" spans="5:5" x14ac:dyDescent="0.25">
      <c r="E1130" t="s">
        <v>942</v>
      </c>
    </row>
    <row r="1131" spans="5:5" x14ac:dyDescent="0.25">
      <c r="E1131" t="s">
        <v>943</v>
      </c>
    </row>
    <row r="1132" spans="5:5" x14ac:dyDescent="0.25">
      <c r="E1132" t="s">
        <v>944</v>
      </c>
    </row>
    <row r="1133" spans="5:5" x14ac:dyDescent="0.25">
      <c r="E1133" t="s">
        <v>945</v>
      </c>
    </row>
    <row r="1134" spans="5:5" x14ac:dyDescent="0.25">
      <c r="E1134" t="s">
        <v>946</v>
      </c>
    </row>
    <row r="1135" spans="5:5" x14ac:dyDescent="0.25">
      <c r="E1135" t="s">
        <v>947</v>
      </c>
    </row>
    <row r="1136" spans="5:5" x14ac:dyDescent="0.25">
      <c r="E1136" t="s">
        <v>948</v>
      </c>
    </row>
    <row r="1137" spans="5:5" x14ac:dyDescent="0.25">
      <c r="E1137" t="s">
        <v>949</v>
      </c>
    </row>
    <row r="1138" spans="5:5" x14ac:dyDescent="0.25">
      <c r="E1138" t="s">
        <v>950</v>
      </c>
    </row>
    <row r="1139" spans="5:5" x14ac:dyDescent="0.25">
      <c r="E1139" t="s">
        <v>951</v>
      </c>
    </row>
    <row r="1140" spans="5:5" x14ac:dyDescent="0.25">
      <c r="E1140" t="s">
        <v>952</v>
      </c>
    </row>
    <row r="1141" spans="5:5" x14ac:dyDescent="0.25">
      <c r="E1141" t="s">
        <v>953</v>
      </c>
    </row>
    <row r="1142" spans="5:5" x14ac:dyDescent="0.25">
      <c r="E1142" t="s">
        <v>954</v>
      </c>
    </row>
    <row r="1143" spans="5:5" x14ac:dyDescent="0.25">
      <c r="E1143" t="s">
        <v>955</v>
      </c>
    </row>
    <row r="1144" spans="5:5" x14ac:dyDescent="0.25">
      <c r="E1144" t="s">
        <v>956</v>
      </c>
    </row>
    <row r="1145" spans="5:5" x14ac:dyDescent="0.25">
      <c r="E1145" t="s">
        <v>957</v>
      </c>
    </row>
    <row r="1146" spans="5:5" x14ac:dyDescent="0.25">
      <c r="E1146" t="s">
        <v>958</v>
      </c>
    </row>
    <row r="1147" spans="5:5" x14ac:dyDescent="0.25">
      <c r="E1147" t="s">
        <v>959</v>
      </c>
    </row>
    <row r="1148" spans="5:5" x14ac:dyDescent="0.25">
      <c r="E1148" t="s">
        <v>960</v>
      </c>
    </row>
    <row r="1149" spans="5:5" x14ac:dyDescent="0.25">
      <c r="E1149" t="s">
        <v>961</v>
      </c>
    </row>
    <row r="1150" spans="5:5" x14ac:dyDescent="0.25">
      <c r="E1150" t="s">
        <v>962</v>
      </c>
    </row>
    <row r="1151" spans="5:5" x14ac:dyDescent="0.25">
      <c r="E1151" t="s">
        <v>963</v>
      </c>
    </row>
    <row r="1152" spans="5:5" x14ac:dyDescent="0.25">
      <c r="E1152" t="s">
        <v>964</v>
      </c>
    </row>
    <row r="1153" spans="5:5" x14ac:dyDescent="0.25">
      <c r="E1153" t="s">
        <v>965</v>
      </c>
    </row>
    <row r="1154" spans="5:5" x14ac:dyDescent="0.25">
      <c r="E1154" t="s">
        <v>966</v>
      </c>
    </row>
    <row r="1155" spans="5:5" x14ac:dyDescent="0.25">
      <c r="E1155" t="s">
        <v>967</v>
      </c>
    </row>
    <row r="1156" spans="5:5" x14ac:dyDescent="0.25">
      <c r="E1156" t="s">
        <v>968</v>
      </c>
    </row>
    <row r="1157" spans="5:5" x14ac:dyDescent="0.25">
      <c r="E1157" t="s">
        <v>969</v>
      </c>
    </row>
    <row r="1158" spans="5:5" x14ac:dyDescent="0.25">
      <c r="E1158" t="s">
        <v>970</v>
      </c>
    </row>
    <row r="1159" spans="5:5" x14ac:dyDescent="0.25">
      <c r="E1159" t="s">
        <v>971</v>
      </c>
    </row>
    <row r="1160" spans="5:5" x14ac:dyDescent="0.25">
      <c r="E1160" t="s">
        <v>972</v>
      </c>
    </row>
    <row r="1161" spans="5:5" x14ac:dyDescent="0.25">
      <c r="E1161" t="s">
        <v>973</v>
      </c>
    </row>
    <row r="1162" spans="5:5" x14ac:dyDescent="0.25">
      <c r="E1162" t="s">
        <v>974</v>
      </c>
    </row>
    <row r="1163" spans="5:5" x14ac:dyDescent="0.25">
      <c r="E1163" t="s">
        <v>975</v>
      </c>
    </row>
    <row r="1164" spans="5:5" x14ac:dyDescent="0.25">
      <c r="E1164" t="s">
        <v>976</v>
      </c>
    </row>
    <row r="1165" spans="5:5" x14ac:dyDescent="0.25">
      <c r="E1165" t="s">
        <v>977</v>
      </c>
    </row>
    <row r="1166" spans="5:5" x14ac:dyDescent="0.25">
      <c r="E1166" t="s">
        <v>978</v>
      </c>
    </row>
    <row r="1167" spans="5:5" x14ac:dyDescent="0.25">
      <c r="E1167" t="s">
        <v>979</v>
      </c>
    </row>
    <row r="1168" spans="5:5" x14ac:dyDescent="0.25">
      <c r="E1168" t="s">
        <v>980</v>
      </c>
    </row>
    <row r="1169" spans="5:5" x14ac:dyDescent="0.25">
      <c r="E1169" t="s">
        <v>981</v>
      </c>
    </row>
    <row r="1170" spans="5:5" x14ac:dyDescent="0.25">
      <c r="E1170" t="s">
        <v>982</v>
      </c>
    </row>
    <row r="1171" spans="5:5" x14ac:dyDescent="0.25">
      <c r="E1171" t="s">
        <v>983</v>
      </c>
    </row>
    <row r="1172" spans="5:5" x14ac:dyDescent="0.25">
      <c r="E1172" t="s">
        <v>984</v>
      </c>
    </row>
    <row r="1173" spans="5:5" x14ac:dyDescent="0.25">
      <c r="E1173" t="s">
        <v>985</v>
      </c>
    </row>
    <row r="1174" spans="5:5" x14ac:dyDescent="0.25">
      <c r="E1174" t="s">
        <v>986</v>
      </c>
    </row>
    <row r="1175" spans="5:5" x14ac:dyDescent="0.25">
      <c r="E1175" t="s">
        <v>987</v>
      </c>
    </row>
    <row r="1176" spans="5:5" x14ac:dyDescent="0.25">
      <c r="E1176" t="s">
        <v>988</v>
      </c>
    </row>
    <row r="1177" spans="5:5" x14ac:dyDescent="0.25">
      <c r="E1177" t="s">
        <v>989</v>
      </c>
    </row>
    <row r="1178" spans="5:5" x14ac:dyDescent="0.25">
      <c r="E1178" t="s">
        <v>990</v>
      </c>
    </row>
    <row r="1179" spans="5:5" x14ac:dyDescent="0.25">
      <c r="E1179" t="s">
        <v>991</v>
      </c>
    </row>
    <row r="1180" spans="5:5" x14ac:dyDescent="0.25">
      <c r="E1180" t="s">
        <v>992</v>
      </c>
    </row>
    <row r="1181" spans="5:5" x14ac:dyDescent="0.25">
      <c r="E1181" t="s">
        <v>993</v>
      </c>
    </row>
    <row r="1182" spans="5:5" x14ac:dyDescent="0.25">
      <c r="E1182" t="s">
        <v>994</v>
      </c>
    </row>
    <row r="1183" spans="5:5" x14ac:dyDescent="0.25">
      <c r="E1183" t="s">
        <v>995</v>
      </c>
    </row>
    <row r="1184" spans="5:5" x14ac:dyDescent="0.25">
      <c r="E1184" t="s">
        <v>996</v>
      </c>
    </row>
    <row r="1185" spans="5:5" x14ac:dyDescent="0.25">
      <c r="E1185" t="s">
        <v>997</v>
      </c>
    </row>
    <row r="1186" spans="5:5" x14ac:dyDescent="0.25">
      <c r="E1186" t="s">
        <v>998</v>
      </c>
    </row>
    <row r="1187" spans="5:5" x14ac:dyDescent="0.25">
      <c r="E1187" t="s">
        <v>999</v>
      </c>
    </row>
    <row r="1188" spans="5:5" x14ac:dyDescent="0.25">
      <c r="E1188" t="s">
        <v>1000</v>
      </c>
    </row>
    <row r="1189" spans="5:5" x14ac:dyDescent="0.25">
      <c r="E1189" t="s">
        <v>1001</v>
      </c>
    </row>
    <row r="1190" spans="5:5" x14ac:dyDescent="0.25">
      <c r="E1190" t="s">
        <v>1002</v>
      </c>
    </row>
    <row r="1191" spans="5:5" x14ac:dyDescent="0.25">
      <c r="E1191" t="s">
        <v>1003</v>
      </c>
    </row>
    <row r="1192" spans="5:5" x14ac:dyDescent="0.25">
      <c r="E1192" t="s">
        <v>1004</v>
      </c>
    </row>
    <row r="1193" spans="5:5" x14ac:dyDescent="0.25">
      <c r="E1193" t="s">
        <v>1005</v>
      </c>
    </row>
    <row r="1194" spans="5:5" x14ac:dyDescent="0.25">
      <c r="E1194" t="s">
        <v>1006</v>
      </c>
    </row>
    <row r="1195" spans="5:5" x14ac:dyDescent="0.25">
      <c r="E1195" t="s">
        <v>1007</v>
      </c>
    </row>
    <row r="1196" spans="5:5" x14ac:dyDescent="0.25">
      <c r="E1196" t="s">
        <v>1008</v>
      </c>
    </row>
    <row r="1197" spans="5:5" x14ac:dyDescent="0.25">
      <c r="E1197" t="s">
        <v>1009</v>
      </c>
    </row>
    <row r="1198" spans="5:5" x14ac:dyDescent="0.25">
      <c r="E1198" t="s">
        <v>1010</v>
      </c>
    </row>
    <row r="1199" spans="5:5" x14ac:dyDescent="0.25">
      <c r="E1199" t="s">
        <v>1011</v>
      </c>
    </row>
    <row r="1200" spans="5:5" x14ac:dyDescent="0.25">
      <c r="E1200" t="s">
        <v>1012</v>
      </c>
    </row>
    <row r="1201" spans="5:5" x14ac:dyDescent="0.25">
      <c r="E1201" t="s">
        <v>1013</v>
      </c>
    </row>
    <row r="1202" spans="5:5" x14ac:dyDescent="0.25">
      <c r="E1202" t="s">
        <v>1014</v>
      </c>
    </row>
    <row r="1203" spans="5:5" x14ac:dyDescent="0.25">
      <c r="E1203" t="s">
        <v>1015</v>
      </c>
    </row>
    <row r="1204" spans="5:5" x14ac:dyDescent="0.25">
      <c r="E1204" t="s">
        <v>1016</v>
      </c>
    </row>
    <row r="1205" spans="5:5" x14ac:dyDescent="0.25">
      <c r="E1205" t="s">
        <v>1017</v>
      </c>
    </row>
    <row r="1206" spans="5:5" x14ac:dyDescent="0.25">
      <c r="E1206" t="s">
        <v>1018</v>
      </c>
    </row>
    <row r="1207" spans="5:5" x14ac:dyDescent="0.25">
      <c r="E1207" t="s">
        <v>1019</v>
      </c>
    </row>
    <row r="1208" spans="5:5" x14ac:dyDescent="0.25">
      <c r="E1208" t="s">
        <v>1020</v>
      </c>
    </row>
    <row r="1209" spans="5:5" x14ac:dyDescent="0.25">
      <c r="E1209" t="s">
        <v>1021</v>
      </c>
    </row>
    <row r="1210" spans="5:5" x14ac:dyDescent="0.25">
      <c r="E1210" t="s">
        <v>1022</v>
      </c>
    </row>
    <row r="1211" spans="5:5" x14ac:dyDescent="0.25">
      <c r="E1211" t="s">
        <v>1023</v>
      </c>
    </row>
    <row r="1212" spans="5:5" x14ac:dyDescent="0.25">
      <c r="E1212" t="s">
        <v>1024</v>
      </c>
    </row>
    <row r="1213" spans="5:5" x14ac:dyDescent="0.25">
      <c r="E1213" t="s">
        <v>1025</v>
      </c>
    </row>
    <row r="1214" spans="5:5" x14ac:dyDescent="0.25">
      <c r="E1214" t="s">
        <v>1026</v>
      </c>
    </row>
    <row r="1215" spans="5:5" x14ac:dyDescent="0.25">
      <c r="E1215" t="s">
        <v>1027</v>
      </c>
    </row>
    <row r="1216" spans="5:5" x14ac:dyDescent="0.25">
      <c r="E1216" t="s">
        <v>1028</v>
      </c>
    </row>
    <row r="1217" spans="5:5" x14ac:dyDescent="0.25">
      <c r="E1217" t="s">
        <v>1029</v>
      </c>
    </row>
    <row r="1218" spans="5:5" x14ac:dyDescent="0.25">
      <c r="E1218" t="s">
        <v>1030</v>
      </c>
    </row>
    <row r="1219" spans="5:5" x14ac:dyDescent="0.25">
      <c r="E1219" t="s">
        <v>1031</v>
      </c>
    </row>
    <row r="1220" spans="5:5" x14ac:dyDescent="0.25">
      <c r="E1220" t="s">
        <v>1032</v>
      </c>
    </row>
    <row r="1221" spans="5:5" x14ac:dyDescent="0.25">
      <c r="E1221" t="s">
        <v>1033</v>
      </c>
    </row>
    <row r="1222" spans="5:5" x14ac:dyDescent="0.25">
      <c r="E1222" t="s">
        <v>1034</v>
      </c>
    </row>
    <row r="1223" spans="5:5" x14ac:dyDescent="0.25">
      <c r="E1223" t="s">
        <v>1035</v>
      </c>
    </row>
    <row r="1224" spans="5:5" x14ac:dyDescent="0.25">
      <c r="E1224" t="s">
        <v>1036</v>
      </c>
    </row>
    <row r="1225" spans="5:5" x14ac:dyDescent="0.25">
      <c r="E1225" t="s">
        <v>1037</v>
      </c>
    </row>
    <row r="1226" spans="5:5" x14ac:dyDescent="0.25">
      <c r="E1226" t="s">
        <v>1038</v>
      </c>
    </row>
    <row r="1227" spans="5:5" x14ac:dyDescent="0.25">
      <c r="E1227" t="s">
        <v>1039</v>
      </c>
    </row>
    <row r="1228" spans="5:5" x14ac:dyDescent="0.25">
      <c r="E1228" t="s">
        <v>1040</v>
      </c>
    </row>
    <row r="1229" spans="5:5" x14ac:dyDescent="0.25">
      <c r="E1229" t="s">
        <v>1041</v>
      </c>
    </row>
    <row r="1230" spans="5:5" x14ac:dyDescent="0.25">
      <c r="E1230" t="s">
        <v>1042</v>
      </c>
    </row>
    <row r="1231" spans="5:5" x14ac:dyDescent="0.25">
      <c r="E1231" t="s">
        <v>1043</v>
      </c>
    </row>
    <row r="1232" spans="5:5" x14ac:dyDescent="0.25">
      <c r="E1232" t="s">
        <v>1044</v>
      </c>
    </row>
    <row r="1233" spans="5:5" x14ac:dyDescent="0.25">
      <c r="E1233" t="s">
        <v>1045</v>
      </c>
    </row>
    <row r="1234" spans="5:5" x14ac:dyDescent="0.25">
      <c r="E1234" t="s">
        <v>1046</v>
      </c>
    </row>
    <row r="1235" spans="5:5" x14ac:dyDescent="0.25">
      <c r="E1235" t="s">
        <v>1047</v>
      </c>
    </row>
    <row r="1236" spans="5:5" x14ac:dyDescent="0.25">
      <c r="E1236" t="s">
        <v>1048</v>
      </c>
    </row>
    <row r="1237" spans="5:5" x14ac:dyDescent="0.25">
      <c r="E1237" t="s">
        <v>1049</v>
      </c>
    </row>
    <row r="1238" spans="5:5" x14ac:dyDescent="0.25">
      <c r="E1238" t="s">
        <v>1050</v>
      </c>
    </row>
    <row r="1239" spans="5:5" x14ac:dyDescent="0.25">
      <c r="E1239" t="s">
        <v>1051</v>
      </c>
    </row>
    <row r="1240" spans="5:5" x14ac:dyDescent="0.25">
      <c r="E1240" t="s">
        <v>1052</v>
      </c>
    </row>
    <row r="1241" spans="5:5" x14ac:dyDescent="0.25">
      <c r="E1241" t="s">
        <v>1053</v>
      </c>
    </row>
    <row r="1242" spans="5:5" x14ac:dyDescent="0.25">
      <c r="E1242" t="s">
        <v>1054</v>
      </c>
    </row>
    <row r="1243" spans="5:5" x14ac:dyDescent="0.25">
      <c r="E1243" t="s">
        <v>1055</v>
      </c>
    </row>
    <row r="1244" spans="5:5" x14ac:dyDescent="0.25">
      <c r="E1244" t="s">
        <v>1056</v>
      </c>
    </row>
    <row r="1245" spans="5:5" x14ac:dyDescent="0.25">
      <c r="E1245" t="s">
        <v>1057</v>
      </c>
    </row>
    <row r="1246" spans="5:5" x14ac:dyDescent="0.25">
      <c r="E1246" t="s">
        <v>1058</v>
      </c>
    </row>
    <row r="1247" spans="5:5" x14ac:dyDescent="0.25">
      <c r="E1247" t="s">
        <v>1059</v>
      </c>
    </row>
    <row r="1248" spans="5:5" x14ac:dyDescent="0.25">
      <c r="E1248" t="s">
        <v>1060</v>
      </c>
    </row>
    <row r="1249" spans="5:5" x14ac:dyDescent="0.25">
      <c r="E1249" t="s">
        <v>1061</v>
      </c>
    </row>
    <row r="1250" spans="5:5" x14ac:dyDescent="0.25">
      <c r="E1250" t="s">
        <v>1062</v>
      </c>
    </row>
    <row r="1251" spans="5:5" x14ac:dyDescent="0.25">
      <c r="E1251" t="s">
        <v>1063</v>
      </c>
    </row>
    <row r="1252" spans="5:5" x14ac:dyDescent="0.25">
      <c r="E1252" t="s">
        <v>1064</v>
      </c>
    </row>
    <row r="1253" spans="5:5" x14ac:dyDescent="0.25">
      <c r="E1253" t="s">
        <v>1065</v>
      </c>
    </row>
    <row r="1254" spans="5:5" x14ac:dyDescent="0.25">
      <c r="E1254" t="s">
        <v>1066</v>
      </c>
    </row>
    <row r="1255" spans="5:5" x14ac:dyDescent="0.25">
      <c r="E1255" t="s">
        <v>1067</v>
      </c>
    </row>
    <row r="1256" spans="5:5" x14ac:dyDescent="0.25">
      <c r="E1256" t="s">
        <v>1068</v>
      </c>
    </row>
    <row r="1257" spans="5:5" x14ac:dyDescent="0.25">
      <c r="E1257" t="s">
        <v>1069</v>
      </c>
    </row>
    <row r="1258" spans="5:5" x14ac:dyDescent="0.25">
      <c r="E1258" t="s">
        <v>1070</v>
      </c>
    </row>
    <row r="1259" spans="5:5" x14ac:dyDescent="0.25">
      <c r="E1259" t="s">
        <v>1071</v>
      </c>
    </row>
    <row r="1260" spans="5:5" x14ac:dyDescent="0.25">
      <c r="E1260" t="s">
        <v>1072</v>
      </c>
    </row>
    <row r="1261" spans="5:5" x14ac:dyDescent="0.25">
      <c r="E1261" t="s">
        <v>1073</v>
      </c>
    </row>
    <row r="1262" spans="5:5" x14ac:dyDescent="0.25">
      <c r="E1262" t="s">
        <v>1074</v>
      </c>
    </row>
    <row r="1263" spans="5:5" x14ac:dyDescent="0.25">
      <c r="E1263" t="s">
        <v>1075</v>
      </c>
    </row>
    <row r="1264" spans="5:5" x14ac:dyDescent="0.25">
      <c r="E1264" t="s">
        <v>1076</v>
      </c>
    </row>
    <row r="1265" spans="5:5" x14ac:dyDescent="0.25">
      <c r="E1265" t="s">
        <v>1077</v>
      </c>
    </row>
    <row r="1266" spans="5:5" x14ac:dyDescent="0.25">
      <c r="E1266" t="s">
        <v>1078</v>
      </c>
    </row>
    <row r="1267" spans="5:5" x14ac:dyDescent="0.25">
      <c r="E1267" t="s">
        <v>1079</v>
      </c>
    </row>
    <row r="1268" spans="5:5" x14ac:dyDescent="0.25">
      <c r="E1268" t="s">
        <v>1080</v>
      </c>
    </row>
    <row r="1269" spans="5:5" x14ac:dyDescent="0.25">
      <c r="E1269" t="s">
        <v>1081</v>
      </c>
    </row>
    <row r="1270" spans="5:5" x14ac:dyDescent="0.25">
      <c r="E1270" t="s">
        <v>1082</v>
      </c>
    </row>
    <row r="1271" spans="5:5" x14ac:dyDescent="0.25">
      <c r="E1271" t="s">
        <v>1083</v>
      </c>
    </row>
    <row r="1272" spans="5:5" x14ac:dyDescent="0.25">
      <c r="E1272" t="s">
        <v>1084</v>
      </c>
    </row>
    <row r="1273" spans="5:5" x14ac:dyDescent="0.25">
      <c r="E1273" t="s">
        <v>1085</v>
      </c>
    </row>
    <row r="1274" spans="5:5" x14ac:dyDescent="0.25">
      <c r="E1274" t="s">
        <v>1086</v>
      </c>
    </row>
    <row r="1275" spans="5:5" x14ac:dyDescent="0.25">
      <c r="E1275" t="s">
        <v>1087</v>
      </c>
    </row>
    <row r="1276" spans="5:5" x14ac:dyDescent="0.25">
      <c r="E1276" t="s">
        <v>1088</v>
      </c>
    </row>
    <row r="1277" spans="5:5" x14ac:dyDescent="0.25">
      <c r="E1277" t="s">
        <v>1089</v>
      </c>
    </row>
    <row r="1278" spans="5:5" x14ac:dyDescent="0.25">
      <c r="E1278" t="s">
        <v>1090</v>
      </c>
    </row>
    <row r="1279" spans="5:5" x14ac:dyDescent="0.25">
      <c r="E1279" t="s">
        <v>1091</v>
      </c>
    </row>
    <row r="1280" spans="5:5" x14ac:dyDescent="0.25">
      <c r="E1280" t="s">
        <v>1092</v>
      </c>
    </row>
    <row r="1281" spans="5:5" x14ac:dyDescent="0.25">
      <c r="E1281" t="s">
        <v>1093</v>
      </c>
    </row>
    <row r="1282" spans="5:5" x14ac:dyDescent="0.25">
      <c r="E1282" t="s">
        <v>1094</v>
      </c>
    </row>
    <row r="1283" spans="5:5" x14ac:dyDescent="0.25">
      <c r="E1283" t="s">
        <v>1095</v>
      </c>
    </row>
    <row r="1284" spans="5:5" x14ac:dyDescent="0.25">
      <c r="E1284" t="s">
        <v>1096</v>
      </c>
    </row>
    <row r="1285" spans="5:5" x14ac:dyDescent="0.25">
      <c r="E1285" t="s">
        <v>1097</v>
      </c>
    </row>
    <row r="1286" spans="5:5" x14ac:dyDescent="0.25">
      <c r="E1286" t="s">
        <v>1098</v>
      </c>
    </row>
    <row r="1287" spans="5:5" x14ac:dyDescent="0.25">
      <c r="E1287" t="s">
        <v>1099</v>
      </c>
    </row>
    <row r="1288" spans="5:5" x14ac:dyDescent="0.25">
      <c r="E1288" t="s">
        <v>1100</v>
      </c>
    </row>
    <row r="1289" spans="5:5" x14ac:dyDescent="0.25">
      <c r="E1289" t="s">
        <v>1101</v>
      </c>
    </row>
    <row r="1290" spans="5:5" x14ac:dyDescent="0.25">
      <c r="E1290" t="s">
        <v>1102</v>
      </c>
    </row>
    <row r="1291" spans="5:5" x14ac:dyDescent="0.25">
      <c r="E1291" t="s">
        <v>1103</v>
      </c>
    </row>
    <row r="1292" spans="5:5" x14ac:dyDescent="0.25">
      <c r="E1292" t="s">
        <v>1104</v>
      </c>
    </row>
    <row r="1293" spans="5:5" x14ac:dyDescent="0.25">
      <c r="E1293" t="s">
        <v>1105</v>
      </c>
    </row>
    <row r="1294" spans="5:5" x14ac:dyDescent="0.25">
      <c r="E1294" t="s">
        <v>1106</v>
      </c>
    </row>
    <row r="1295" spans="5:5" x14ac:dyDescent="0.25">
      <c r="E1295" t="s">
        <v>1107</v>
      </c>
    </row>
    <row r="1297" spans="5:5" x14ac:dyDescent="0.25">
      <c r="E1297" t="s">
        <v>1108</v>
      </c>
    </row>
    <row r="1298" spans="5:5" x14ac:dyDescent="0.25">
      <c r="E1298" t="s">
        <v>1109</v>
      </c>
    </row>
    <row r="1299" spans="5:5" x14ac:dyDescent="0.25">
      <c r="E1299" t="s">
        <v>1110</v>
      </c>
    </row>
    <row r="1300" spans="5:5" x14ac:dyDescent="0.25">
      <c r="E1300" t="s">
        <v>1111</v>
      </c>
    </row>
    <row r="1301" spans="5:5" x14ac:dyDescent="0.25">
      <c r="E1301" t="s">
        <v>1112</v>
      </c>
    </row>
    <row r="1302" spans="5:5" x14ac:dyDescent="0.25">
      <c r="E1302" t="s">
        <v>1113</v>
      </c>
    </row>
    <row r="1303" spans="5:5" x14ac:dyDescent="0.25">
      <c r="E1303" t="s">
        <v>1114</v>
      </c>
    </row>
    <row r="1304" spans="5:5" x14ac:dyDescent="0.25">
      <c r="E1304" t="s">
        <v>1115</v>
      </c>
    </row>
    <row r="1305" spans="5:5" x14ac:dyDescent="0.25">
      <c r="E1305" t="s">
        <v>1116</v>
      </c>
    </row>
    <row r="1306" spans="5:5" x14ac:dyDescent="0.25">
      <c r="E1306" t="s">
        <v>1117</v>
      </c>
    </row>
    <row r="1307" spans="5:5" x14ac:dyDescent="0.25">
      <c r="E1307" t="s">
        <v>1118</v>
      </c>
    </row>
    <row r="1308" spans="5:5" x14ac:dyDescent="0.25">
      <c r="E1308" t="s">
        <v>1119</v>
      </c>
    </row>
    <row r="1309" spans="5:5" x14ac:dyDescent="0.25">
      <c r="E1309" t="s">
        <v>1120</v>
      </c>
    </row>
    <row r="1310" spans="5:5" x14ac:dyDescent="0.25">
      <c r="E1310" t="s">
        <v>1121</v>
      </c>
    </row>
    <row r="1311" spans="5:5" x14ac:dyDescent="0.25">
      <c r="E1311" t="s">
        <v>1122</v>
      </c>
    </row>
    <row r="1312" spans="5:5" x14ac:dyDescent="0.25">
      <c r="E1312" t="s">
        <v>1123</v>
      </c>
    </row>
    <row r="1313" spans="5:5" x14ac:dyDescent="0.25">
      <c r="E1313" t="s">
        <v>1124</v>
      </c>
    </row>
    <row r="1314" spans="5:5" x14ac:dyDescent="0.25">
      <c r="E1314" t="s">
        <v>1125</v>
      </c>
    </row>
    <row r="1315" spans="5:5" x14ac:dyDescent="0.25">
      <c r="E1315" t="s">
        <v>1126</v>
      </c>
    </row>
    <row r="1316" spans="5:5" x14ac:dyDescent="0.25">
      <c r="E1316" t="s">
        <v>1127</v>
      </c>
    </row>
    <row r="1317" spans="5:5" x14ac:dyDescent="0.25">
      <c r="E1317" t="s">
        <v>1128</v>
      </c>
    </row>
    <row r="1318" spans="5:5" x14ac:dyDescent="0.25">
      <c r="E1318" t="s">
        <v>1129</v>
      </c>
    </row>
    <row r="1319" spans="5:5" x14ac:dyDescent="0.25">
      <c r="E1319" t="s">
        <v>1130</v>
      </c>
    </row>
    <row r="1320" spans="5:5" x14ac:dyDescent="0.25">
      <c r="E1320" t="s">
        <v>1131</v>
      </c>
    </row>
    <row r="1321" spans="5:5" x14ac:dyDescent="0.25">
      <c r="E1321" t="s">
        <v>1132</v>
      </c>
    </row>
    <row r="1322" spans="5:5" x14ac:dyDescent="0.25">
      <c r="E1322" t="s">
        <v>1133</v>
      </c>
    </row>
    <row r="1323" spans="5:5" x14ac:dyDescent="0.25">
      <c r="E1323" t="s">
        <v>1134</v>
      </c>
    </row>
    <row r="1324" spans="5:5" x14ac:dyDescent="0.25">
      <c r="E1324" t="s">
        <v>1135</v>
      </c>
    </row>
    <row r="1325" spans="5:5" x14ac:dyDescent="0.25">
      <c r="E1325" t="s">
        <v>1136</v>
      </c>
    </row>
    <row r="1326" spans="5:5" x14ac:dyDescent="0.25">
      <c r="E1326" t="s">
        <v>1137</v>
      </c>
    </row>
    <row r="1327" spans="5:5" x14ac:dyDescent="0.25">
      <c r="E1327" t="s">
        <v>1138</v>
      </c>
    </row>
    <row r="1328" spans="5:5" x14ac:dyDescent="0.25">
      <c r="E1328" t="s">
        <v>1139</v>
      </c>
    </row>
    <row r="1329" spans="5:5" x14ac:dyDescent="0.25">
      <c r="E1329" t="s">
        <v>1140</v>
      </c>
    </row>
    <row r="1330" spans="5:5" x14ac:dyDescent="0.25">
      <c r="E1330" t="s">
        <v>1141</v>
      </c>
    </row>
    <row r="1331" spans="5:5" x14ac:dyDescent="0.25">
      <c r="E1331" t="s">
        <v>1142</v>
      </c>
    </row>
    <row r="1332" spans="5:5" x14ac:dyDescent="0.25">
      <c r="E1332" t="s">
        <v>1143</v>
      </c>
    </row>
    <row r="1333" spans="5:5" x14ac:dyDescent="0.25">
      <c r="E1333" t="s">
        <v>1144</v>
      </c>
    </row>
    <row r="1334" spans="5:5" x14ac:dyDescent="0.25">
      <c r="E1334" t="s">
        <v>1145</v>
      </c>
    </row>
    <row r="1335" spans="5:5" x14ac:dyDescent="0.25">
      <c r="E1335" t="s">
        <v>1146</v>
      </c>
    </row>
    <row r="1336" spans="5:5" x14ac:dyDescent="0.25">
      <c r="E1336" t="s">
        <v>1147</v>
      </c>
    </row>
    <row r="1337" spans="5:5" x14ac:dyDescent="0.25">
      <c r="E1337" t="s">
        <v>1148</v>
      </c>
    </row>
    <row r="1338" spans="5:5" x14ac:dyDescent="0.25">
      <c r="E1338" t="s">
        <v>1149</v>
      </c>
    </row>
    <row r="1339" spans="5:5" x14ac:dyDescent="0.25">
      <c r="E1339" t="s">
        <v>1150</v>
      </c>
    </row>
    <row r="1340" spans="5:5" x14ac:dyDescent="0.25">
      <c r="E1340" t="s">
        <v>1151</v>
      </c>
    </row>
    <row r="1341" spans="5:5" x14ac:dyDescent="0.25">
      <c r="E1341" t="s">
        <v>1152</v>
      </c>
    </row>
    <row r="1342" spans="5:5" x14ac:dyDescent="0.25">
      <c r="E1342" t="s">
        <v>1153</v>
      </c>
    </row>
    <row r="1343" spans="5:5" x14ac:dyDescent="0.25">
      <c r="E1343" t="s">
        <v>1154</v>
      </c>
    </row>
    <row r="1344" spans="5:5" x14ac:dyDescent="0.25">
      <c r="E1344" t="s">
        <v>1155</v>
      </c>
    </row>
    <row r="1345" spans="5:5" x14ac:dyDescent="0.25">
      <c r="E1345" t="s">
        <v>1156</v>
      </c>
    </row>
    <row r="1346" spans="5:5" x14ac:dyDescent="0.25">
      <c r="E1346" t="s">
        <v>1157</v>
      </c>
    </row>
    <row r="1347" spans="5:5" x14ac:dyDescent="0.25">
      <c r="E1347" t="s">
        <v>1158</v>
      </c>
    </row>
    <row r="1348" spans="5:5" x14ac:dyDescent="0.25">
      <c r="E1348" t="s">
        <v>1159</v>
      </c>
    </row>
    <row r="1349" spans="5:5" x14ac:dyDescent="0.25">
      <c r="E1349" t="s">
        <v>1160</v>
      </c>
    </row>
    <row r="1350" spans="5:5" x14ac:dyDescent="0.25">
      <c r="E1350" t="s">
        <v>1161</v>
      </c>
    </row>
    <row r="1351" spans="5:5" x14ac:dyDescent="0.25">
      <c r="E1351" t="s">
        <v>1162</v>
      </c>
    </row>
    <row r="1352" spans="5:5" x14ac:dyDescent="0.25">
      <c r="E1352" t="s">
        <v>1163</v>
      </c>
    </row>
    <row r="1353" spans="5:5" x14ac:dyDescent="0.25">
      <c r="E1353" t="s">
        <v>1164</v>
      </c>
    </row>
    <row r="1354" spans="5:5" x14ac:dyDescent="0.25">
      <c r="E1354" t="s">
        <v>1165</v>
      </c>
    </row>
    <row r="1355" spans="5:5" x14ac:dyDescent="0.25">
      <c r="E1355" t="s">
        <v>1166</v>
      </c>
    </row>
    <row r="1356" spans="5:5" x14ac:dyDescent="0.25">
      <c r="E1356" t="s">
        <v>1167</v>
      </c>
    </row>
    <row r="1357" spans="5:5" x14ac:dyDescent="0.25">
      <c r="E1357" t="s">
        <v>1168</v>
      </c>
    </row>
    <row r="1358" spans="5:5" x14ac:dyDescent="0.25">
      <c r="E1358" t="s">
        <v>1169</v>
      </c>
    </row>
    <row r="1359" spans="5:5" x14ac:dyDescent="0.25">
      <c r="E1359" t="s">
        <v>1170</v>
      </c>
    </row>
    <row r="1360" spans="5:5" x14ac:dyDescent="0.25">
      <c r="E1360" t="s">
        <v>1171</v>
      </c>
    </row>
    <row r="1361" spans="5:5" x14ac:dyDescent="0.25">
      <c r="E1361" t="s">
        <v>1172</v>
      </c>
    </row>
    <row r="1362" spans="5:5" x14ac:dyDescent="0.25">
      <c r="E1362" t="s">
        <v>1173</v>
      </c>
    </row>
    <row r="1363" spans="5:5" x14ac:dyDescent="0.25">
      <c r="E1363" t="s">
        <v>1174</v>
      </c>
    </row>
    <row r="1364" spans="5:5" x14ac:dyDescent="0.25">
      <c r="E1364" t="s">
        <v>1175</v>
      </c>
    </row>
    <row r="1365" spans="5:5" x14ac:dyDescent="0.25">
      <c r="E1365" t="s">
        <v>1176</v>
      </c>
    </row>
    <row r="1366" spans="5:5" x14ac:dyDescent="0.25">
      <c r="E1366" t="s">
        <v>1177</v>
      </c>
    </row>
    <row r="1367" spans="5:5" x14ac:dyDescent="0.25">
      <c r="E1367" t="s">
        <v>1178</v>
      </c>
    </row>
    <row r="1368" spans="5:5" x14ac:dyDescent="0.25">
      <c r="E1368" t="s">
        <v>1179</v>
      </c>
    </row>
    <row r="1369" spans="5:5" x14ac:dyDescent="0.25">
      <c r="E1369" t="s">
        <v>1180</v>
      </c>
    </row>
    <row r="1370" spans="5:5" x14ac:dyDescent="0.25">
      <c r="E1370" t="s">
        <v>1181</v>
      </c>
    </row>
    <row r="1371" spans="5:5" x14ac:dyDescent="0.25">
      <c r="E1371" t="s">
        <v>1182</v>
      </c>
    </row>
    <row r="1372" spans="5:5" x14ac:dyDescent="0.25">
      <c r="E1372" t="s">
        <v>1183</v>
      </c>
    </row>
    <row r="1373" spans="5:5" x14ac:dyDescent="0.25">
      <c r="E1373" t="s">
        <v>1184</v>
      </c>
    </row>
    <row r="1374" spans="5:5" x14ac:dyDescent="0.25">
      <c r="E1374" t="s">
        <v>1185</v>
      </c>
    </row>
    <row r="1375" spans="5:5" x14ac:dyDescent="0.25">
      <c r="E1375" t="s">
        <v>1186</v>
      </c>
    </row>
    <row r="1376" spans="5:5" x14ac:dyDescent="0.25">
      <c r="E1376" t="s">
        <v>1187</v>
      </c>
    </row>
    <row r="1377" spans="5:5" x14ac:dyDescent="0.25">
      <c r="E1377" t="s">
        <v>1188</v>
      </c>
    </row>
    <row r="1378" spans="5:5" x14ac:dyDescent="0.25">
      <c r="E1378" t="s">
        <v>1189</v>
      </c>
    </row>
    <row r="1379" spans="5:5" x14ac:dyDescent="0.25">
      <c r="E1379" t="s">
        <v>1190</v>
      </c>
    </row>
    <row r="1380" spans="5:5" x14ac:dyDescent="0.25">
      <c r="E1380" t="s">
        <v>1191</v>
      </c>
    </row>
    <row r="1381" spans="5:5" x14ac:dyDescent="0.25">
      <c r="E1381" t="s">
        <v>1192</v>
      </c>
    </row>
    <row r="1382" spans="5:5" x14ac:dyDescent="0.25">
      <c r="E1382" t="s">
        <v>1193</v>
      </c>
    </row>
    <row r="1383" spans="5:5" x14ac:dyDescent="0.25">
      <c r="E1383" t="s">
        <v>1194</v>
      </c>
    </row>
    <row r="1384" spans="5:5" x14ac:dyDescent="0.25">
      <c r="E1384" t="s">
        <v>1195</v>
      </c>
    </row>
    <row r="1385" spans="5:5" x14ac:dyDescent="0.25">
      <c r="E1385" t="s">
        <v>1196</v>
      </c>
    </row>
    <row r="1386" spans="5:5" x14ac:dyDescent="0.25">
      <c r="E1386" t="s">
        <v>1197</v>
      </c>
    </row>
    <row r="1387" spans="5:5" x14ac:dyDescent="0.25">
      <c r="E1387" t="s">
        <v>1198</v>
      </c>
    </row>
    <row r="1388" spans="5:5" x14ac:dyDescent="0.25">
      <c r="E1388" t="s">
        <v>1199</v>
      </c>
    </row>
    <row r="1389" spans="5:5" x14ac:dyDescent="0.25">
      <c r="E1389" t="s">
        <v>1200</v>
      </c>
    </row>
    <row r="1390" spans="5:5" x14ac:dyDescent="0.25">
      <c r="E1390" t="s">
        <v>1201</v>
      </c>
    </row>
    <row r="1391" spans="5:5" x14ac:dyDescent="0.25">
      <c r="E1391" t="s">
        <v>1202</v>
      </c>
    </row>
    <row r="1392" spans="5:5" x14ac:dyDescent="0.25">
      <c r="E1392" t="s">
        <v>1203</v>
      </c>
    </row>
    <row r="1393" spans="5:5" x14ac:dyDescent="0.25">
      <c r="E1393" t="s">
        <v>1204</v>
      </c>
    </row>
    <row r="1394" spans="5:5" x14ac:dyDescent="0.25">
      <c r="E1394" t="s">
        <v>1205</v>
      </c>
    </row>
    <row r="1395" spans="5:5" x14ac:dyDescent="0.25">
      <c r="E1395" t="s">
        <v>1206</v>
      </c>
    </row>
    <row r="1396" spans="5:5" x14ac:dyDescent="0.25">
      <c r="E1396" t="s">
        <v>1207</v>
      </c>
    </row>
    <row r="1397" spans="5:5" x14ac:dyDescent="0.25">
      <c r="E1397" t="s">
        <v>1208</v>
      </c>
    </row>
    <row r="1398" spans="5:5" x14ac:dyDescent="0.25">
      <c r="E1398" t="s">
        <v>1209</v>
      </c>
    </row>
    <row r="1399" spans="5:5" x14ac:dyDescent="0.25">
      <c r="E1399" t="s">
        <v>1210</v>
      </c>
    </row>
    <row r="1400" spans="5:5" x14ac:dyDescent="0.25">
      <c r="E1400" t="s">
        <v>1211</v>
      </c>
    </row>
    <row r="1401" spans="5:5" x14ac:dyDescent="0.25">
      <c r="E1401" t="s">
        <v>1212</v>
      </c>
    </row>
    <row r="1402" spans="5:5" x14ac:dyDescent="0.25">
      <c r="E1402" t="s">
        <v>1213</v>
      </c>
    </row>
    <row r="1403" spans="5:5" x14ac:dyDescent="0.25">
      <c r="E1403" t="s">
        <v>1214</v>
      </c>
    </row>
    <row r="1404" spans="5:5" x14ac:dyDescent="0.25">
      <c r="E1404" t="s">
        <v>1215</v>
      </c>
    </row>
    <row r="1405" spans="5:5" x14ac:dyDescent="0.25">
      <c r="E1405" t="s">
        <v>1216</v>
      </c>
    </row>
    <row r="1406" spans="5:5" x14ac:dyDescent="0.25">
      <c r="E1406" t="s">
        <v>1217</v>
      </c>
    </row>
    <row r="1407" spans="5:5" x14ac:dyDescent="0.25">
      <c r="E1407" t="s">
        <v>1218</v>
      </c>
    </row>
    <row r="1408" spans="5:5" x14ac:dyDescent="0.25">
      <c r="E1408" t="s">
        <v>1219</v>
      </c>
    </row>
    <row r="1409" spans="5:5" x14ac:dyDescent="0.25">
      <c r="E1409" t="s">
        <v>1220</v>
      </c>
    </row>
    <row r="1413" spans="5:5" x14ac:dyDescent="0.25">
      <c r="E1413" t="s">
        <v>1221</v>
      </c>
    </row>
    <row r="1414" spans="5:5" x14ac:dyDescent="0.25">
      <c r="E1414" t="s">
        <v>1222</v>
      </c>
    </row>
    <row r="1415" spans="5:5" x14ac:dyDescent="0.25">
      <c r="E1415" t="s">
        <v>1223</v>
      </c>
    </row>
    <row r="1416" spans="5:5" x14ac:dyDescent="0.25">
      <c r="E1416" t="s">
        <v>1224</v>
      </c>
    </row>
    <row r="1417" spans="5:5" x14ac:dyDescent="0.25">
      <c r="E1417" t="s">
        <v>1225</v>
      </c>
    </row>
    <row r="1418" spans="5:5" x14ac:dyDescent="0.25">
      <c r="E1418" t="s">
        <v>1226</v>
      </c>
    </row>
    <row r="1419" spans="5:5" x14ac:dyDescent="0.25">
      <c r="E1419" t="s">
        <v>1227</v>
      </c>
    </row>
    <row r="1420" spans="5:5" x14ac:dyDescent="0.25">
      <c r="E1420" t="s">
        <v>1228</v>
      </c>
    </row>
    <row r="1421" spans="5:5" x14ac:dyDescent="0.25">
      <c r="E1421" t="s">
        <v>1229</v>
      </c>
    </row>
    <row r="1422" spans="5:5" x14ac:dyDescent="0.25">
      <c r="E1422" t="s">
        <v>1230</v>
      </c>
    </row>
    <row r="1423" spans="5:5" x14ac:dyDescent="0.25">
      <c r="E1423" t="s">
        <v>1231</v>
      </c>
    </row>
    <row r="1424" spans="5:5" x14ac:dyDescent="0.25">
      <c r="E1424" t="s">
        <v>1232</v>
      </c>
    </row>
    <row r="1425" spans="5:5" x14ac:dyDescent="0.25">
      <c r="E1425" t="s">
        <v>1233</v>
      </c>
    </row>
    <row r="1426" spans="5:5" x14ac:dyDescent="0.25">
      <c r="E1426" t="s">
        <v>1234</v>
      </c>
    </row>
    <row r="1427" spans="5:5" x14ac:dyDescent="0.25">
      <c r="E1427" t="s">
        <v>1235</v>
      </c>
    </row>
    <row r="1428" spans="5:5" x14ac:dyDescent="0.25">
      <c r="E1428" t="s">
        <v>1236</v>
      </c>
    </row>
    <row r="1429" spans="5:5" x14ac:dyDescent="0.25">
      <c r="E1429" t="s">
        <v>1237</v>
      </c>
    </row>
    <row r="1430" spans="5:5" x14ac:dyDescent="0.25">
      <c r="E1430" t="s">
        <v>1238</v>
      </c>
    </row>
    <row r="1431" spans="5:5" x14ac:dyDescent="0.25">
      <c r="E1431" t="s">
        <v>1239</v>
      </c>
    </row>
    <row r="1432" spans="5:5" x14ac:dyDescent="0.25">
      <c r="E1432" t="s">
        <v>1240</v>
      </c>
    </row>
    <row r="1433" spans="5:5" x14ac:dyDescent="0.25">
      <c r="E1433" t="s">
        <v>1241</v>
      </c>
    </row>
    <row r="1434" spans="5:5" x14ac:dyDescent="0.25">
      <c r="E1434" t="s">
        <v>1242</v>
      </c>
    </row>
    <row r="1435" spans="5:5" x14ac:dyDescent="0.25">
      <c r="E1435" t="s">
        <v>1243</v>
      </c>
    </row>
    <row r="1437" spans="5:5" x14ac:dyDescent="0.25">
      <c r="E1437" t="s">
        <v>1244</v>
      </c>
    </row>
    <row r="1438" spans="5:5" x14ac:dyDescent="0.25">
      <c r="E1438" t="s">
        <v>1245</v>
      </c>
    </row>
    <row r="1439" spans="5:5" x14ac:dyDescent="0.25">
      <c r="E1439" t="s">
        <v>1246</v>
      </c>
    </row>
    <row r="1440" spans="5:5" x14ac:dyDescent="0.25">
      <c r="E1440" t="s">
        <v>1247</v>
      </c>
    </row>
    <row r="1441" spans="5:5" x14ac:dyDescent="0.25">
      <c r="E1441" t="s">
        <v>1248</v>
      </c>
    </row>
    <row r="1442" spans="5:5" x14ac:dyDescent="0.25">
      <c r="E1442" t="s">
        <v>1249</v>
      </c>
    </row>
    <row r="1443" spans="5:5" x14ac:dyDescent="0.25">
      <c r="E1443" t="s">
        <v>1250</v>
      </c>
    </row>
    <row r="1444" spans="5:5" x14ac:dyDescent="0.25">
      <c r="E1444" t="s">
        <v>1251</v>
      </c>
    </row>
    <row r="1445" spans="5:5" x14ac:dyDescent="0.25">
      <c r="E1445" t="s">
        <v>1252</v>
      </c>
    </row>
    <row r="1446" spans="5:5" x14ac:dyDescent="0.25">
      <c r="E1446" t="s">
        <v>1253</v>
      </c>
    </row>
    <row r="1447" spans="5:5" x14ac:dyDescent="0.25">
      <c r="E1447" t="s">
        <v>1254</v>
      </c>
    </row>
    <row r="1448" spans="5:5" x14ac:dyDescent="0.25">
      <c r="E1448" t="s">
        <v>1255</v>
      </c>
    </row>
    <row r="1449" spans="5:5" x14ac:dyDescent="0.25">
      <c r="E1449" t="s">
        <v>1256</v>
      </c>
    </row>
    <row r="1450" spans="5:5" x14ac:dyDescent="0.25">
      <c r="E1450" t="s">
        <v>1257</v>
      </c>
    </row>
    <row r="1451" spans="5:5" x14ac:dyDescent="0.25">
      <c r="E1451" t="s">
        <v>1258</v>
      </c>
    </row>
    <row r="1452" spans="5:5" x14ac:dyDescent="0.25">
      <c r="E1452" t="s">
        <v>1259</v>
      </c>
    </row>
    <row r="1453" spans="5:5" x14ac:dyDescent="0.25">
      <c r="E1453" t="s">
        <v>1260</v>
      </c>
    </row>
    <row r="1454" spans="5:5" x14ac:dyDescent="0.25">
      <c r="E1454" t="s">
        <v>1261</v>
      </c>
    </row>
    <row r="1455" spans="5:5" x14ac:dyDescent="0.25">
      <c r="E1455" t="s">
        <v>1262</v>
      </c>
    </row>
    <row r="1456" spans="5:5" x14ac:dyDescent="0.25">
      <c r="E1456" t="s">
        <v>1263</v>
      </c>
    </row>
    <row r="1458" spans="5:5" x14ac:dyDescent="0.25">
      <c r="E1458" t="s">
        <v>1264</v>
      </c>
    </row>
    <row r="1459" spans="5:5" x14ac:dyDescent="0.25">
      <c r="E1459" t="s">
        <v>1265</v>
      </c>
    </row>
    <row r="1460" spans="5:5" x14ac:dyDescent="0.25">
      <c r="E1460" t="s">
        <v>1266</v>
      </c>
    </row>
    <row r="1461" spans="5:5" x14ac:dyDescent="0.25">
      <c r="E1461" t="s">
        <v>1267</v>
      </c>
    </row>
    <row r="1462" spans="5:5" x14ac:dyDescent="0.25">
      <c r="E1462" t="s">
        <v>1268</v>
      </c>
    </row>
    <row r="1463" spans="5:5" x14ac:dyDescent="0.25">
      <c r="E1463" t="s">
        <v>1269</v>
      </c>
    </row>
    <row r="1464" spans="5:5" x14ac:dyDescent="0.25">
      <c r="E1464" t="s">
        <v>1270</v>
      </c>
    </row>
    <row r="1465" spans="5:5" x14ac:dyDescent="0.25">
      <c r="E1465" t="s">
        <v>1271</v>
      </c>
    </row>
    <row r="1466" spans="5:5" x14ac:dyDescent="0.25">
      <c r="E1466" t="s">
        <v>1272</v>
      </c>
    </row>
    <row r="1467" spans="5:5" x14ac:dyDescent="0.25">
      <c r="E1467" t="s">
        <v>1273</v>
      </c>
    </row>
    <row r="1468" spans="5:5" x14ac:dyDescent="0.25">
      <c r="E1468" t="s">
        <v>1274</v>
      </c>
    </row>
    <row r="1469" spans="5:5" x14ac:dyDescent="0.25">
      <c r="E1469" t="s">
        <v>1275</v>
      </c>
    </row>
    <row r="1470" spans="5:5" x14ac:dyDescent="0.25">
      <c r="E1470" t="s">
        <v>1276</v>
      </c>
    </row>
    <row r="1471" spans="5:5" x14ac:dyDescent="0.25">
      <c r="E1471" t="s">
        <v>1277</v>
      </c>
    </row>
    <row r="1472" spans="5:5" x14ac:dyDescent="0.25">
      <c r="E1472" t="s">
        <v>1278</v>
      </c>
    </row>
    <row r="1473" spans="5:5" x14ac:dyDescent="0.25">
      <c r="E1473" t="s">
        <v>1279</v>
      </c>
    </row>
    <row r="1474" spans="5:5" x14ac:dyDescent="0.25">
      <c r="E1474" t="s">
        <v>1280</v>
      </c>
    </row>
    <row r="1475" spans="5:5" x14ac:dyDescent="0.25">
      <c r="E1475" t="s">
        <v>1281</v>
      </c>
    </row>
    <row r="1476" spans="5:5" x14ac:dyDescent="0.25">
      <c r="E1476" t="s">
        <v>1282</v>
      </c>
    </row>
    <row r="1477" spans="5:5" x14ac:dyDescent="0.25">
      <c r="E1477" t="s">
        <v>1283</v>
      </c>
    </row>
    <row r="1478" spans="5:5" x14ac:dyDescent="0.25">
      <c r="E1478" t="s">
        <v>1284</v>
      </c>
    </row>
    <row r="1479" spans="5:5" x14ac:dyDescent="0.25">
      <c r="E1479" t="s">
        <v>1285</v>
      </c>
    </row>
    <row r="1480" spans="5:5" x14ac:dyDescent="0.25">
      <c r="E1480" t="s">
        <v>1286</v>
      </c>
    </row>
    <row r="1481" spans="5:5" x14ac:dyDescent="0.25">
      <c r="E1481" t="s">
        <v>1287</v>
      </c>
    </row>
    <row r="1482" spans="5:5" x14ac:dyDescent="0.25">
      <c r="E1482" t="s">
        <v>1288</v>
      </c>
    </row>
    <row r="1483" spans="5:5" x14ac:dyDescent="0.25">
      <c r="E1483" t="s">
        <v>1289</v>
      </c>
    </row>
    <row r="1484" spans="5:5" x14ac:dyDescent="0.25">
      <c r="E1484" t="s">
        <v>1290</v>
      </c>
    </row>
    <row r="1485" spans="5:5" x14ac:dyDescent="0.25">
      <c r="E1485" t="s">
        <v>1291</v>
      </c>
    </row>
    <row r="1486" spans="5:5" x14ac:dyDescent="0.25">
      <c r="E1486" t="s">
        <v>1292</v>
      </c>
    </row>
    <row r="1487" spans="5:5" x14ac:dyDescent="0.25">
      <c r="E1487" t="s">
        <v>1293</v>
      </c>
    </row>
    <row r="1488" spans="5:5" x14ac:dyDescent="0.25">
      <c r="E1488" t="s">
        <v>1294</v>
      </c>
    </row>
    <row r="1489" spans="5:5" x14ac:dyDescent="0.25">
      <c r="E1489" t="s">
        <v>1295</v>
      </c>
    </row>
    <row r="1490" spans="5:5" x14ac:dyDescent="0.25">
      <c r="E1490" t="s">
        <v>1296</v>
      </c>
    </row>
    <row r="1491" spans="5:5" x14ac:dyDescent="0.25">
      <c r="E1491" t="s">
        <v>1297</v>
      </c>
    </row>
    <row r="1492" spans="5:5" x14ac:dyDescent="0.25">
      <c r="E1492" t="s">
        <v>1298</v>
      </c>
    </row>
    <row r="1493" spans="5:5" x14ac:dyDescent="0.25">
      <c r="E1493" t="s">
        <v>1299</v>
      </c>
    </row>
    <row r="1494" spans="5:5" x14ac:dyDescent="0.25">
      <c r="E1494" t="s">
        <v>1300</v>
      </c>
    </row>
    <row r="1495" spans="5:5" x14ac:dyDescent="0.25">
      <c r="E1495" t="s">
        <v>1301</v>
      </c>
    </row>
    <row r="1496" spans="5:5" x14ac:dyDescent="0.25">
      <c r="E1496" t="s">
        <v>1302</v>
      </c>
    </row>
    <row r="1497" spans="5:5" x14ac:dyDescent="0.25">
      <c r="E1497" t="s">
        <v>1303</v>
      </c>
    </row>
    <row r="1498" spans="5:5" x14ac:dyDescent="0.25">
      <c r="E1498" t="s">
        <v>1304</v>
      </c>
    </row>
    <row r="1499" spans="5:5" x14ac:dyDescent="0.25">
      <c r="E1499" t="s">
        <v>1305</v>
      </c>
    </row>
    <row r="1500" spans="5:5" x14ac:dyDescent="0.25">
      <c r="E1500" t="s">
        <v>1306</v>
      </c>
    </row>
    <row r="1501" spans="5:5" x14ac:dyDescent="0.25">
      <c r="E1501" t="s">
        <v>1307</v>
      </c>
    </row>
    <row r="1502" spans="5:5" x14ac:dyDescent="0.25">
      <c r="E1502" t="s">
        <v>1308</v>
      </c>
    </row>
    <row r="1503" spans="5:5" x14ac:dyDescent="0.25">
      <c r="E1503" t="s">
        <v>1309</v>
      </c>
    </row>
    <row r="1504" spans="5:5" x14ac:dyDescent="0.25">
      <c r="E1504" t="s">
        <v>1310</v>
      </c>
    </row>
    <row r="1505" spans="5:5" x14ac:dyDescent="0.25">
      <c r="E1505" t="s">
        <v>1311</v>
      </c>
    </row>
    <row r="1506" spans="5:5" x14ac:dyDescent="0.25">
      <c r="E1506" t="s">
        <v>1312</v>
      </c>
    </row>
    <row r="1507" spans="5:5" x14ac:dyDescent="0.25">
      <c r="E1507" t="s">
        <v>1313</v>
      </c>
    </row>
    <row r="1508" spans="5:5" x14ac:dyDescent="0.25">
      <c r="E1508" t="s">
        <v>1314</v>
      </c>
    </row>
    <row r="1509" spans="5:5" x14ac:dyDescent="0.25">
      <c r="E1509" t="s">
        <v>1315</v>
      </c>
    </row>
    <row r="1510" spans="5:5" x14ac:dyDescent="0.25">
      <c r="E1510" t="s">
        <v>1316</v>
      </c>
    </row>
    <row r="1511" spans="5:5" x14ac:dyDescent="0.25">
      <c r="E1511" t="s">
        <v>1317</v>
      </c>
    </row>
    <row r="1513" spans="5:5" x14ac:dyDescent="0.25">
      <c r="E1513" t="s">
        <v>1318</v>
      </c>
    </row>
    <row r="1514" spans="5:5" x14ac:dyDescent="0.25">
      <c r="E1514" t="s">
        <v>1319</v>
      </c>
    </row>
    <row r="1515" spans="5:5" x14ac:dyDescent="0.25">
      <c r="E1515" t="s">
        <v>1320</v>
      </c>
    </row>
    <row r="1516" spans="5:5" x14ac:dyDescent="0.25">
      <c r="E1516" t="s">
        <v>1321</v>
      </c>
    </row>
    <row r="1518" spans="5:5" x14ac:dyDescent="0.25">
      <c r="E1518" t="s">
        <v>1322</v>
      </c>
    </row>
    <row r="1519" spans="5:5" x14ac:dyDescent="0.25">
      <c r="E1519" t="s">
        <v>1323</v>
      </c>
    </row>
    <row r="1520" spans="5:5" x14ac:dyDescent="0.25">
      <c r="E1520" t="s">
        <v>1324</v>
      </c>
    </row>
    <row r="1521" spans="5:5" x14ac:dyDescent="0.25">
      <c r="E1521" t="s">
        <v>1325</v>
      </c>
    </row>
    <row r="1522" spans="5:5" x14ac:dyDescent="0.25">
      <c r="E1522" t="s">
        <v>1326</v>
      </c>
    </row>
    <row r="1523" spans="5:5" x14ac:dyDescent="0.25">
      <c r="E1523" t="s">
        <v>1327</v>
      </c>
    </row>
    <row r="1524" spans="5:5" x14ac:dyDescent="0.25">
      <c r="E1524" t="s">
        <v>1328</v>
      </c>
    </row>
    <row r="1525" spans="5:5" x14ac:dyDescent="0.25">
      <c r="E1525" t="s">
        <v>1329</v>
      </c>
    </row>
    <row r="1526" spans="5:5" x14ac:dyDescent="0.25">
      <c r="E1526" t="s">
        <v>1330</v>
      </c>
    </row>
    <row r="1527" spans="5:5" x14ac:dyDescent="0.25">
      <c r="E1527" t="s">
        <v>1331</v>
      </c>
    </row>
    <row r="1528" spans="5:5" x14ac:dyDescent="0.25">
      <c r="E1528" t="s">
        <v>1332</v>
      </c>
    </row>
    <row r="1529" spans="5:5" x14ac:dyDescent="0.25">
      <c r="E1529" t="s">
        <v>1333</v>
      </c>
    </row>
    <row r="1530" spans="5:5" x14ac:dyDescent="0.25">
      <c r="E1530" t="s">
        <v>1334</v>
      </c>
    </row>
    <row r="1531" spans="5:5" x14ac:dyDescent="0.25">
      <c r="E1531" t="s">
        <v>1335</v>
      </c>
    </row>
    <row r="1532" spans="5:5" x14ac:dyDescent="0.25">
      <c r="E1532" t="s">
        <v>1336</v>
      </c>
    </row>
    <row r="1533" spans="5:5" x14ac:dyDescent="0.25">
      <c r="E1533" t="s">
        <v>1337</v>
      </c>
    </row>
    <row r="1534" spans="5:5" x14ac:dyDescent="0.25">
      <c r="E1534" t="s">
        <v>1338</v>
      </c>
    </row>
    <row r="1535" spans="5:5" x14ac:dyDescent="0.25">
      <c r="E1535" t="s">
        <v>1339</v>
      </c>
    </row>
    <row r="1536" spans="5:5" x14ac:dyDescent="0.25">
      <c r="E1536" t="s">
        <v>1340</v>
      </c>
    </row>
    <row r="1537" spans="5:5" x14ac:dyDescent="0.25">
      <c r="E1537" t="s">
        <v>1341</v>
      </c>
    </row>
    <row r="1538" spans="5:5" x14ac:dyDescent="0.25">
      <c r="E1538" t="s">
        <v>1342</v>
      </c>
    </row>
    <row r="1539" spans="5:5" x14ac:dyDescent="0.25">
      <c r="E1539" t="s">
        <v>1343</v>
      </c>
    </row>
    <row r="1540" spans="5:5" x14ac:dyDescent="0.25">
      <c r="E1540" t="s">
        <v>1344</v>
      </c>
    </row>
    <row r="1541" spans="5:5" x14ac:dyDescent="0.25">
      <c r="E1541" t="s">
        <v>1345</v>
      </c>
    </row>
    <row r="1542" spans="5:5" x14ac:dyDescent="0.25">
      <c r="E1542" t="s">
        <v>1346</v>
      </c>
    </row>
    <row r="1543" spans="5:5" x14ac:dyDescent="0.25">
      <c r="E1543" t="s">
        <v>1347</v>
      </c>
    </row>
    <row r="1544" spans="5:5" x14ac:dyDescent="0.25">
      <c r="E1544" t="s">
        <v>1348</v>
      </c>
    </row>
    <row r="1545" spans="5:5" x14ac:dyDescent="0.25">
      <c r="E1545" t="s">
        <v>1349</v>
      </c>
    </row>
    <row r="1546" spans="5:5" x14ac:dyDescent="0.25">
      <c r="E1546" t="s">
        <v>1350</v>
      </c>
    </row>
    <row r="1547" spans="5:5" x14ac:dyDescent="0.25">
      <c r="E1547" t="s">
        <v>1351</v>
      </c>
    </row>
    <row r="1548" spans="5:5" x14ac:dyDescent="0.25">
      <c r="E1548" t="s">
        <v>1352</v>
      </c>
    </row>
    <row r="1549" spans="5:5" x14ac:dyDescent="0.25">
      <c r="E1549" t="s">
        <v>1353</v>
      </c>
    </row>
    <row r="1550" spans="5:5" x14ac:dyDescent="0.25">
      <c r="E1550" t="s">
        <v>1354</v>
      </c>
    </row>
    <row r="1551" spans="5:5" x14ac:dyDescent="0.25">
      <c r="E1551" t="s">
        <v>1355</v>
      </c>
    </row>
    <row r="1552" spans="5:5" x14ac:dyDescent="0.25">
      <c r="E1552" t="s">
        <v>1356</v>
      </c>
    </row>
    <row r="1553" spans="5:5" x14ac:dyDescent="0.25">
      <c r="E1553" t="s">
        <v>1357</v>
      </c>
    </row>
    <row r="1554" spans="5:5" x14ac:dyDescent="0.25">
      <c r="E1554" t="s">
        <v>1358</v>
      </c>
    </row>
    <row r="1555" spans="5:5" x14ac:dyDescent="0.25">
      <c r="E1555" t="s">
        <v>1359</v>
      </c>
    </row>
    <row r="1556" spans="5:5" x14ac:dyDescent="0.25">
      <c r="E1556" t="s">
        <v>1360</v>
      </c>
    </row>
    <row r="1557" spans="5:5" x14ac:dyDescent="0.25">
      <c r="E1557" t="s">
        <v>1361</v>
      </c>
    </row>
    <row r="1558" spans="5:5" x14ac:dyDescent="0.25">
      <c r="E1558" t="s">
        <v>1362</v>
      </c>
    </row>
    <row r="1559" spans="5:5" x14ac:dyDescent="0.25">
      <c r="E1559" t="s">
        <v>1363</v>
      </c>
    </row>
    <row r="1560" spans="5:5" x14ac:dyDescent="0.25">
      <c r="E1560" t="s">
        <v>1364</v>
      </c>
    </row>
    <row r="1561" spans="5:5" x14ac:dyDescent="0.25">
      <c r="E1561" t="s">
        <v>1365</v>
      </c>
    </row>
    <row r="1562" spans="5:5" x14ac:dyDescent="0.25">
      <c r="E1562" t="s">
        <v>1366</v>
      </c>
    </row>
    <row r="1563" spans="5:5" x14ac:dyDescent="0.25">
      <c r="E1563" t="s">
        <v>1367</v>
      </c>
    </row>
    <row r="1564" spans="5:5" x14ac:dyDescent="0.25">
      <c r="E1564" t="s">
        <v>1368</v>
      </c>
    </row>
    <row r="1565" spans="5:5" x14ac:dyDescent="0.25">
      <c r="E1565" t="s">
        <v>1369</v>
      </c>
    </row>
    <row r="1566" spans="5:5" x14ac:dyDescent="0.25">
      <c r="E1566" t="s">
        <v>1370</v>
      </c>
    </row>
    <row r="1567" spans="5:5" x14ac:dyDescent="0.25">
      <c r="E1567" t="s">
        <v>1371</v>
      </c>
    </row>
    <row r="1568" spans="5:5" x14ac:dyDescent="0.25">
      <c r="E1568" t="s">
        <v>1372</v>
      </c>
    </row>
    <row r="1569" spans="5:5" x14ac:dyDescent="0.25">
      <c r="E1569" t="s">
        <v>1373</v>
      </c>
    </row>
    <row r="1570" spans="5:5" x14ac:dyDescent="0.25">
      <c r="E1570" t="s">
        <v>1374</v>
      </c>
    </row>
    <row r="1571" spans="5:5" x14ac:dyDescent="0.25">
      <c r="E1571" t="s">
        <v>1375</v>
      </c>
    </row>
    <row r="1572" spans="5:5" x14ac:dyDescent="0.25">
      <c r="E1572" t="s">
        <v>1376</v>
      </c>
    </row>
    <row r="1573" spans="5:5" x14ac:dyDescent="0.25">
      <c r="E1573" t="s">
        <v>1377</v>
      </c>
    </row>
    <row r="1574" spans="5:5" x14ac:dyDescent="0.25">
      <c r="E1574" t="s">
        <v>1378</v>
      </c>
    </row>
    <row r="1575" spans="5:5" x14ac:dyDescent="0.25">
      <c r="E1575" t="s">
        <v>1379</v>
      </c>
    </row>
    <row r="1576" spans="5:5" x14ac:dyDescent="0.25">
      <c r="E1576" t="s">
        <v>1380</v>
      </c>
    </row>
    <row r="1577" spans="5:5" x14ac:dyDescent="0.25">
      <c r="E1577" t="s">
        <v>1381</v>
      </c>
    </row>
    <row r="1578" spans="5:5" x14ac:dyDescent="0.25">
      <c r="E1578" t="s">
        <v>1382</v>
      </c>
    </row>
    <row r="1579" spans="5:5" x14ac:dyDescent="0.25">
      <c r="E1579" t="s">
        <v>1383</v>
      </c>
    </row>
    <row r="1580" spans="5:5" x14ac:dyDescent="0.25">
      <c r="E1580" t="s">
        <v>1384</v>
      </c>
    </row>
    <row r="1581" spans="5:5" x14ac:dyDescent="0.25">
      <c r="E1581" t="s">
        <v>1385</v>
      </c>
    </row>
    <row r="1582" spans="5:5" x14ac:dyDescent="0.25">
      <c r="E1582" t="s">
        <v>1386</v>
      </c>
    </row>
    <row r="1583" spans="5:5" x14ac:dyDescent="0.25">
      <c r="E1583" t="s">
        <v>1387</v>
      </c>
    </row>
    <row r="1584" spans="5:5" x14ac:dyDescent="0.25">
      <c r="E1584" t="s">
        <v>1388</v>
      </c>
    </row>
    <row r="1585" spans="5:5" x14ac:dyDescent="0.25">
      <c r="E1585" t="s">
        <v>1389</v>
      </c>
    </row>
    <row r="1586" spans="5:5" x14ac:dyDescent="0.25">
      <c r="E1586" t="s">
        <v>1390</v>
      </c>
    </row>
    <row r="1587" spans="5:5" x14ac:dyDescent="0.25">
      <c r="E1587" t="s">
        <v>1391</v>
      </c>
    </row>
    <row r="1588" spans="5:5" x14ac:dyDescent="0.25">
      <c r="E1588" t="s">
        <v>1392</v>
      </c>
    </row>
    <row r="1589" spans="5:5" x14ac:dyDescent="0.25">
      <c r="E1589" t="s">
        <v>1393</v>
      </c>
    </row>
    <row r="1590" spans="5:5" x14ac:dyDescent="0.25">
      <c r="E1590" t="s">
        <v>1394</v>
      </c>
    </row>
    <row r="1591" spans="5:5" x14ac:dyDescent="0.25">
      <c r="E1591" t="s">
        <v>1395</v>
      </c>
    </row>
    <row r="1592" spans="5:5" x14ac:dyDescent="0.25">
      <c r="E1592" t="s">
        <v>1396</v>
      </c>
    </row>
    <row r="1593" spans="5:5" x14ac:dyDescent="0.25">
      <c r="E1593" t="s">
        <v>1397</v>
      </c>
    </row>
    <row r="1594" spans="5:5" x14ac:dyDescent="0.25">
      <c r="E1594" t="s">
        <v>1398</v>
      </c>
    </row>
    <row r="1595" spans="5:5" x14ac:dyDescent="0.25">
      <c r="E1595" t="s">
        <v>1399</v>
      </c>
    </row>
    <row r="1596" spans="5:5" x14ac:dyDescent="0.25">
      <c r="E1596" t="s">
        <v>1400</v>
      </c>
    </row>
    <row r="1597" spans="5:5" x14ac:dyDescent="0.25">
      <c r="E1597" t="s">
        <v>1401</v>
      </c>
    </row>
    <row r="1598" spans="5:5" x14ac:dyDescent="0.25">
      <c r="E1598" t="s">
        <v>1402</v>
      </c>
    </row>
    <row r="1599" spans="5:5" x14ac:dyDescent="0.25">
      <c r="E1599" t="s">
        <v>1403</v>
      </c>
    </row>
    <row r="1600" spans="5:5" x14ac:dyDescent="0.25">
      <c r="E1600" t="s">
        <v>1404</v>
      </c>
    </row>
    <row r="1601" spans="5:5" x14ac:dyDescent="0.25">
      <c r="E1601" t="s">
        <v>1405</v>
      </c>
    </row>
    <row r="1602" spans="5:5" x14ac:dyDescent="0.25">
      <c r="E1602" t="s">
        <v>1406</v>
      </c>
    </row>
    <row r="1603" spans="5:5" x14ac:dyDescent="0.25">
      <c r="E1603" t="s">
        <v>1407</v>
      </c>
    </row>
    <row r="1604" spans="5:5" x14ac:dyDescent="0.25">
      <c r="E1604" t="s">
        <v>1408</v>
      </c>
    </row>
    <row r="1605" spans="5:5" x14ac:dyDescent="0.25">
      <c r="E1605" t="s">
        <v>1409</v>
      </c>
    </row>
    <row r="1606" spans="5:5" x14ac:dyDescent="0.25">
      <c r="E1606" t="s">
        <v>1410</v>
      </c>
    </row>
    <row r="1607" spans="5:5" x14ac:dyDescent="0.25">
      <c r="E1607" t="s">
        <v>1411</v>
      </c>
    </row>
    <row r="1608" spans="5:5" x14ac:dyDescent="0.25">
      <c r="E1608" t="s">
        <v>1412</v>
      </c>
    </row>
    <row r="1609" spans="5:5" x14ac:dyDescent="0.25">
      <c r="E1609" t="s">
        <v>1413</v>
      </c>
    </row>
    <row r="1610" spans="5:5" x14ac:dyDescent="0.25">
      <c r="E1610" t="s">
        <v>1414</v>
      </c>
    </row>
    <row r="1611" spans="5:5" x14ac:dyDescent="0.25">
      <c r="E1611" t="s">
        <v>1415</v>
      </c>
    </row>
    <row r="1612" spans="5:5" x14ac:dyDescent="0.25">
      <c r="E1612" t="s">
        <v>1416</v>
      </c>
    </row>
    <row r="1613" spans="5:5" x14ac:dyDescent="0.25">
      <c r="E1613" t="s">
        <v>1417</v>
      </c>
    </row>
    <row r="1614" spans="5:5" x14ac:dyDescent="0.25">
      <c r="E1614" t="s">
        <v>1418</v>
      </c>
    </row>
    <row r="1615" spans="5:5" x14ac:dyDescent="0.25">
      <c r="E1615" t="s">
        <v>1419</v>
      </c>
    </row>
    <row r="1616" spans="5:5" x14ac:dyDescent="0.25">
      <c r="E1616" t="s">
        <v>1420</v>
      </c>
    </row>
    <row r="1617" spans="5:5" x14ac:dyDescent="0.25">
      <c r="E1617" t="s">
        <v>1421</v>
      </c>
    </row>
    <row r="1618" spans="5:5" x14ac:dyDescent="0.25">
      <c r="E1618" t="s">
        <v>1422</v>
      </c>
    </row>
    <row r="1619" spans="5:5" x14ac:dyDescent="0.25">
      <c r="E1619" t="s">
        <v>1423</v>
      </c>
    </row>
    <row r="1620" spans="5:5" x14ac:dyDescent="0.25">
      <c r="E1620" t="s">
        <v>1424</v>
      </c>
    </row>
    <row r="1621" spans="5:5" x14ac:dyDescent="0.25">
      <c r="E1621" t="s">
        <v>1425</v>
      </c>
    </row>
    <row r="1622" spans="5:5" x14ac:dyDescent="0.25">
      <c r="E1622" t="s">
        <v>1426</v>
      </c>
    </row>
    <row r="1623" spans="5:5" x14ac:dyDescent="0.25">
      <c r="E1623" t="s">
        <v>1427</v>
      </c>
    </row>
    <row r="1624" spans="5:5" x14ac:dyDescent="0.25">
      <c r="E1624" t="s">
        <v>1428</v>
      </c>
    </row>
    <row r="1625" spans="5:5" x14ac:dyDescent="0.25">
      <c r="E1625" t="s">
        <v>1429</v>
      </c>
    </row>
    <row r="1626" spans="5:5" x14ac:dyDescent="0.25">
      <c r="E1626" t="s">
        <v>1430</v>
      </c>
    </row>
    <row r="1627" spans="5:5" x14ac:dyDescent="0.25">
      <c r="E1627" t="s">
        <v>1431</v>
      </c>
    </row>
    <row r="1628" spans="5:5" x14ac:dyDescent="0.25">
      <c r="E1628" t="s">
        <v>1432</v>
      </c>
    </row>
    <row r="1629" spans="5:5" x14ac:dyDescent="0.25">
      <c r="E1629" t="s">
        <v>1433</v>
      </c>
    </row>
    <row r="1630" spans="5:5" x14ac:dyDescent="0.25">
      <c r="E1630" t="s">
        <v>1434</v>
      </c>
    </row>
    <row r="1631" spans="5:5" x14ac:dyDescent="0.25">
      <c r="E1631" t="s">
        <v>1435</v>
      </c>
    </row>
    <row r="1632" spans="5:5" x14ac:dyDescent="0.25">
      <c r="E1632" t="s">
        <v>1436</v>
      </c>
    </row>
    <row r="1633" spans="5:5" x14ac:dyDescent="0.25">
      <c r="E1633" t="s">
        <v>1437</v>
      </c>
    </row>
    <row r="1634" spans="5:5" x14ac:dyDescent="0.25">
      <c r="E1634" t="s">
        <v>1438</v>
      </c>
    </row>
    <row r="1635" spans="5:5" x14ac:dyDescent="0.25">
      <c r="E1635" t="s">
        <v>1439</v>
      </c>
    </row>
    <row r="1636" spans="5:5" x14ac:dyDescent="0.25">
      <c r="E1636" t="s">
        <v>1440</v>
      </c>
    </row>
    <row r="1637" spans="5:5" x14ac:dyDescent="0.25">
      <c r="E1637" t="s">
        <v>1441</v>
      </c>
    </row>
    <row r="1638" spans="5:5" x14ac:dyDescent="0.25">
      <c r="E1638" t="s">
        <v>1442</v>
      </c>
    </row>
    <row r="1639" spans="5:5" x14ac:dyDescent="0.25">
      <c r="E1639" t="s">
        <v>1443</v>
      </c>
    </row>
    <row r="1640" spans="5:5" x14ac:dyDescent="0.25">
      <c r="E1640" t="s">
        <v>1444</v>
      </c>
    </row>
    <row r="1641" spans="5:5" x14ac:dyDescent="0.25">
      <c r="E1641" t="s">
        <v>1445</v>
      </c>
    </row>
    <row r="1642" spans="5:5" x14ac:dyDescent="0.25">
      <c r="E1642" t="s">
        <v>1446</v>
      </c>
    </row>
    <row r="1643" spans="5:5" x14ac:dyDescent="0.25">
      <c r="E1643" t="s">
        <v>1447</v>
      </c>
    </row>
    <row r="1644" spans="5:5" x14ac:dyDescent="0.25">
      <c r="E1644" t="s">
        <v>1448</v>
      </c>
    </row>
    <row r="1645" spans="5:5" x14ac:dyDescent="0.25">
      <c r="E1645" t="s">
        <v>1449</v>
      </c>
    </row>
    <row r="1646" spans="5:5" x14ac:dyDescent="0.25">
      <c r="E1646" t="s">
        <v>1450</v>
      </c>
    </row>
    <row r="1647" spans="5:5" x14ac:dyDescent="0.25">
      <c r="E1647" t="s">
        <v>1451</v>
      </c>
    </row>
    <row r="1648" spans="5:5" x14ac:dyDescent="0.25">
      <c r="E1648" t="s">
        <v>1452</v>
      </c>
    </row>
    <row r="1649" spans="5:5" x14ac:dyDescent="0.25">
      <c r="E1649" t="s">
        <v>1453</v>
      </c>
    </row>
    <row r="1650" spans="5:5" x14ac:dyDescent="0.25">
      <c r="E1650" t="s">
        <v>1454</v>
      </c>
    </row>
    <row r="1651" spans="5:5" x14ac:dyDescent="0.25">
      <c r="E1651" t="s">
        <v>1455</v>
      </c>
    </row>
    <row r="1652" spans="5:5" x14ac:dyDescent="0.25">
      <c r="E1652" t="s">
        <v>1456</v>
      </c>
    </row>
    <row r="1653" spans="5:5" x14ac:dyDescent="0.25">
      <c r="E1653" t="s">
        <v>1457</v>
      </c>
    </row>
    <row r="1654" spans="5:5" x14ac:dyDescent="0.25">
      <c r="E1654" t="s">
        <v>1458</v>
      </c>
    </row>
    <row r="1655" spans="5:5" x14ac:dyDescent="0.25">
      <c r="E1655" t="s">
        <v>1459</v>
      </c>
    </row>
    <row r="1656" spans="5:5" x14ac:dyDescent="0.25">
      <c r="E1656" t="s">
        <v>1460</v>
      </c>
    </row>
    <row r="1657" spans="5:5" x14ac:dyDescent="0.25">
      <c r="E1657" t="s">
        <v>1461</v>
      </c>
    </row>
    <row r="1658" spans="5:5" x14ac:dyDescent="0.25">
      <c r="E1658" t="s">
        <v>1462</v>
      </c>
    </row>
    <row r="1659" spans="5:5" x14ac:dyDescent="0.25">
      <c r="E1659" t="s">
        <v>1463</v>
      </c>
    </row>
    <row r="1660" spans="5:5" x14ac:dyDescent="0.25">
      <c r="E1660" t="s">
        <v>1464</v>
      </c>
    </row>
    <row r="1661" spans="5:5" x14ac:dyDescent="0.25">
      <c r="E1661" t="s">
        <v>1465</v>
      </c>
    </row>
    <row r="1662" spans="5:5" x14ac:dyDescent="0.25">
      <c r="E1662" t="s">
        <v>1466</v>
      </c>
    </row>
    <row r="1663" spans="5:5" x14ac:dyDescent="0.25">
      <c r="E1663" t="s">
        <v>1467</v>
      </c>
    </row>
    <row r="1664" spans="5:5" x14ac:dyDescent="0.25">
      <c r="E1664" t="s">
        <v>1468</v>
      </c>
    </row>
    <row r="1665" spans="5:5" x14ac:dyDescent="0.25">
      <c r="E1665" t="s">
        <v>1469</v>
      </c>
    </row>
    <row r="1666" spans="5:5" x14ac:dyDescent="0.25">
      <c r="E1666" t="s">
        <v>1470</v>
      </c>
    </row>
    <row r="1667" spans="5:5" x14ac:dyDescent="0.25">
      <c r="E1667" t="s">
        <v>1471</v>
      </c>
    </row>
    <row r="1668" spans="5:5" x14ac:dyDescent="0.25">
      <c r="E1668" t="s">
        <v>1472</v>
      </c>
    </row>
    <row r="1669" spans="5:5" x14ac:dyDescent="0.25">
      <c r="E1669" t="s">
        <v>1473</v>
      </c>
    </row>
    <row r="1670" spans="5:5" x14ac:dyDescent="0.25">
      <c r="E1670" t="s">
        <v>1474</v>
      </c>
    </row>
    <row r="1671" spans="5:5" x14ac:dyDescent="0.25">
      <c r="E1671" t="s">
        <v>1475</v>
      </c>
    </row>
    <row r="1672" spans="5:5" x14ac:dyDescent="0.25">
      <c r="E1672" t="s">
        <v>1476</v>
      </c>
    </row>
    <row r="1673" spans="5:5" x14ac:dyDescent="0.25">
      <c r="E1673" t="s">
        <v>1477</v>
      </c>
    </row>
    <row r="1674" spans="5:5" x14ac:dyDescent="0.25">
      <c r="E1674" t="s">
        <v>1478</v>
      </c>
    </row>
    <row r="1675" spans="5:5" x14ac:dyDescent="0.25">
      <c r="E1675" t="s">
        <v>1479</v>
      </c>
    </row>
    <row r="1676" spans="5:5" x14ac:dyDescent="0.25">
      <c r="E1676" t="s">
        <v>1480</v>
      </c>
    </row>
    <row r="1677" spans="5:5" x14ac:dyDescent="0.25">
      <c r="E1677" t="s">
        <v>1481</v>
      </c>
    </row>
    <row r="1678" spans="5:5" x14ac:dyDescent="0.25">
      <c r="E1678" t="s">
        <v>1482</v>
      </c>
    </row>
    <row r="1679" spans="5:5" x14ac:dyDescent="0.25">
      <c r="E1679" t="s">
        <v>1483</v>
      </c>
    </row>
    <row r="1680" spans="5:5" x14ac:dyDescent="0.25">
      <c r="E1680" t="s">
        <v>1484</v>
      </c>
    </row>
    <row r="1681" spans="5:5" x14ac:dyDescent="0.25">
      <c r="E1681" t="s">
        <v>1485</v>
      </c>
    </row>
    <row r="1682" spans="5:5" x14ac:dyDescent="0.25">
      <c r="E1682" t="s">
        <v>1486</v>
      </c>
    </row>
    <row r="1683" spans="5:5" x14ac:dyDescent="0.25">
      <c r="E1683" t="s">
        <v>1487</v>
      </c>
    </row>
    <row r="1684" spans="5:5" x14ac:dyDescent="0.25">
      <c r="E1684" t="s">
        <v>1488</v>
      </c>
    </row>
    <row r="1685" spans="5:5" x14ac:dyDescent="0.25">
      <c r="E1685" t="s">
        <v>1489</v>
      </c>
    </row>
    <row r="1686" spans="5:5" x14ac:dyDescent="0.25">
      <c r="E1686" t="s">
        <v>1490</v>
      </c>
    </row>
    <row r="1687" spans="5:5" x14ac:dyDescent="0.25">
      <c r="E1687" t="s">
        <v>1491</v>
      </c>
    </row>
    <row r="1688" spans="5:5" x14ac:dyDescent="0.25">
      <c r="E1688" t="s">
        <v>1492</v>
      </c>
    </row>
    <row r="1689" spans="5:5" x14ac:dyDescent="0.25">
      <c r="E1689" t="s">
        <v>1493</v>
      </c>
    </row>
    <row r="1690" spans="5:5" x14ac:dyDescent="0.25">
      <c r="E1690" t="s">
        <v>1494</v>
      </c>
    </row>
    <row r="1691" spans="5:5" x14ac:dyDescent="0.25">
      <c r="E1691" t="s">
        <v>1495</v>
      </c>
    </row>
    <row r="1692" spans="5:5" x14ac:dyDescent="0.25">
      <c r="E1692" t="s">
        <v>1496</v>
      </c>
    </row>
    <row r="1693" spans="5:5" x14ac:dyDescent="0.25">
      <c r="E1693" t="s">
        <v>1497</v>
      </c>
    </row>
    <row r="1694" spans="5:5" x14ac:dyDescent="0.25">
      <c r="E1694" t="s">
        <v>1498</v>
      </c>
    </row>
    <row r="1695" spans="5:5" x14ac:dyDescent="0.25">
      <c r="E1695" t="s">
        <v>1499</v>
      </c>
    </row>
    <row r="1696" spans="5:5" x14ac:dyDescent="0.25">
      <c r="E1696" t="s">
        <v>1500</v>
      </c>
    </row>
    <row r="1697" spans="5:5" x14ac:dyDescent="0.25">
      <c r="E1697" t="s">
        <v>1501</v>
      </c>
    </row>
    <row r="1698" spans="5:5" x14ac:dyDescent="0.25">
      <c r="E1698" t="s">
        <v>1502</v>
      </c>
    </row>
    <row r="1699" spans="5:5" x14ac:dyDescent="0.25">
      <c r="E1699" t="s">
        <v>1503</v>
      </c>
    </row>
    <row r="1700" spans="5:5" x14ac:dyDescent="0.25">
      <c r="E1700" t="s">
        <v>1504</v>
      </c>
    </row>
    <row r="1701" spans="5:5" x14ac:dyDescent="0.25">
      <c r="E1701" t="s">
        <v>1505</v>
      </c>
    </row>
    <row r="1702" spans="5:5" x14ac:dyDescent="0.25">
      <c r="E1702" t="s">
        <v>1506</v>
      </c>
    </row>
    <row r="1703" spans="5:5" x14ac:dyDescent="0.25">
      <c r="E1703" t="s">
        <v>1507</v>
      </c>
    </row>
    <row r="1704" spans="5:5" x14ac:dyDescent="0.25">
      <c r="E1704" t="s">
        <v>1508</v>
      </c>
    </row>
    <row r="1705" spans="5:5" x14ac:dyDescent="0.25">
      <c r="E1705" t="s">
        <v>1509</v>
      </c>
    </row>
    <row r="1706" spans="5:5" x14ac:dyDescent="0.25">
      <c r="E1706" t="s">
        <v>1510</v>
      </c>
    </row>
    <row r="1707" spans="5:5" x14ac:dyDescent="0.25">
      <c r="E1707" t="s">
        <v>1511</v>
      </c>
    </row>
    <row r="1708" spans="5:5" x14ac:dyDescent="0.25">
      <c r="E1708" t="s">
        <v>1512</v>
      </c>
    </row>
    <row r="1709" spans="5:5" x14ac:dyDescent="0.25">
      <c r="E1709" t="s">
        <v>1513</v>
      </c>
    </row>
    <row r="1710" spans="5:5" x14ac:dyDescent="0.25">
      <c r="E1710" t="s">
        <v>1514</v>
      </c>
    </row>
    <row r="1711" spans="5:5" x14ac:dyDescent="0.25">
      <c r="E1711" t="s">
        <v>1515</v>
      </c>
    </row>
    <row r="1712" spans="5:5" x14ac:dyDescent="0.25">
      <c r="E1712" t="s">
        <v>1516</v>
      </c>
    </row>
    <row r="1713" spans="5:5" x14ac:dyDescent="0.25">
      <c r="E1713" t="s">
        <v>1517</v>
      </c>
    </row>
    <row r="1714" spans="5:5" x14ac:dyDescent="0.25">
      <c r="E1714" t="s">
        <v>1518</v>
      </c>
    </row>
    <row r="1715" spans="5:5" x14ac:dyDescent="0.25">
      <c r="E1715" t="s">
        <v>1519</v>
      </c>
    </row>
    <row r="1716" spans="5:5" x14ac:dyDescent="0.25">
      <c r="E1716" t="s">
        <v>1520</v>
      </c>
    </row>
    <row r="1717" spans="5:5" x14ac:dyDescent="0.25">
      <c r="E1717" t="s">
        <v>1521</v>
      </c>
    </row>
    <row r="1718" spans="5:5" x14ac:dyDescent="0.25">
      <c r="E1718" t="s">
        <v>1522</v>
      </c>
    </row>
    <row r="1719" spans="5:5" x14ac:dyDescent="0.25">
      <c r="E1719" t="s">
        <v>1523</v>
      </c>
    </row>
    <row r="1720" spans="5:5" x14ac:dyDescent="0.25">
      <c r="E1720" t="s">
        <v>1524</v>
      </c>
    </row>
    <row r="1721" spans="5:5" x14ac:dyDescent="0.25">
      <c r="E1721" t="s">
        <v>1525</v>
      </c>
    </row>
    <row r="1722" spans="5:5" x14ac:dyDescent="0.25">
      <c r="E1722" t="s">
        <v>1526</v>
      </c>
    </row>
    <row r="1723" spans="5:5" x14ac:dyDescent="0.25">
      <c r="E1723" t="s">
        <v>1527</v>
      </c>
    </row>
    <row r="1724" spans="5:5" x14ac:dyDescent="0.25">
      <c r="E1724" t="s">
        <v>1528</v>
      </c>
    </row>
    <row r="1725" spans="5:5" x14ac:dyDescent="0.25">
      <c r="E1725" t="s">
        <v>1529</v>
      </c>
    </row>
    <row r="1726" spans="5:5" x14ac:dyDescent="0.25">
      <c r="E1726" t="s">
        <v>1530</v>
      </c>
    </row>
    <row r="1727" spans="5:5" x14ac:dyDescent="0.25">
      <c r="E1727" t="s">
        <v>1531</v>
      </c>
    </row>
    <row r="1728" spans="5:5" x14ac:dyDescent="0.25">
      <c r="E1728" t="s">
        <v>1532</v>
      </c>
    </row>
    <row r="1729" spans="5:5" x14ac:dyDescent="0.25">
      <c r="E1729" t="s">
        <v>1533</v>
      </c>
    </row>
    <row r="1730" spans="5:5" x14ac:dyDescent="0.25">
      <c r="E1730" t="s">
        <v>1534</v>
      </c>
    </row>
    <row r="1731" spans="5:5" x14ac:dyDescent="0.25">
      <c r="E1731" t="s">
        <v>1535</v>
      </c>
    </row>
    <row r="1732" spans="5:5" x14ac:dyDescent="0.25">
      <c r="E1732" t="s">
        <v>1536</v>
      </c>
    </row>
    <row r="1733" spans="5:5" x14ac:dyDescent="0.25">
      <c r="E1733" t="s">
        <v>1537</v>
      </c>
    </row>
    <row r="1734" spans="5:5" x14ac:dyDescent="0.25">
      <c r="E1734" t="s">
        <v>1538</v>
      </c>
    </row>
    <row r="1735" spans="5:5" x14ac:dyDescent="0.25">
      <c r="E1735" t="s">
        <v>1539</v>
      </c>
    </row>
    <row r="1736" spans="5:5" x14ac:dyDescent="0.25">
      <c r="E1736" t="s">
        <v>1540</v>
      </c>
    </row>
    <row r="1737" spans="5:5" x14ac:dyDescent="0.25">
      <c r="E1737" t="s">
        <v>1541</v>
      </c>
    </row>
    <row r="1738" spans="5:5" x14ac:dyDescent="0.25">
      <c r="E1738" t="s">
        <v>1542</v>
      </c>
    </row>
    <row r="1739" spans="5:5" x14ac:dyDescent="0.25">
      <c r="E1739" t="s">
        <v>1543</v>
      </c>
    </row>
    <row r="1740" spans="5:5" x14ac:dyDescent="0.25">
      <c r="E1740" t="s">
        <v>1544</v>
      </c>
    </row>
    <row r="1741" spans="5:5" x14ac:dyDescent="0.25">
      <c r="E1741" t="s">
        <v>1545</v>
      </c>
    </row>
    <row r="1742" spans="5:5" x14ac:dyDescent="0.25">
      <c r="E1742" t="s">
        <v>1546</v>
      </c>
    </row>
    <row r="1743" spans="5:5" x14ac:dyDescent="0.25">
      <c r="E1743" t="s">
        <v>1547</v>
      </c>
    </row>
    <row r="1744" spans="5:5" x14ac:dyDescent="0.25">
      <c r="E1744" t="s">
        <v>1548</v>
      </c>
    </row>
    <row r="1745" spans="5:5" x14ac:dyDescent="0.25">
      <c r="E1745" t="s">
        <v>1549</v>
      </c>
    </row>
    <row r="1746" spans="5:5" x14ac:dyDescent="0.25">
      <c r="E1746" t="s">
        <v>1550</v>
      </c>
    </row>
    <row r="1747" spans="5:5" x14ac:dyDescent="0.25">
      <c r="E1747" t="s">
        <v>1551</v>
      </c>
    </row>
    <row r="1748" spans="5:5" x14ac:dyDescent="0.25">
      <c r="E1748" t="s">
        <v>1552</v>
      </c>
    </row>
    <row r="1749" spans="5:5" x14ac:dyDescent="0.25">
      <c r="E1749" t="s">
        <v>1553</v>
      </c>
    </row>
    <row r="1750" spans="5:5" x14ac:dyDescent="0.25">
      <c r="E1750" t="s">
        <v>1554</v>
      </c>
    </row>
    <row r="1751" spans="5:5" x14ac:dyDescent="0.25">
      <c r="E1751" t="s">
        <v>1555</v>
      </c>
    </row>
    <row r="1752" spans="5:5" x14ac:dyDescent="0.25">
      <c r="E1752" t="s">
        <v>1556</v>
      </c>
    </row>
    <row r="1753" spans="5:5" x14ac:dyDescent="0.25">
      <c r="E1753" t="s">
        <v>1557</v>
      </c>
    </row>
    <row r="1754" spans="5:5" x14ac:dyDescent="0.25">
      <c r="E1754" t="s">
        <v>1558</v>
      </c>
    </row>
    <row r="1755" spans="5:5" x14ac:dyDescent="0.25">
      <c r="E1755" t="s">
        <v>1559</v>
      </c>
    </row>
    <row r="1756" spans="5:5" x14ac:dyDescent="0.25">
      <c r="E1756" t="s">
        <v>1560</v>
      </c>
    </row>
    <row r="1757" spans="5:5" x14ac:dyDescent="0.25">
      <c r="E1757" t="s">
        <v>1561</v>
      </c>
    </row>
    <row r="1758" spans="5:5" x14ac:dyDescent="0.25">
      <c r="E1758" t="s">
        <v>1562</v>
      </c>
    </row>
    <row r="1759" spans="5:5" x14ac:dyDescent="0.25">
      <c r="E1759" t="s">
        <v>1563</v>
      </c>
    </row>
    <row r="1760" spans="5:5" x14ac:dyDescent="0.25">
      <c r="E1760" t="s">
        <v>1564</v>
      </c>
    </row>
    <row r="1761" spans="5:5" x14ac:dyDescent="0.25">
      <c r="E1761" t="s">
        <v>1565</v>
      </c>
    </row>
    <row r="1762" spans="5:5" x14ac:dyDescent="0.25">
      <c r="E1762" t="s">
        <v>1566</v>
      </c>
    </row>
    <row r="1763" spans="5:5" x14ac:dyDescent="0.25">
      <c r="E1763" t="s">
        <v>1567</v>
      </c>
    </row>
    <row r="1764" spans="5:5" x14ac:dyDescent="0.25">
      <c r="E1764" t="s">
        <v>1568</v>
      </c>
    </row>
    <row r="1765" spans="5:5" x14ac:dyDescent="0.25">
      <c r="E1765" t="s">
        <v>1569</v>
      </c>
    </row>
    <row r="1766" spans="5:5" x14ac:dyDescent="0.25">
      <c r="E1766" t="s">
        <v>1570</v>
      </c>
    </row>
    <row r="1767" spans="5:5" x14ac:dyDescent="0.25">
      <c r="E1767" t="s">
        <v>1571</v>
      </c>
    </row>
    <row r="1768" spans="5:5" x14ac:dyDescent="0.25">
      <c r="E1768" t="s">
        <v>1572</v>
      </c>
    </row>
    <row r="1769" spans="5:5" x14ac:dyDescent="0.25">
      <c r="E1769" t="s">
        <v>1573</v>
      </c>
    </row>
    <row r="1770" spans="5:5" x14ac:dyDescent="0.25">
      <c r="E1770" t="s">
        <v>1574</v>
      </c>
    </row>
    <row r="1771" spans="5:5" x14ac:dyDescent="0.25">
      <c r="E1771" t="s">
        <v>1575</v>
      </c>
    </row>
    <row r="1772" spans="5:5" x14ac:dyDescent="0.25">
      <c r="E1772" t="s">
        <v>1576</v>
      </c>
    </row>
    <row r="1773" spans="5:5" x14ac:dyDescent="0.25">
      <c r="E1773" t="s">
        <v>1577</v>
      </c>
    </row>
    <row r="1774" spans="5:5" x14ac:dyDescent="0.25">
      <c r="E1774" t="s">
        <v>1578</v>
      </c>
    </row>
    <row r="1775" spans="5:5" x14ac:dyDescent="0.25">
      <c r="E1775" t="s">
        <v>1579</v>
      </c>
    </row>
    <row r="1776" spans="5:5" x14ac:dyDescent="0.25">
      <c r="E1776" t="s">
        <v>1580</v>
      </c>
    </row>
    <row r="1777" spans="5:5" x14ac:dyDescent="0.25">
      <c r="E1777" t="s">
        <v>1581</v>
      </c>
    </row>
    <row r="1778" spans="5:5" x14ac:dyDescent="0.25">
      <c r="E1778" t="s">
        <v>1582</v>
      </c>
    </row>
    <row r="1779" spans="5:5" x14ac:dyDescent="0.25">
      <c r="E1779" t="s">
        <v>1583</v>
      </c>
    </row>
    <row r="1780" spans="5:5" x14ac:dyDescent="0.25">
      <c r="E1780" t="s">
        <v>1584</v>
      </c>
    </row>
    <row r="1781" spans="5:5" x14ac:dyDescent="0.25">
      <c r="E1781" t="s">
        <v>1585</v>
      </c>
    </row>
    <row r="1782" spans="5:5" x14ac:dyDescent="0.25">
      <c r="E1782" t="s">
        <v>1586</v>
      </c>
    </row>
    <row r="1783" spans="5:5" x14ac:dyDescent="0.25">
      <c r="E1783" t="s">
        <v>1587</v>
      </c>
    </row>
    <row r="1784" spans="5:5" x14ac:dyDescent="0.25">
      <c r="E1784" t="s">
        <v>1588</v>
      </c>
    </row>
    <row r="1785" spans="5:5" x14ac:dyDescent="0.25">
      <c r="E1785" t="s">
        <v>1589</v>
      </c>
    </row>
    <row r="1786" spans="5:5" x14ac:dyDescent="0.25">
      <c r="E1786" t="s">
        <v>1590</v>
      </c>
    </row>
    <row r="1787" spans="5:5" x14ac:dyDescent="0.25">
      <c r="E1787" t="s">
        <v>1591</v>
      </c>
    </row>
    <row r="1788" spans="5:5" x14ac:dyDescent="0.25">
      <c r="E1788" t="s">
        <v>1592</v>
      </c>
    </row>
    <row r="1789" spans="5:5" x14ac:dyDescent="0.25">
      <c r="E1789" t="s">
        <v>1593</v>
      </c>
    </row>
    <row r="1790" spans="5:5" x14ac:dyDescent="0.25">
      <c r="E1790" t="s">
        <v>1594</v>
      </c>
    </row>
    <row r="1791" spans="5:5" x14ac:dyDescent="0.25">
      <c r="E1791" t="s">
        <v>1595</v>
      </c>
    </row>
    <row r="1792" spans="5:5" x14ac:dyDescent="0.25">
      <c r="E1792" t="s">
        <v>1596</v>
      </c>
    </row>
    <row r="1793" spans="5:5" x14ac:dyDescent="0.25">
      <c r="E1793" t="s">
        <v>1597</v>
      </c>
    </row>
    <row r="1794" spans="5:5" x14ac:dyDescent="0.25">
      <c r="E1794" t="s">
        <v>1598</v>
      </c>
    </row>
    <row r="1795" spans="5:5" x14ac:dyDescent="0.25">
      <c r="E1795" t="s">
        <v>1599</v>
      </c>
    </row>
    <row r="1796" spans="5:5" x14ac:dyDescent="0.25">
      <c r="E1796" t="s">
        <v>1600</v>
      </c>
    </row>
    <row r="1797" spans="5:5" x14ac:dyDescent="0.25">
      <c r="E1797" t="s">
        <v>1601</v>
      </c>
    </row>
    <row r="1798" spans="5:5" x14ac:dyDescent="0.25">
      <c r="E1798" t="s">
        <v>1602</v>
      </c>
    </row>
    <row r="1799" spans="5:5" x14ac:dyDescent="0.25">
      <c r="E1799" t="s">
        <v>1603</v>
      </c>
    </row>
    <row r="1800" spans="5:5" x14ac:dyDescent="0.25">
      <c r="E1800" t="s">
        <v>1604</v>
      </c>
    </row>
    <row r="1801" spans="5:5" x14ac:dyDescent="0.25">
      <c r="E1801" t="s">
        <v>1605</v>
      </c>
    </row>
    <row r="1802" spans="5:5" x14ac:dyDescent="0.25">
      <c r="E1802" t="s">
        <v>1606</v>
      </c>
    </row>
    <row r="1803" spans="5:5" x14ac:dyDescent="0.25">
      <c r="E1803" t="s">
        <v>1607</v>
      </c>
    </row>
    <row r="1804" spans="5:5" x14ac:dyDescent="0.25">
      <c r="E1804" t="s">
        <v>1608</v>
      </c>
    </row>
    <row r="1805" spans="5:5" x14ac:dyDescent="0.25">
      <c r="E1805" t="s">
        <v>1609</v>
      </c>
    </row>
    <row r="1806" spans="5:5" x14ac:dyDescent="0.25">
      <c r="E1806" t="s">
        <v>1610</v>
      </c>
    </row>
    <row r="1807" spans="5:5" x14ac:dyDescent="0.25">
      <c r="E1807" t="s">
        <v>1611</v>
      </c>
    </row>
    <row r="1808" spans="5:5" x14ac:dyDescent="0.25">
      <c r="E1808" t="s">
        <v>1612</v>
      </c>
    </row>
    <row r="1809" spans="5:5" x14ac:dyDescent="0.25">
      <c r="E1809" t="s">
        <v>1613</v>
      </c>
    </row>
    <row r="1810" spans="5:5" x14ac:dyDescent="0.25">
      <c r="E1810" t="s">
        <v>1614</v>
      </c>
    </row>
    <row r="1811" spans="5:5" x14ac:dyDescent="0.25">
      <c r="E1811" t="s">
        <v>1615</v>
      </c>
    </row>
    <row r="1812" spans="5:5" x14ac:dyDescent="0.25">
      <c r="E1812" t="s">
        <v>1616</v>
      </c>
    </row>
    <row r="1813" spans="5:5" x14ac:dyDescent="0.25">
      <c r="E1813" t="s">
        <v>1617</v>
      </c>
    </row>
    <row r="1814" spans="5:5" x14ac:dyDescent="0.25">
      <c r="E1814" t="s">
        <v>1618</v>
      </c>
    </row>
    <row r="1815" spans="5:5" x14ac:dyDescent="0.25">
      <c r="E1815" t="s">
        <v>1619</v>
      </c>
    </row>
    <row r="1816" spans="5:5" x14ac:dyDescent="0.25">
      <c r="E1816" t="s">
        <v>1620</v>
      </c>
    </row>
    <row r="1817" spans="5:5" x14ac:dyDescent="0.25">
      <c r="E1817" t="s">
        <v>1621</v>
      </c>
    </row>
    <row r="1818" spans="5:5" x14ac:dyDescent="0.25">
      <c r="E1818" t="s">
        <v>1622</v>
      </c>
    </row>
    <row r="1819" spans="5:5" x14ac:dyDescent="0.25">
      <c r="E1819" t="s">
        <v>1623</v>
      </c>
    </row>
    <row r="1820" spans="5:5" x14ac:dyDescent="0.25">
      <c r="E1820" t="s">
        <v>1624</v>
      </c>
    </row>
    <row r="1821" spans="5:5" x14ac:dyDescent="0.25">
      <c r="E1821" t="s">
        <v>1625</v>
      </c>
    </row>
    <row r="1822" spans="5:5" x14ac:dyDescent="0.25">
      <c r="E1822" t="s">
        <v>1626</v>
      </c>
    </row>
    <row r="1823" spans="5:5" x14ac:dyDescent="0.25">
      <c r="E1823" t="s">
        <v>1627</v>
      </c>
    </row>
    <row r="1824" spans="5:5" x14ac:dyDescent="0.25">
      <c r="E1824" t="s">
        <v>1628</v>
      </c>
    </row>
    <row r="1825" spans="5:5" x14ac:dyDescent="0.25">
      <c r="E1825" t="s">
        <v>1629</v>
      </c>
    </row>
    <row r="1826" spans="5:5" x14ac:dyDescent="0.25">
      <c r="E1826" t="s">
        <v>1630</v>
      </c>
    </row>
    <row r="1827" spans="5:5" x14ac:dyDescent="0.25">
      <c r="E1827" t="s">
        <v>1631</v>
      </c>
    </row>
    <row r="1828" spans="5:5" x14ac:dyDescent="0.25">
      <c r="E1828" t="s">
        <v>1632</v>
      </c>
    </row>
    <row r="1829" spans="5:5" x14ac:dyDescent="0.25">
      <c r="E1829" t="s">
        <v>1633</v>
      </c>
    </row>
    <row r="1830" spans="5:5" x14ac:dyDescent="0.25">
      <c r="E1830" t="s">
        <v>1634</v>
      </c>
    </row>
    <row r="1831" spans="5:5" x14ac:dyDescent="0.25">
      <c r="E1831" t="s">
        <v>1635</v>
      </c>
    </row>
    <row r="1832" spans="5:5" x14ac:dyDescent="0.25">
      <c r="E1832" t="s">
        <v>1636</v>
      </c>
    </row>
    <row r="1833" spans="5:5" x14ac:dyDescent="0.25">
      <c r="E1833" t="s">
        <v>1637</v>
      </c>
    </row>
    <row r="1834" spans="5:5" x14ac:dyDescent="0.25">
      <c r="E1834" t="s">
        <v>1638</v>
      </c>
    </row>
    <row r="1835" spans="5:5" x14ac:dyDescent="0.25">
      <c r="E1835" t="s">
        <v>1639</v>
      </c>
    </row>
    <row r="1836" spans="5:5" x14ac:dyDescent="0.25">
      <c r="E1836" t="s">
        <v>1640</v>
      </c>
    </row>
    <row r="1837" spans="5:5" x14ac:dyDescent="0.25">
      <c r="E1837" t="s">
        <v>1641</v>
      </c>
    </row>
    <row r="1838" spans="5:5" x14ac:dyDescent="0.25">
      <c r="E1838" t="s">
        <v>1642</v>
      </c>
    </row>
    <row r="1839" spans="5:5" x14ac:dyDescent="0.25">
      <c r="E1839" t="s">
        <v>1643</v>
      </c>
    </row>
    <row r="1840" spans="5:5" x14ac:dyDescent="0.25">
      <c r="E1840" t="s">
        <v>1644</v>
      </c>
    </row>
    <row r="1841" spans="5:5" x14ac:dyDescent="0.25">
      <c r="E1841" t="s">
        <v>1645</v>
      </c>
    </row>
    <row r="1842" spans="5:5" x14ac:dyDescent="0.25">
      <c r="E1842" t="s">
        <v>1646</v>
      </c>
    </row>
    <row r="1843" spans="5:5" x14ac:dyDescent="0.25">
      <c r="E1843" t="s">
        <v>1647</v>
      </c>
    </row>
    <row r="1844" spans="5:5" x14ac:dyDescent="0.25">
      <c r="E1844" t="s">
        <v>1648</v>
      </c>
    </row>
    <row r="1845" spans="5:5" x14ac:dyDescent="0.25">
      <c r="E1845" t="s">
        <v>1649</v>
      </c>
    </row>
    <row r="1846" spans="5:5" x14ac:dyDescent="0.25">
      <c r="E1846" t="s">
        <v>1650</v>
      </c>
    </row>
    <row r="1847" spans="5:5" x14ac:dyDescent="0.25">
      <c r="E1847" t="s">
        <v>1651</v>
      </c>
    </row>
    <row r="1848" spans="5:5" x14ac:dyDescent="0.25">
      <c r="E1848" t="s">
        <v>1652</v>
      </c>
    </row>
    <row r="1849" spans="5:5" x14ac:dyDescent="0.25">
      <c r="E1849" t="s">
        <v>1653</v>
      </c>
    </row>
    <row r="1850" spans="5:5" x14ac:dyDescent="0.25">
      <c r="E1850" t="s">
        <v>1654</v>
      </c>
    </row>
    <row r="1851" spans="5:5" x14ac:dyDescent="0.25">
      <c r="E1851" t="s">
        <v>1655</v>
      </c>
    </row>
    <row r="1852" spans="5:5" x14ac:dyDescent="0.25">
      <c r="E1852" t="s">
        <v>1656</v>
      </c>
    </row>
    <row r="1853" spans="5:5" x14ac:dyDescent="0.25">
      <c r="E1853" t="s">
        <v>1657</v>
      </c>
    </row>
    <row r="1854" spans="5:5" x14ac:dyDescent="0.25">
      <c r="E1854" t="s">
        <v>1658</v>
      </c>
    </row>
    <row r="1855" spans="5:5" x14ac:dyDescent="0.25">
      <c r="E1855" t="s">
        <v>1659</v>
      </c>
    </row>
    <row r="1856" spans="5:5" x14ac:dyDescent="0.25">
      <c r="E1856" t="s">
        <v>1660</v>
      </c>
    </row>
    <row r="1857" spans="5:5" x14ac:dyDescent="0.25">
      <c r="E1857" t="s">
        <v>1661</v>
      </c>
    </row>
    <row r="1858" spans="5:5" x14ac:dyDescent="0.25">
      <c r="E1858" t="s">
        <v>1662</v>
      </c>
    </row>
    <row r="1859" spans="5:5" x14ac:dyDescent="0.25">
      <c r="E1859" t="s">
        <v>1663</v>
      </c>
    </row>
    <row r="1860" spans="5:5" x14ac:dyDescent="0.25">
      <c r="E1860" t="s">
        <v>1664</v>
      </c>
    </row>
    <row r="1861" spans="5:5" x14ac:dyDescent="0.25">
      <c r="E1861" t="s">
        <v>1665</v>
      </c>
    </row>
    <row r="1862" spans="5:5" x14ac:dyDescent="0.25">
      <c r="E1862" t="s">
        <v>1666</v>
      </c>
    </row>
    <row r="1863" spans="5:5" x14ac:dyDescent="0.25">
      <c r="E1863" t="s">
        <v>1667</v>
      </c>
    </row>
    <row r="1864" spans="5:5" x14ac:dyDescent="0.25">
      <c r="E1864" t="s">
        <v>1668</v>
      </c>
    </row>
    <row r="1865" spans="5:5" x14ac:dyDescent="0.25">
      <c r="E1865" t="s">
        <v>1669</v>
      </c>
    </row>
    <row r="1866" spans="5:5" x14ac:dyDescent="0.25">
      <c r="E1866" t="s">
        <v>1670</v>
      </c>
    </row>
    <row r="1867" spans="5:5" x14ac:dyDescent="0.25">
      <c r="E1867" t="s">
        <v>1671</v>
      </c>
    </row>
    <row r="1868" spans="5:5" x14ac:dyDescent="0.25">
      <c r="E1868" t="s">
        <v>1672</v>
      </c>
    </row>
    <row r="1869" spans="5:5" x14ac:dyDescent="0.25">
      <c r="E1869" t="s">
        <v>1673</v>
      </c>
    </row>
    <row r="1870" spans="5:5" x14ac:dyDescent="0.25">
      <c r="E1870" t="s">
        <v>1674</v>
      </c>
    </row>
    <row r="1871" spans="5:5" x14ac:dyDescent="0.25">
      <c r="E1871" t="s">
        <v>1675</v>
      </c>
    </row>
    <row r="1872" spans="5:5" x14ac:dyDescent="0.25">
      <c r="E1872" t="s">
        <v>1676</v>
      </c>
    </row>
    <row r="1873" spans="5:5" x14ac:dyDescent="0.25">
      <c r="E1873" t="s">
        <v>1677</v>
      </c>
    </row>
    <row r="1874" spans="5:5" x14ac:dyDescent="0.25">
      <c r="E1874" t="s">
        <v>1678</v>
      </c>
    </row>
    <row r="1875" spans="5:5" x14ac:dyDescent="0.25">
      <c r="E1875" t="s">
        <v>1679</v>
      </c>
    </row>
    <row r="1876" spans="5:5" x14ac:dyDescent="0.25">
      <c r="E1876" t="s">
        <v>1680</v>
      </c>
    </row>
    <row r="1877" spans="5:5" x14ac:dyDescent="0.25">
      <c r="E1877" t="s">
        <v>1681</v>
      </c>
    </row>
    <row r="1878" spans="5:5" x14ac:dyDescent="0.25">
      <c r="E1878" t="s">
        <v>1682</v>
      </c>
    </row>
    <row r="1879" spans="5:5" x14ac:dyDescent="0.25">
      <c r="E1879" t="s">
        <v>1683</v>
      </c>
    </row>
    <row r="1880" spans="5:5" x14ac:dyDescent="0.25">
      <c r="E1880" t="s">
        <v>1684</v>
      </c>
    </row>
    <row r="1881" spans="5:5" x14ac:dyDescent="0.25">
      <c r="E1881" t="s">
        <v>1685</v>
      </c>
    </row>
    <row r="1882" spans="5:5" x14ac:dyDescent="0.25">
      <c r="E1882" t="s">
        <v>1686</v>
      </c>
    </row>
    <row r="1883" spans="5:5" x14ac:dyDescent="0.25">
      <c r="E1883" t="s">
        <v>1687</v>
      </c>
    </row>
    <row r="1884" spans="5:5" x14ac:dyDescent="0.25">
      <c r="E1884" t="s">
        <v>1688</v>
      </c>
    </row>
    <row r="1885" spans="5:5" x14ac:dyDescent="0.25">
      <c r="E1885" t="s">
        <v>1689</v>
      </c>
    </row>
    <row r="1886" spans="5:5" x14ac:dyDescent="0.25">
      <c r="E1886" t="s">
        <v>1690</v>
      </c>
    </row>
    <row r="1887" spans="5:5" x14ac:dyDescent="0.25">
      <c r="E1887" t="s">
        <v>1691</v>
      </c>
    </row>
    <row r="1888" spans="5:5" x14ac:dyDescent="0.25">
      <c r="E1888" t="s">
        <v>1692</v>
      </c>
    </row>
    <row r="1889" spans="5:5" x14ac:dyDescent="0.25">
      <c r="E1889" t="s">
        <v>1693</v>
      </c>
    </row>
    <row r="1890" spans="5:5" x14ac:dyDescent="0.25">
      <c r="E1890" t="s">
        <v>1694</v>
      </c>
    </row>
    <row r="1891" spans="5:5" x14ac:dyDescent="0.25">
      <c r="E1891" t="s">
        <v>1695</v>
      </c>
    </row>
    <row r="1892" spans="5:5" x14ac:dyDescent="0.25">
      <c r="E1892" t="s">
        <v>1696</v>
      </c>
    </row>
    <row r="1893" spans="5:5" x14ac:dyDescent="0.25">
      <c r="E1893" t="s">
        <v>1697</v>
      </c>
    </row>
    <row r="1894" spans="5:5" x14ac:dyDescent="0.25">
      <c r="E1894" t="s">
        <v>1698</v>
      </c>
    </row>
    <row r="1895" spans="5:5" x14ac:dyDescent="0.25">
      <c r="E1895" t="s">
        <v>1699</v>
      </c>
    </row>
    <row r="1896" spans="5:5" x14ac:dyDescent="0.25">
      <c r="E1896" t="s">
        <v>1700</v>
      </c>
    </row>
    <row r="1897" spans="5:5" x14ac:dyDescent="0.25">
      <c r="E1897" t="s">
        <v>1701</v>
      </c>
    </row>
    <row r="1898" spans="5:5" x14ac:dyDescent="0.25">
      <c r="E1898" t="s">
        <v>1702</v>
      </c>
    </row>
    <row r="1899" spans="5:5" x14ac:dyDescent="0.25">
      <c r="E1899" t="s">
        <v>1703</v>
      </c>
    </row>
    <row r="1900" spans="5:5" x14ac:dyDescent="0.25">
      <c r="E1900" t="s">
        <v>1704</v>
      </c>
    </row>
    <row r="1901" spans="5:5" x14ac:dyDescent="0.25">
      <c r="E1901" t="s">
        <v>1705</v>
      </c>
    </row>
    <row r="1902" spans="5:5" x14ac:dyDescent="0.25">
      <c r="E1902" t="s">
        <v>1706</v>
      </c>
    </row>
    <row r="1903" spans="5:5" x14ac:dyDescent="0.25">
      <c r="E1903" t="s">
        <v>1707</v>
      </c>
    </row>
    <row r="1904" spans="5:5" x14ac:dyDescent="0.25">
      <c r="E1904" t="s">
        <v>1708</v>
      </c>
    </row>
    <row r="1905" spans="5:5" x14ac:dyDescent="0.25">
      <c r="E1905" t="s">
        <v>1709</v>
      </c>
    </row>
    <row r="1906" spans="5:5" x14ac:dyDescent="0.25">
      <c r="E1906" t="s">
        <v>1710</v>
      </c>
    </row>
    <row r="1907" spans="5:5" x14ac:dyDescent="0.25">
      <c r="E1907" t="s">
        <v>1711</v>
      </c>
    </row>
    <row r="1908" spans="5:5" x14ac:dyDescent="0.25">
      <c r="E1908" t="s">
        <v>1712</v>
      </c>
    </row>
    <row r="1909" spans="5:5" x14ac:dyDescent="0.25">
      <c r="E1909" t="s">
        <v>1713</v>
      </c>
    </row>
    <row r="1910" spans="5:5" x14ac:dyDescent="0.25">
      <c r="E1910" t="s">
        <v>1714</v>
      </c>
    </row>
    <row r="1911" spans="5:5" x14ac:dyDescent="0.25">
      <c r="E1911" t="s">
        <v>1715</v>
      </c>
    </row>
    <row r="1912" spans="5:5" x14ac:dyDescent="0.25">
      <c r="E1912" t="s">
        <v>1716</v>
      </c>
    </row>
    <row r="1913" spans="5:5" x14ac:dyDescent="0.25">
      <c r="E1913" t="s">
        <v>1717</v>
      </c>
    </row>
    <row r="1914" spans="5:5" x14ac:dyDescent="0.25">
      <c r="E1914" t="s">
        <v>1718</v>
      </c>
    </row>
    <row r="1915" spans="5:5" x14ac:dyDescent="0.25">
      <c r="E1915" t="s">
        <v>1719</v>
      </c>
    </row>
    <row r="1916" spans="5:5" x14ac:dyDescent="0.25">
      <c r="E1916" t="s">
        <v>1720</v>
      </c>
    </row>
    <row r="1917" spans="5:5" x14ac:dyDescent="0.25">
      <c r="E1917" t="s">
        <v>1721</v>
      </c>
    </row>
    <row r="1918" spans="5:5" x14ac:dyDescent="0.25">
      <c r="E1918" t="s">
        <v>1722</v>
      </c>
    </row>
    <row r="1919" spans="5:5" x14ac:dyDescent="0.25">
      <c r="E1919" t="s">
        <v>1723</v>
      </c>
    </row>
    <row r="1920" spans="5:5" x14ac:dyDescent="0.25">
      <c r="E1920" t="s">
        <v>1724</v>
      </c>
    </row>
    <row r="1921" spans="5:5" x14ac:dyDescent="0.25">
      <c r="E1921" t="s">
        <v>1725</v>
      </c>
    </row>
    <row r="1922" spans="5:5" x14ac:dyDescent="0.25">
      <c r="E1922" t="s">
        <v>1726</v>
      </c>
    </row>
    <row r="1923" spans="5:5" x14ac:dyDescent="0.25">
      <c r="E1923" t="s">
        <v>1727</v>
      </c>
    </row>
    <row r="1924" spans="5:5" x14ac:dyDescent="0.25">
      <c r="E1924" t="s">
        <v>1728</v>
      </c>
    </row>
    <row r="1925" spans="5:5" x14ac:dyDescent="0.25">
      <c r="E1925" t="s">
        <v>1729</v>
      </c>
    </row>
    <row r="1926" spans="5:5" x14ac:dyDescent="0.25">
      <c r="E1926" t="s">
        <v>1730</v>
      </c>
    </row>
    <row r="1927" spans="5:5" x14ac:dyDescent="0.25">
      <c r="E1927" t="s">
        <v>1731</v>
      </c>
    </row>
    <row r="1928" spans="5:5" x14ac:dyDescent="0.25">
      <c r="E1928" t="s">
        <v>1732</v>
      </c>
    </row>
    <row r="1929" spans="5:5" x14ac:dyDescent="0.25">
      <c r="E1929" t="s">
        <v>1733</v>
      </c>
    </row>
    <row r="1930" spans="5:5" x14ac:dyDescent="0.25">
      <c r="E1930" t="s">
        <v>1734</v>
      </c>
    </row>
    <row r="1931" spans="5:5" x14ac:dyDescent="0.25">
      <c r="E1931" t="s">
        <v>1735</v>
      </c>
    </row>
    <row r="1932" spans="5:5" x14ac:dyDescent="0.25">
      <c r="E1932" t="s">
        <v>1736</v>
      </c>
    </row>
    <row r="1933" spans="5:5" x14ac:dyDescent="0.25">
      <c r="E1933" t="s">
        <v>1737</v>
      </c>
    </row>
    <row r="1934" spans="5:5" x14ac:dyDescent="0.25">
      <c r="E1934" t="s">
        <v>1738</v>
      </c>
    </row>
    <row r="1935" spans="5:5" x14ac:dyDescent="0.25">
      <c r="E1935" t="s">
        <v>1739</v>
      </c>
    </row>
    <row r="1936" spans="5:5" x14ac:dyDescent="0.25">
      <c r="E1936" t="s">
        <v>1740</v>
      </c>
    </row>
    <row r="1937" spans="5:5" x14ac:dyDescent="0.25">
      <c r="E1937" t="s">
        <v>1741</v>
      </c>
    </row>
    <row r="1938" spans="5:5" x14ac:dyDescent="0.25">
      <c r="E1938" t="s">
        <v>1742</v>
      </c>
    </row>
    <row r="1939" spans="5:5" x14ac:dyDescent="0.25">
      <c r="E1939" t="s">
        <v>1743</v>
      </c>
    </row>
    <row r="1940" spans="5:5" x14ac:dyDescent="0.25">
      <c r="E1940" t="s">
        <v>1744</v>
      </c>
    </row>
    <row r="1941" spans="5:5" x14ac:dyDescent="0.25">
      <c r="E1941" t="s">
        <v>1745</v>
      </c>
    </row>
    <row r="1942" spans="5:5" x14ac:dyDescent="0.25">
      <c r="E1942" t="s">
        <v>1746</v>
      </c>
    </row>
    <row r="1943" spans="5:5" x14ac:dyDescent="0.25">
      <c r="E1943" t="s">
        <v>1747</v>
      </c>
    </row>
    <row r="1944" spans="5:5" x14ac:dyDescent="0.25">
      <c r="E1944" t="s">
        <v>1748</v>
      </c>
    </row>
    <row r="1945" spans="5:5" x14ac:dyDescent="0.25">
      <c r="E1945" t="s">
        <v>1749</v>
      </c>
    </row>
    <row r="1946" spans="5:5" x14ac:dyDescent="0.25">
      <c r="E1946" t="s">
        <v>1750</v>
      </c>
    </row>
    <row r="1947" spans="5:5" x14ac:dyDescent="0.25">
      <c r="E1947" t="s">
        <v>1751</v>
      </c>
    </row>
    <row r="1948" spans="5:5" x14ac:dyDescent="0.25">
      <c r="E1948" t="s">
        <v>1752</v>
      </c>
    </row>
    <row r="1949" spans="5:5" x14ac:dyDescent="0.25">
      <c r="E1949" t="s">
        <v>1753</v>
      </c>
    </row>
    <row r="1950" spans="5:5" x14ac:dyDescent="0.25">
      <c r="E1950" t="s">
        <v>1754</v>
      </c>
    </row>
    <row r="1951" spans="5:5" x14ac:dyDescent="0.25">
      <c r="E1951" t="s">
        <v>1755</v>
      </c>
    </row>
    <row r="1952" spans="5:5" x14ac:dyDescent="0.25">
      <c r="E1952" t="s">
        <v>1756</v>
      </c>
    </row>
    <row r="1953" spans="5:5" x14ac:dyDescent="0.25">
      <c r="E1953" t="s">
        <v>1757</v>
      </c>
    </row>
    <row r="1954" spans="5:5" x14ac:dyDescent="0.25">
      <c r="E1954" t="s">
        <v>1758</v>
      </c>
    </row>
    <row r="1955" spans="5:5" x14ac:dyDescent="0.25">
      <c r="E1955" t="s">
        <v>1759</v>
      </c>
    </row>
    <row r="1956" spans="5:5" x14ac:dyDescent="0.25">
      <c r="E1956" t="s">
        <v>1760</v>
      </c>
    </row>
    <row r="1957" spans="5:5" x14ac:dyDescent="0.25">
      <c r="E1957" t="s">
        <v>1761</v>
      </c>
    </row>
    <row r="1958" spans="5:5" x14ac:dyDescent="0.25">
      <c r="E1958" t="s">
        <v>1762</v>
      </c>
    </row>
    <row r="1959" spans="5:5" x14ac:dyDescent="0.25">
      <c r="E1959" t="s">
        <v>1763</v>
      </c>
    </row>
    <row r="1960" spans="5:5" x14ac:dyDescent="0.25">
      <c r="E1960" t="s">
        <v>1764</v>
      </c>
    </row>
    <row r="1961" spans="5:5" x14ac:dyDescent="0.25">
      <c r="E1961" t="s">
        <v>1765</v>
      </c>
    </row>
    <row r="1962" spans="5:5" x14ac:dyDescent="0.25">
      <c r="E1962" t="s">
        <v>1766</v>
      </c>
    </row>
    <row r="1963" spans="5:5" x14ac:dyDescent="0.25">
      <c r="E1963" t="s">
        <v>1767</v>
      </c>
    </row>
    <row r="1964" spans="5:5" x14ac:dyDescent="0.25">
      <c r="E1964" t="s">
        <v>1768</v>
      </c>
    </row>
    <row r="1965" spans="5:5" x14ac:dyDescent="0.25">
      <c r="E1965" t="s">
        <v>1769</v>
      </c>
    </row>
    <row r="1966" spans="5:5" x14ac:dyDescent="0.25">
      <c r="E1966" t="s">
        <v>1770</v>
      </c>
    </row>
    <row r="1967" spans="5:5" x14ac:dyDescent="0.25">
      <c r="E1967" t="s">
        <v>1771</v>
      </c>
    </row>
    <row r="1968" spans="5:5" x14ac:dyDescent="0.25">
      <c r="E1968" t="s">
        <v>1772</v>
      </c>
    </row>
    <row r="1969" spans="5:5" x14ac:dyDescent="0.25">
      <c r="E1969" t="s">
        <v>1773</v>
      </c>
    </row>
    <row r="1970" spans="5:5" x14ac:dyDescent="0.25">
      <c r="E1970" t="s">
        <v>1774</v>
      </c>
    </row>
    <row r="1971" spans="5:5" x14ac:dyDescent="0.25">
      <c r="E1971" t="s">
        <v>1775</v>
      </c>
    </row>
    <row r="1972" spans="5:5" x14ac:dyDescent="0.25">
      <c r="E1972" t="s">
        <v>1776</v>
      </c>
    </row>
    <row r="1973" spans="5:5" x14ac:dyDescent="0.25">
      <c r="E1973" t="s">
        <v>1777</v>
      </c>
    </row>
    <row r="1974" spans="5:5" x14ac:dyDescent="0.25">
      <c r="E1974" t="s">
        <v>1778</v>
      </c>
    </row>
    <row r="1975" spans="5:5" x14ac:dyDescent="0.25">
      <c r="E1975" t="s">
        <v>1779</v>
      </c>
    </row>
    <row r="1976" spans="5:5" x14ac:dyDescent="0.25">
      <c r="E1976" t="s">
        <v>1780</v>
      </c>
    </row>
    <row r="1977" spans="5:5" x14ac:dyDescent="0.25">
      <c r="E1977" t="s">
        <v>1781</v>
      </c>
    </row>
    <row r="1978" spans="5:5" x14ac:dyDescent="0.25">
      <c r="E1978" t="s">
        <v>1782</v>
      </c>
    </row>
    <row r="1979" spans="5:5" x14ac:dyDescent="0.25">
      <c r="E1979" t="s">
        <v>1783</v>
      </c>
    </row>
    <row r="1980" spans="5:5" x14ac:dyDescent="0.25">
      <c r="E1980" t="s">
        <v>1784</v>
      </c>
    </row>
    <row r="1981" spans="5:5" x14ac:dyDescent="0.25">
      <c r="E1981" t="s">
        <v>1785</v>
      </c>
    </row>
    <row r="1982" spans="5:5" x14ac:dyDescent="0.25">
      <c r="E1982" t="s">
        <v>1786</v>
      </c>
    </row>
    <row r="1983" spans="5:5" x14ac:dyDescent="0.25">
      <c r="E1983" t="s">
        <v>1787</v>
      </c>
    </row>
    <row r="1984" spans="5:5" x14ac:dyDescent="0.25">
      <c r="E1984" t="s">
        <v>1788</v>
      </c>
    </row>
    <row r="1985" spans="5:5" x14ac:dyDescent="0.25">
      <c r="E1985" t="s">
        <v>1789</v>
      </c>
    </row>
    <row r="1986" spans="5:5" x14ac:dyDescent="0.25">
      <c r="E1986" t="s">
        <v>1790</v>
      </c>
    </row>
    <row r="1987" spans="5:5" x14ac:dyDescent="0.25">
      <c r="E1987" t="s">
        <v>1791</v>
      </c>
    </row>
    <row r="1988" spans="5:5" x14ac:dyDescent="0.25">
      <c r="E1988" t="s">
        <v>1792</v>
      </c>
    </row>
    <row r="1989" spans="5:5" x14ac:dyDescent="0.25">
      <c r="E1989" t="s">
        <v>1793</v>
      </c>
    </row>
    <row r="1990" spans="5:5" x14ac:dyDescent="0.25">
      <c r="E1990" t="s">
        <v>1794</v>
      </c>
    </row>
    <row r="1991" spans="5:5" x14ac:dyDescent="0.25">
      <c r="E1991" t="s">
        <v>1795</v>
      </c>
    </row>
    <row r="1992" spans="5:5" x14ac:dyDescent="0.25">
      <c r="E1992" t="s">
        <v>1796</v>
      </c>
    </row>
    <row r="1993" spans="5:5" x14ac:dyDescent="0.25">
      <c r="E1993" t="s">
        <v>1797</v>
      </c>
    </row>
    <row r="1994" spans="5:5" x14ac:dyDescent="0.25">
      <c r="E1994" t="s">
        <v>1798</v>
      </c>
    </row>
    <row r="1995" spans="5:5" x14ac:dyDescent="0.25">
      <c r="E1995" t="s">
        <v>1799</v>
      </c>
    </row>
    <row r="1996" spans="5:5" x14ac:dyDescent="0.25">
      <c r="E1996" t="s">
        <v>1800</v>
      </c>
    </row>
    <row r="1997" spans="5:5" x14ac:dyDescent="0.25">
      <c r="E1997" t="s">
        <v>1801</v>
      </c>
    </row>
    <row r="1998" spans="5:5" x14ac:dyDescent="0.25">
      <c r="E1998" t="s">
        <v>1802</v>
      </c>
    </row>
    <row r="1999" spans="5:5" x14ac:dyDescent="0.25">
      <c r="E1999" t="s">
        <v>1803</v>
      </c>
    </row>
    <row r="2000" spans="5:5" x14ac:dyDescent="0.25">
      <c r="E2000" t="s">
        <v>1804</v>
      </c>
    </row>
    <row r="2001" spans="5:5" x14ac:dyDescent="0.25">
      <c r="E2001" t="s">
        <v>1805</v>
      </c>
    </row>
    <row r="2002" spans="5:5" x14ac:dyDescent="0.25">
      <c r="E2002" t="s">
        <v>1806</v>
      </c>
    </row>
    <row r="2003" spans="5:5" x14ac:dyDescent="0.25">
      <c r="E2003" t="s">
        <v>1807</v>
      </c>
    </row>
    <row r="2004" spans="5:5" x14ac:dyDescent="0.25">
      <c r="E2004" t="s">
        <v>1808</v>
      </c>
    </row>
    <row r="2005" spans="5:5" x14ac:dyDescent="0.25">
      <c r="E2005" t="s">
        <v>1809</v>
      </c>
    </row>
    <row r="2006" spans="5:5" x14ac:dyDescent="0.25">
      <c r="E2006" t="s">
        <v>1810</v>
      </c>
    </row>
    <row r="2007" spans="5:5" x14ac:dyDescent="0.25">
      <c r="E2007" t="s">
        <v>1811</v>
      </c>
    </row>
    <row r="2008" spans="5:5" x14ac:dyDescent="0.25">
      <c r="E2008" t="s">
        <v>1812</v>
      </c>
    </row>
    <row r="2009" spans="5:5" x14ac:dyDescent="0.25">
      <c r="E2009" t="s">
        <v>1813</v>
      </c>
    </row>
    <row r="2010" spans="5:5" x14ac:dyDescent="0.25">
      <c r="E2010" t="s">
        <v>1814</v>
      </c>
    </row>
    <row r="2011" spans="5:5" x14ac:dyDescent="0.25">
      <c r="E2011" t="s">
        <v>1815</v>
      </c>
    </row>
    <row r="2012" spans="5:5" x14ac:dyDescent="0.25">
      <c r="E2012" t="s">
        <v>1816</v>
      </c>
    </row>
    <row r="2013" spans="5:5" x14ac:dyDescent="0.25">
      <c r="E2013" t="s">
        <v>1817</v>
      </c>
    </row>
    <row r="2014" spans="5:5" x14ac:dyDescent="0.25">
      <c r="E2014" t="s">
        <v>1818</v>
      </c>
    </row>
    <row r="2015" spans="5:5" x14ac:dyDescent="0.25">
      <c r="E2015" t="s">
        <v>1819</v>
      </c>
    </row>
    <row r="2016" spans="5:5" x14ac:dyDescent="0.25">
      <c r="E2016" t="s">
        <v>1820</v>
      </c>
    </row>
    <row r="2017" spans="5:5" x14ac:dyDescent="0.25">
      <c r="E2017" t="s">
        <v>1821</v>
      </c>
    </row>
    <row r="2018" spans="5:5" x14ac:dyDescent="0.25">
      <c r="E2018" t="s">
        <v>1822</v>
      </c>
    </row>
    <row r="2019" spans="5:5" x14ac:dyDescent="0.25">
      <c r="E2019" t="s">
        <v>1823</v>
      </c>
    </row>
    <row r="2020" spans="5:5" x14ac:dyDescent="0.25">
      <c r="E2020" t="s">
        <v>1824</v>
      </c>
    </row>
    <row r="2021" spans="5:5" x14ac:dyDescent="0.25">
      <c r="E2021" t="s">
        <v>1825</v>
      </c>
    </row>
    <row r="2022" spans="5:5" x14ac:dyDescent="0.25">
      <c r="E2022" t="s">
        <v>1826</v>
      </c>
    </row>
    <row r="2023" spans="5:5" x14ac:dyDescent="0.25">
      <c r="E2023" t="s">
        <v>1827</v>
      </c>
    </row>
    <row r="2024" spans="5:5" x14ac:dyDescent="0.25">
      <c r="E2024" t="s">
        <v>1828</v>
      </c>
    </row>
    <row r="2025" spans="5:5" x14ac:dyDescent="0.25">
      <c r="E2025" t="s">
        <v>1829</v>
      </c>
    </row>
    <row r="2026" spans="5:5" x14ac:dyDescent="0.25">
      <c r="E2026" t="s">
        <v>1830</v>
      </c>
    </row>
    <row r="2027" spans="5:5" x14ac:dyDescent="0.25">
      <c r="E2027" t="s">
        <v>1831</v>
      </c>
    </row>
    <row r="2028" spans="5:5" x14ac:dyDescent="0.25">
      <c r="E2028" t="s">
        <v>1832</v>
      </c>
    </row>
    <row r="2029" spans="5:5" x14ac:dyDescent="0.25">
      <c r="E2029" t="s">
        <v>1833</v>
      </c>
    </row>
    <row r="2030" spans="5:5" x14ac:dyDescent="0.25">
      <c r="E2030" t="s">
        <v>1834</v>
      </c>
    </row>
    <row r="2031" spans="5:5" x14ac:dyDescent="0.25">
      <c r="E2031" t="s">
        <v>1835</v>
      </c>
    </row>
    <row r="2032" spans="5:5" x14ac:dyDescent="0.25">
      <c r="E2032" t="s">
        <v>1836</v>
      </c>
    </row>
    <row r="2033" spans="5:5" x14ac:dyDescent="0.25">
      <c r="E2033" t="s">
        <v>1837</v>
      </c>
    </row>
    <row r="2034" spans="5:5" x14ac:dyDescent="0.25">
      <c r="E2034" t="s">
        <v>1838</v>
      </c>
    </row>
    <row r="2035" spans="5:5" x14ac:dyDescent="0.25">
      <c r="E2035" t="s">
        <v>1839</v>
      </c>
    </row>
    <row r="2036" spans="5:5" x14ac:dyDescent="0.25">
      <c r="E2036" t="s">
        <v>1840</v>
      </c>
    </row>
    <row r="2037" spans="5:5" x14ac:dyDescent="0.25">
      <c r="E2037" t="s">
        <v>1841</v>
      </c>
    </row>
    <row r="2038" spans="5:5" x14ac:dyDescent="0.25">
      <c r="E2038" t="s">
        <v>1842</v>
      </c>
    </row>
    <row r="2039" spans="5:5" x14ac:dyDescent="0.25">
      <c r="E2039" t="s">
        <v>1843</v>
      </c>
    </row>
    <row r="2140" spans="5:5" x14ac:dyDescent="0.25">
      <c r="E2140" t="s">
        <v>1844</v>
      </c>
    </row>
    <row r="2141" spans="5:5" x14ac:dyDescent="0.25">
      <c r="E2141" t="s">
        <v>1845</v>
      </c>
    </row>
    <row r="2142" spans="5:5" x14ac:dyDescent="0.25">
      <c r="E2142" t="s">
        <v>1846</v>
      </c>
    </row>
    <row r="2143" spans="5:5" x14ac:dyDescent="0.25">
      <c r="E2143" t="s">
        <v>1847</v>
      </c>
    </row>
    <row r="2146" spans="5:5" x14ac:dyDescent="0.25">
      <c r="E2146" t="s">
        <v>1848</v>
      </c>
    </row>
    <row r="2147" spans="5:5" x14ac:dyDescent="0.25">
      <c r="E2147" t="s">
        <v>1849</v>
      </c>
    </row>
    <row r="2148" spans="5:5" x14ac:dyDescent="0.25">
      <c r="E2148" t="s">
        <v>1850</v>
      </c>
    </row>
    <row r="2149" spans="5:5" x14ac:dyDescent="0.25">
      <c r="E2149" t="s">
        <v>1851</v>
      </c>
    </row>
    <row r="2150" spans="5:5" x14ac:dyDescent="0.25">
      <c r="E2150" t="s">
        <v>1852</v>
      </c>
    </row>
    <row r="2151" spans="5:5" x14ac:dyDescent="0.25">
      <c r="E2151" t="s">
        <v>1853</v>
      </c>
    </row>
    <row r="2152" spans="5:5" x14ac:dyDescent="0.25">
      <c r="E2152" t="s">
        <v>1854</v>
      </c>
    </row>
    <row r="2153" spans="5:5" x14ac:dyDescent="0.25">
      <c r="E2153" t="s">
        <v>1855</v>
      </c>
    </row>
    <row r="2154" spans="5:5" x14ac:dyDescent="0.25">
      <c r="E2154" t="s">
        <v>1856</v>
      </c>
    </row>
    <row r="2155" spans="5:5" x14ac:dyDescent="0.25">
      <c r="E2155" t="s">
        <v>1857</v>
      </c>
    </row>
    <row r="2156" spans="5:5" x14ac:dyDescent="0.25">
      <c r="E2156" t="s">
        <v>1858</v>
      </c>
    </row>
    <row r="2157" spans="5:5" x14ac:dyDescent="0.25">
      <c r="E2157" t="s">
        <v>1859</v>
      </c>
    </row>
    <row r="2158" spans="5:5" x14ac:dyDescent="0.25">
      <c r="E2158" t="s">
        <v>1860</v>
      </c>
    </row>
    <row r="2159" spans="5:5" x14ac:dyDescent="0.25">
      <c r="E2159" t="s">
        <v>1861</v>
      </c>
    </row>
    <row r="2160" spans="5:5" x14ac:dyDescent="0.25">
      <c r="E2160" t="s">
        <v>1862</v>
      </c>
    </row>
    <row r="2161" spans="5:5" x14ac:dyDescent="0.25">
      <c r="E2161" t="s">
        <v>1863</v>
      </c>
    </row>
    <row r="2162" spans="5:5" x14ac:dyDescent="0.25">
      <c r="E2162" t="s">
        <v>1864</v>
      </c>
    </row>
    <row r="2163" spans="5:5" x14ac:dyDescent="0.25">
      <c r="E2163" t="s">
        <v>1865</v>
      </c>
    </row>
    <row r="2164" spans="5:5" x14ac:dyDescent="0.25">
      <c r="E2164" t="s">
        <v>1866</v>
      </c>
    </row>
    <row r="2165" spans="5:5" x14ac:dyDescent="0.25">
      <c r="E2165" t="s">
        <v>1867</v>
      </c>
    </row>
    <row r="2166" spans="5:5" x14ac:dyDescent="0.25">
      <c r="E2166" t="s">
        <v>1868</v>
      </c>
    </row>
    <row r="2167" spans="5:5" x14ac:dyDescent="0.25">
      <c r="E2167" t="s">
        <v>1869</v>
      </c>
    </row>
    <row r="2168" spans="5:5" x14ac:dyDescent="0.25">
      <c r="E2168" t="s">
        <v>1870</v>
      </c>
    </row>
    <row r="2169" spans="5:5" x14ac:dyDescent="0.25">
      <c r="E2169" t="s">
        <v>1871</v>
      </c>
    </row>
    <row r="2170" spans="5:5" x14ac:dyDescent="0.25">
      <c r="E2170" t="s">
        <v>1872</v>
      </c>
    </row>
    <row r="2171" spans="5:5" x14ac:dyDescent="0.25">
      <c r="E2171" t="s">
        <v>1873</v>
      </c>
    </row>
    <row r="2172" spans="5:5" x14ac:dyDescent="0.25">
      <c r="E2172" t="s">
        <v>1874</v>
      </c>
    </row>
    <row r="2173" spans="5:5" x14ac:dyDescent="0.25">
      <c r="E2173" t="s">
        <v>1875</v>
      </c>
    </row>
    <row r="2174" spans="5:5" x14ac:dyDescent="0.25">
      <c r="E2174" t="s">
        <v>1876</v>
      </c>
    </row>
    <row r="2175" spans="5:5" x14ac:dyDescent="0.25">
      <c r="E2175" t="s">
        <v>1877</v>
      </c>
    </row>
    <row r="2176" spans="5:5" x14ac:dyDescent="0.25">
      <c r="E2176" t="s">
        <v>1878</v>
      </c>
    </row>
    <row r="2177" spans="5:5" x14ac:dyDescent="0.25">
      <c r="E2177" t="s">
        <v>1879</v>
      </c>
    </row>
    <row r="2178" spans="5:5" x14ac:dyDescent="0.25">
      <c r="E2178" t="s">
        <v>1880</v>
      </c>
    </row>
    <row r="2179" spans="5:5" x14ac:dyDescent="0.25">
      <c r="E2179" t="s">
        <v>1881</v>
      </c>
    </row>
    <row r="2180" spans="5:5" x14ac:dyDescent="0.25">
      <c r="E2180" t="s">
        <v>1882</v>
      </c>
    </row>
    <row r="2181" spans="5:5" x14ac:dyDescent="0.25">
      <c r="E2181" t="s">
        <v>1883</v>
      </c>
    </row>
    <row r="2182" spans="5:5" x14ac:dyDescent="0.25">
      <c r="E2182" t="s">
        <v>1884</v>
      </c>
    </row>
    <row r="2183" spans="5:5" x14ac:dyDescent="0.25">
      <c r="E2183" t="s">
        <v>1885</v>
      </c>
    </row>
    <row r="2184" spans="5:5" x14ac:dyDescent="0.25">
      <c r="E2184" t="s">
        <v>1886</v>
      </c>
    </row>
    <row r="2185" spans="5:5" x14ac:dyDescent="0.25">
      <c r="E2185" t="s">
        <v>1887</v>
      </c>
    </row>
    <row r="2186" spans="5:5" x14ac:dyDescent="0.25">
      <c r="E2186" t="s">
        <v>1888</v>
      </c>
    </row>
    <row r="2187" spans="5:5" x14ac:dyDescent="0.25">
      <c r="E2187" t="s">
        <v>1889</v>
      </c>
    </row>
    <row r="2188" spans="5:5" x14ac:dyDescent="0.25">
      <c r="E2188" t="s">
        <v>1890</v>
      </c>
    </row>
    <row r="2189" spans="5:5" x14ac:dyDescent="0.25">
      <c r="E2189" t="s">
        <v>1891</v>
      </c>
    </row>
    <row r="2190" spans="5:5" x14ac:dyDescent="0.25">
      <c r="E2190" t="s">
        <v>1892</v>
      </c>
    </row>
    <row r="2191" spans="5:5" x14ac:dyDescent="0.25">
      <c r="E2191" t="s">
        <v>1893</v>
      </c>
    </row>
    <row r="2192" spans="5:5" x14ac:dyDescent="0.25">
      <c r="E2192" t="s">
        <v>1894</v>
      </c>
    </row>
    <row r="2193" spans="5:5" x14ac:dyDescent="0.25">
      <c r="E2193" t="s">
        <v>1895</v>
      </c>
    </row>
    <row r="2194" spans="5:5" x14ac:dyDescent="0.25">
      <c r="E2194" t="s">
        <v>1896</v>
      </c>
    </row>
    <row r="2195" spans="5:5" x14ac:dyDescent="0.25">
      <c r="E2195" t="s">
        <v>1897</v>
      </c>
    </row>
    <row r="2196" spans="5:5" x14ac:dyDescent="0.25">
      <c r="E2196" t="s">
        <v>1898</v>
      </c>
    </row>
    <row r="2197" spans="5:5" x14ac:dyDescent="0.25">
      <c r="E2197" t="s">
        <v>1899</v>
      </c>
    </row>
    <row r="2198" spans="5:5" x14ac:dyDescent="0.25">
      <c r="E2198" t="s">
        <v>1900</v>
      </c>
    </row>
    <row r="2199" spans="5:5" x14ac:dyDescent="0.25">
      <c r="E2199" t="s">
        <v>1901</v>
      </c>
    </row>
    <row r="2200" spans="5:5" x14ac:dyDescent="0.25">
      <c r="E2200" t="s">
        <v>1902</v>
      </c>
    </row>
    <row r="2201" spans="5:5" x14ac:dyDescent="0.25">
      <c r="E2201" t="s">
        <v>1903</v>
      </c>
    </row>
    <row r="2202" spans="5:5" x14ac:dyDescent="0.25">
      <c r="E2202" t="s">
        <v>1904</v>
      </c>
    </row>
    <row r="2203" spans="5:5" x14ac:dyDescent="0.25">
      <c r="E2203" t="s">
        <v>1905</v>
      </c>
    </row>
    <row r="2204" spans="5:5" x14ac:dyDescent="0.25">
      <c r="E2204" t="s">
        <v>1906</v>
      </c>
    </row>
    <row r="2205" spans="5:5" x14ac:dyDescent="0.25">
      <c r="E2205" t="s">
        <v>1907</v>
      </c>
    </row>
    <row r="2206" spans="5:5" x14ac:dyDescent="0.25">
      <c r="E2206" t="s">
        <v>1908</v>
      </c>
    </row>
    <row r="2207" spans="5:5" x14ac:dyDescent="0.25">
      <c r="E2207" t="s">
        <v>1909</v>
      </c>
    </row>
    <row r="2208" spans="5:5" x14ac:dyDescent="0.25">
      <c r="E2208" t="s">
        <v>1910</v>
      </c>
    </row>
    <row r="2209" spans="5:5" x14ac:dyDescent="0.25">
      <c r="E2209" t="s">
        <v>1911</v>
      </c>
    </row>
    <row r="2210" spans="5:5" x14ac:dyDescent="0.25">
      <c r="E2210" t="s">
        <v>1912</v>
      </c>
    </row>
    <row r="2211" spans="5:5" x14ac:dyDescent="0.25">
      <c r="E2211" t="s">
        <v>1913</v>
      </c>
    </row>
    <row r="2212" spans="5:5" x14ac:dyDescent="0.25">
      <c r="E2212" t="s">
        <v>1914</v>
      </c>
    </row>
    <row r="2213" spans="5:5" x14ac:dyDescent="0.25">
      <c r="E2213" t="s">
        <v>1915</v>
      </c>
    </row>
    <row r="2214" spans="5:5" x14ac:dyDescent="0.25">
      <c r="E2214" t="s">
        <v>1916</v>
      </c>
    </row>
    <row r="2215" spans="5:5" x14ac:dyDescent="0.25">
      <c r="E2215" t="s">
        <v>1917</v>
      </c>
    </row>
    <row r="2216" spans="5:5" x14ac:dyDescent="0.25">
      <c r="E2216" t="s">
        <v>1918</v>
      </c>
    </row>
    <row r="2217" spans="5:5" x14ac:dyDescent="0.25">
      <c r="E2217" t="s">
        <v>1919</v>
      </c>
    </row>
    <row r="2218" spans="5:5" x14ac:dyDescent="0.25">
      <c r="E2218" t="s">
        <v>1920</v>
      </c>
    </row>
    <row r="2219" spans="5:5" x14ac:dyDescent="0.25">
      <c r="E2219" t="s">
        <v>1921</v>
      </c>
    </row>
    <row r="2220" spans="5:5" x14ac:dyDescent="0.25">
      <c r="E2220" t="s">
        <v>1922</v>
      </c>
    </row>
    <row r="2221" spans="5:5" x14ac:dyDescent="0.25">
      <c r="E2221" t="s">
        <v>1923</v>
      </c>
    </row>
    <row r="2222" spans="5:5" x14ac:dyDescent="0.25">
      <c r="E2222" t="s">
        <v>1924</v>
      </c>
    </row>
    <row r="2223" spans="5:5" x14ac:dyDescent="0.25">
      <c r="E2223" t="s">
        <v>1925</v>
      </c>
    </row>
    <row r="2224" spans="5:5" x14ac:dyDescent="0.25">
      <c r="E2224" t="s">
        <v>1926</v>
      </c>
    </row>
    <row r="2225" spans="5:5" x14ac:dyDescent="0.25">
      <c r="E2225" t="s">
        <v>1927</v>
      </c>
    </row>
    <row r="2226" spans="5:5" x14ac:dyDescent="0.25">
      <c r="E2226" t="s">
        <v>1928</v>
      </c>
    </row>
    <row r="2227" spans="5:5" x14ac:dyDescent="0.25">
      <c r="E2227" t="s">
        <v>1929</v>
      </c>
    </row>
    <row r="2228" spans="5:5" x14ac:dyDescent="0.25">
      <c r="E2228" t="s">
        <v>1930</v>
      </c>
    </row>
    <row r="2229" spans="5:5" x14ac:dyDescent="0.25">
      <c r="E2229" t="s">
        <v>1931</v>
      </c>
    </row>
    <row r="2230" spans="5:5" x14ac:dyDescent="0.25">
      <c r="E2230" t="s">
        <v>1932</v>
      </c>
    </row>
    <row r="2231" spans="5:5" x14ac:dyDescent="0.25">
      <c r="E2231" t="s">
        <v>1933</v>
      </c>
    </row>
    <row r="2232" spans="5:5" x14ac:dyDescent="0.25">
      <c r="E2232" t="s">
        <v>1934</v>
      </c>
    </row>
    <row r="2233" spans="5:5" x14ac:dyDescent="0.25">
      <c r="E2233" t="s">
        <v>1935</v>
      </c>
    </row>
    <row r="2234" spans="5:5" x14ac:dyDescent="0.25">
      <c r="E2234" t="s">
        <v>1936</v>
      </c>
    </row>
    <row r="2235" spans="5:5" x14ac:dyDescent="0.25">
      <c r="E2235" t="s">
        <v>1937</v>
      </c>
    </row>
    <row r="2236" spans="5:5" x14ac:dyDescent="0.25">
      <c r="E2236" t="s">
        <v>1938</v>
      </c>
    </row>
    <row r="2237" spans="5:5" x14ac:dyDescent="0.25">
      <c r="E2237" t="s">
        <v>1939</v>
      </c>
    </row>
    <row r="2238" spans="5:5" x14ac:dyDescent="0.25">
      <c r="E2238" t="s">
        <v>1940</v>
      </c>
    </row>
    <row r="2239" spans="5:5" x14ac:dyDescent="0.25">
      <c r="E2239" t="s">
        <v>1941</v>
      </c>
    </row>
    <row r="2240" spans="5:5" x14ac:dyDescent="0.25">
      <c r="E2240" t="s">
        <v>1942</v>
      </c>
    </row>
    <row r="2241" spans="5:5" x14ac:dyDescent="0.25">
      <c r="E2241" t="s">
        <v>1943</v>
      </c>
    </row>
    <row r="2242" spans="5:5" x14ac:dyDescent="0.25">
      <c r="E2242" t="s">
        <v>1944</v>
      </c>
    </row>
    <row r="2243" spans="5:5" x14ac:dyDescent="0.25">
      <c r="E2243" t="s">
        <v>1945</v>
      </c>
    </row>
    <row r="2244" spans="5:5" x14ac:dyDescent="0.25">
      <c r="E2244" t="s">
        <v>1946</v>
      </c>
    </row>
    <row r="2245" spans="5:5" x14ac:dyDescent="0.25">
      <c r="E2245" t="s">
        <v>1947</v>
      </c>
    </row>
    <row r="2246" spans="5:5" x14ac:dyDescent="0.25">
      <c r="E2246" t="s">
        <v>1948</v>
      </c>
    </row>
    <row r="2247" spans="5:5" x14ac:dyDescent="0.25">
      <c r="E2247" t="s">
        <v>1949</v>
      </c>
    </row>
    <row r="2248" spans="5:5" x14ac:dyDescent="0.25">
      <c r="E2248" t="s">
        <v>1950</v>
      </c>
    </row>
    <row r="2249" spans="5:5" x14ac:dyDescent="0.25">
      <c r="E2249" t="s">
        <v>1951</v>
      </c>
    </row>
    <row r="2250" spans="5:5" x14ac:dyDescent="0.25">
      <c r="E2250" t="s">
        <v>1952</v>
      </c>
    </row>
    <row r="2251" spans="5:5" x14ac:dyDescent="0.25">
      <c r="E2251" t="s">
        <v>1953</v>
      </c>
    </row>
    <row r="2252" spans="5:5" x14ac:dyDescent="0.25">
      <c r="E2252" t="s">
        <v>1954</v>
      </c>
    </row>
    <row r="2253" spans="5:5" x14ac:dyDescent="0.25">
      <c r="E2253" t="s">
        <v>1955</v>
      </c>
    </row>
    <row r="2254" spans="5:5" x14ac:dyDescent="0.25">
      <c r="E2254" t="s">
        <v>1956</v>
      </c>
    </row>
    <row r="2255" spans="5:5" x14ac:dyDescent="0.25">
      <c r="E2255" t="s">
        <v>1957</v>
      </c>
    </row>
    <row r="2256" spans="5:5" x14ac:dyDescent="0.25">
      <c r="E2256" t="s">
        <v>1958</v>
      </c>
    </row>
    <row r="2257" spans="5:5" x14ac:dyDescent="0.25">
      <c r="E2257" t="s">
        <v>1959</v>
      </c>
    </row>
    <row r="2258" spans="5:5" x14ac:dyDescent="0.25">
      <c r="E2258" t="s">
        <v>1960</v>
      </c>
    </row>
    <row r="2259" spans="5:5" x14ac:dyDescent="0.25">
      <c r="E2259" t="s">
        <v>1961</v>
      </c>
    </row>
    <row r="2260" spans="5:5" x14ac:dyDescent="0.25">
      <c r="E2260" t="s">
        <v>1962</v>
      </c>
    </row>
    <row r="2261" spans="5:5" x14ac:dyDescent="0.25">
      <c r="E2261" t="s">
        <v>1963</v>
      </c>
    </row>
    <row r="2262" spans="5:5" x14ac:dyDescent="0.25">
      <c r="E2262" t="s">
        <v>1964</v>
      </c>
    </row>
    <row r="2263" spans="5:5" x14ac:dyDescent="0.25">
      <c r="E2263" t="s">
        <v>1965</v>
      </c>
    </row>
    <row r="2264" spans="5:5" x14ac:dyDescent="0.25">
      <c r="E2264" t="s">
        <v>1966</v>
      </c>
    </row>
    <row r="2265" spans="5:5" x14ac:dyDescent="0.25">
      <c r="E2265" t="s">
        <v>1967</v>
      </c>
    </row>
    <row r="2266" spans="5:5" x14ac:dyDescent="0.25">
      <c r="E2266" t="s">
        <v>1968</v>
      </c>
    </row>
    <row r="2267" spans="5:5" x14ac:dyDescent="0.25">
      <c r="E2267" t="s">
        <v>1969</v>
      </c>
    </row>
    <row r="2268" spans="5:5" x14ac:dyDescent="0.25">
      <c r="E2268" t="s">
        <v>1970</v>
      </c>
    </row>
    <row r="2269" spans="5:5" x14ac:dyDescent="0.25">
      <c r="E2269" t="s">
        <v>1971</v>
      </c>
    </row>
    <row r="2270" spans="5:5" x14ac:dyDescent="0.25">
      <c r="E2270" t="s">
        <v>1972</v>
      </c>
    </row>
    <row r="2271" spans="5:5" x14ac:dyDescent="0.25">
      <c r="E2271" t="s">
        <v>1973</v>
      </c>
    </row>
    <row r="2272" spans="5:5" x14ac:dyDescent="0.25">
      <c r="E2272" t="s">
        <v>1974</v>
      </c>
    </row>
    <row r="2273" spans="5:5" x14ac:dyDescent="0.25">
      <c r="E2273" t="s">
        <v>1975</v>
      </c>
    </row>
    <row r="2274" spans="5:5" x14ac:dyDescent="0.25">
      <c r="E2274" t="s">
        <v>1976</v>
      </c>
    </row>
    <row r="2275" spans="5:5" x14ac:dyDescent="0.25">
      <c r="E2275" t="s">
        <v>1977</v>
      </c>
    </row>
    <row r="2276" spans="5:5" x14ac:dyDescent="0.25">
      <c r="E2276" t="s">
        <v>1978</v>
      </c>
    </row>
    <row r="2277" spans="5:5" x14ac:dyDescent="0.25">
      <c r="E2277" t="s">
        <v>1979</v>
      </c>
    </row>
    <row r="2278" spans="5:5" x14ac:dyDescent="0.25">
      <c r="E2278" t="s">
        <v>1980</v>
      </c>
    </row>
    <row r="2279" spans="5:5" x14ac:dyDescent="0.25">
      <c r="E2279" t="s">
        <v>1981</v>
      </c>
    </row>
    <row r="2280" spans="5:5" x14ac:dyDescent="0.25">
      <c r="E2280" t="s">
        <v>1982</v>
      </c>
    </row>
    <row r="2281" spans="5:5" x14ac:dyDescent="0.25">
      <c r="E2281" t="s">
        <v>1983</v>
      </c>
    </row>
    <row r="2282" spans="5:5" x14ac:dyDescent="0.25">
      <c r="E2282" t="s">
        <v>1984</v>
      </c>
    </row>
    <row r="2283" spans="5:5" x14ac:dyDescent="0.25">
      <c r="E2283" t="s">
        <v>1985</v>
      </c>
    </row>
    <row r="2284" spans="5:5" x14ac:dyDescent="0.25">
      <c r="E2284" t="s">
        <v>1986</v>
      </c>
    </row>
    <row r="2285" spans="5:5" x14ac:dyDescent="0.25">
      <c r="E2285" t="s">
        <v>1987</v>
      </c>
    </row>
    <row r="2286" spans="5:5" x14ac:dyDescent="0.25">
      <c r="E2286" t="s">
        <v>1988</v>
      </c>
    </row>
    <row r="2287" spans="5:5" x14ac:dyDescent="0.25">
      <c r="E2287" t="s">
        <v>1989</v>
      </c>
    </row>
    <row r="2288" spans="5:5" x14ac:dyDescent="0.25">
      <c r="E2288" t="s">
        <v>1990</v>
      </c>
    </row>
    <row r="2289" spans="5:5" x14ac:dyDescent="0.25">
      <c r="E2289" t="s">
        <v>1991</v>
      </c>
    </row>
    <row r="2290" spans="5:5" x14ac:dyDescent="0.25">
      <c r="E2290" t="s">
        <v>1992</v>
      </c>
    </row>
    <row r="2291" spans="5:5" x14ac:dyDescent="0.25">
      <c r="E2291" t="s">
        <v>1993</v>
      </c>
    </row>
    <row r="2292" spans="5:5" x14ac:dyDescent="0.25">
      <c r="E2292" t="s">
        <v>1994</v>
      </c>
    </row>
    <row r="2293" spans="5:5" x14ac:dyDescent="0.25">
      <c r="E2293" t="s">
        <v>1995</v>
      </c>
    </row>
    <row r="2294" spans="5:5" x14ac:dyDescent="0.25">
      <c r="E2294" t="s">
        <v>1996</v>
      </c>
    </row>
    <row r="2295" spans="5:5" x14ac:dyDescent="0.25">
      <c r="E2295" t="s">
        <v>1997</v>
      </c>
    </row>
    <row r="2296" spans="5:5" x14ac:dyDescent="0.25">
      <c r="E2296" t="s">
        <v>1998</v>
      </c>
    </row>
    <row r="2297" spans="5:5" x14ac:dyDescent="0.25">
      <c r="E2297" t="s">
        <v>1999</v>
      </c>
    </row>
    <row r="2298" spans="5:5" x14ac:dyDescent="0.25">
      <c r="E2298" t="s">
        <v>2000</v>
      </c>
    </row>
    <row r="2299" spans="5:5" x14ac:dyDescent="0.25">
      <c r="E2299" t="s">
        <v>2001</v>
      </c>
    </row>
    <row r="2300" spans="5:5" x14ac:dyDescent="0.25">
      <c r="E2300" t="s">
        <v>2002</v>
      </c>
    </row>
    <row r="2301" spans="5:5" x14ac:dyDescent="0.25">
      <c r="E2301" t="s">
        <v>2003</v>
      </c>
    </row>
    <row r="2302" spans="5:5" x14ac:dyDescent="0.25">
      <c r="E2302" t="s">
        <v>2004</v>
      </c>
    </row>
    <row r="2303" spans="5:5" x14ac:dyDescent="0.25">
      <c r="E2303" t="s">
        <v>2005</v>
      </c>
    </row>
    <row r="2304" spans="5:5" x14ac:dyDescent="0.25">
      <c r="E2304" t="s">
        <v>2006</v>
      </c>
    </row>
    <row r="2305" spans="5:5" x14ac:dyDescent="0.25">
      <c r="E2305" t="s">
        <v>2007</v>
      </c>
    </row>
    <row r="2306" spans="5:5" x14ac:dyDescent="0.25">
      <c r="E2306" t="s">
        <v>2008</v>
      </c>
    </row>
    <row r="2307" spans="5:5" x14ac:dyDescent="0.25">
      <c r="E2307" t="s">
        <v>2009</v>
      </c>
    </row>
    <row r="2308" spans="5:5" x14ac:dyDescent="0.25">
      <c r="E2308" t="s">
        <v>2010</v>
      </c>
    </row>
    <row r="2309" spans="5:5" x14ac:dyDescent="0.25">
      <c r="E2309" t="s">
        <v>2011</v>
      </c>
    </row>
    <row r="2310" spans="5:5" x14ac:dyDescent="0.25">
      <c r="E2310" t="s">
        <v>2012</v>
      </c>
    </row>
    <row r="2311" spans="5:5" x14ac:dyDescent="0.25">
      <c r="E2311" t="s">
        <v>2013</v>
      </c>
    </row>
    <row r="2312" spans="5:5" x14ac:dyDescent="0.25">
      <c r="E2312" t="s">
        <v>2014</v>
      </c>
    </row>
    <row r="2313" spans="5:5" x14ac:dyDescent="0.25">
      <c r="E2313" t="s">
        <v>2015</v>
      </c>
    </row>
    <row r="2314" spans="5:5" x14ac:dyDescent="0.25">
      <c r="E2314" t="s">
        <v>2016</v>
      </c>
    </row>
    <row r="2315" spans="5:5" x14ac:dyDescent="0.25">
      <c r="E2315" t="s">
        <v>2017</v>
      </c>
    </row>
    <row r="2316" spans="5:5" x14ac:dyDescent="0.25">
      <c r="E2316" t="s">
        <v>2018</v>
      </c>
    </row>
    <row r="2317" spans="5:5" x14ac:dyDescent="0.25">
      <c r="E2317" t="s">
        <v>2019</v>
      </c>
    </row>
    <row r="2318" spans="5:5" x14ac:dyDescent="0.25">
      <c r="E2318" t="s">
        <v>2020</v>
      </c>
    </row>
    <row r="2319" spans="5:5" x14ac:dyDescent="0.25">
      <c r="E2319" t="s">
        <v>2021</v>
      </c>
    </row>
    <row r="2320" spans="5:5" x14ac:dyDescent="0.25">
      <c r="E2320" t="s">
        <v>2022</v>
      </c>
    </row>
    <row r="2321" spans="5:5" x14ac:dyDescent="0.25">
      <c r="E2321" t="s">
        <v>2023</v>
      </c>
    </row>
    <row r="2322" spans="5:5" x14ac:dyDescent="0.25">
      <c r="E2322" t="s">
        <v>2024</v>
      </c>
    </row>
    <row r="2323" spans="5:5" x14ac:dyDescent="0.25">
      <c r="E2323" t="s">
        <v>2025</v>
      </c>
    </row>
    <row r="2324" spans="5:5" x14ac:dyDescent="0.25">
      <c r="E2324" t="s">
        <v>2026</v>
      </c>
    </row>
    <row r="2325" spans="5:5" x14ac:dyDescent="0.25">
      <c r="E2325" t="s">
        <v>2027</v>
      </c>
    </row>
    <row r="2326" spans="5:5" x14ac:dyDescent="0.25">
      <c r="E2326" t="s">
        <v>2028</v>
      </c>
    </row>
    <row r="2327" spans="5:5" x14ac:dyDescent="0.25">
      <c r="E2327" t="s">
        <v>2029</v>
      </c>
    </row>
    <row r="2328" spans="5:5" x14ac:dyDescent="0.25">
      <c r="E2328" t="s">
        <v>2030</v>
      </c>
    </row>
    <row r="2329" spans="5:5" x14ac:dyDescent="0.25">
      <c r="E2329" t="s">
        <v>2031</v>
      </c>
    </row>
    <row r="2330" spans="5:5" x14ac:dyDescent="0.25">
      <c r="E2330" t="s">
        <v>2032</v>
      </c>
    </row>
    <row r="2331" spans="5:5" x14ac:dyDescent="0.25">
      <c r="E2331" t="s">
        <v>2033</v>
      </c>
    </row>
    <row r="2332" spans="5:5" x14ac:dyDescent="0.25">
      <c r="E2332" t="s">
        <v>2034</v>
      </c>
    </row>
    <row r="2333" spans="5:5" x14ac:dyDescent="0.25">
      <c r="E2333" t="s">
        <v>2035</v>
      </c>
    </row>
    <row r="2334" spans="5:5" x14ac:dyDescent="0.25">
      <c r="E2334" t="s">
        <v>2036</v>
      </c>
    </row>
    <row r="2335" spans="5:5" x14ac:dyDescent="0.25">
      <c r="E2335" t="s">
        <v>2037</v>
      </c>
    </row>
    <row r="2336" spans="5:5" x14ac:dyDescent="0.25">
      <c r="E2336" t="s">
        <v>2038</v>
      </c>
    </row>
    <row r="2337" spans="5:5" x14ac:dyDescent="0.25">
      <c r="E2337" t="s">
        <v>2039</v>
      </c>
    </row>
    <row r="2338" spans="5:5" x14ac:dyDescent="0.25">
      <c r="E2338" t="s">
        <v>2040</v>
      </c>
    </row>
    <row r="2339" spans="5:5" x14ac:dyDescent="0.25">
      <c r="E2339" t="s">
        <v>2041</v>
      </c>
    </row>
    <row r="2340" spans="5:5" x14ac:dyDescent="0.25">
      <c r="E2340" t="s">
        <v>2042</v>
      </c>
    </row>
    <row r="2341" spans="5:5" x14ac:dyDescent="0.25">
      <c r="E2341" t="s">
        <v>2043</v>
      </c>
    </row>
    <row r="2342" spans="5:5" x14ac:dyDescent="0.25">
      <c r="E2342" t="s">
        <v>2044</v>
      </c>
    </row>
    <row r="2343" spans="5:5" x14ac:dyDescent="0.25">
      <c r="E2343" t="s">
        <v>2045</v>
      </c>
    </row>
    <row r="2344" spans="5:5" x14ac:dyDescent="0.25">
      <c r="E2344" t="s">
        <v>2046</v>
      </c>
    </row>
    <row r="2345" spans="5:5" x14ac:dyDescent="0.25">
      <c r="E2345" t="s">
        <v>2047</v>
      </c>
    </row>
    <row r="2346" spans="5:5" x14ac:dyDescent="0.25">
      <c r="E2346" t="s">
        <v>2048</v>
      </c>
    </row>
    <row r="2347" spans="5:5" x14ac:dyDescent="0.25">
      <c r="E2347" t="s">
        <v>2049</v>
      </c>
    </row>
    <row r="2348" spans="5:5" x14ac:dyDescent="0.25">
      <c r="E2348" t="s">
        <v>2050</v>
      </c>
    </row>
    <row r="2349" spans="5:5" x14ac:dyDescent="0.25">
      <c r="E2349" t="s">
        <v>2051</v>
      </c>
    </row>
    <row r="2350" spans="5:5" x14ac:dyDescent="0.25">
      <c r="E2350" t="s">
        <v>2052</v>
      </c>
    </row>
    <row r="2351" spans="5:5" x14ac:dyDescent="0.25">
      <c r="E2351" t="s">
        <v>2053</v>
      </c>
    </row>
    <row r="2352" spans="5:5" x14ac:dyDescent="0.25">
      <c r="E2352" t="s">
        <v>2054</v>
      </c>
    </row>
    <row r="2353" spans="5:5" x14ac:dyDescent="0.25">
      <c r="E2353" t="s">
        <v>2055</v>
      </c>
    </row>
    <row r="2354" spans="5:5" x14ac:dyDescent="0.25">
      <c r="E2354" t="s">
        <v>2056</v>
      </c>
    </row>
    <row r="2355" spans="5:5" x14ac:dyDescent="0.25">
      <c r="E2355" t="s">
        <v>2057</v>
      </c>
    </row>
    <row r="2356" spans="5:5" x14ac:dyDescent="0.25">
      <c r="E2356" t="s">
        <v>2058</v>
      </c>
    </row>
    <row r="2357" spans="5:5" x14ac:dyDescent="0.25">
      <c r="E2357" t="s">
        <v>2059</v>
      </c>
    </row>
    <row r="2358" spans="5:5" x14ac:dyDescent="0.25">
      <c r="E2358" t="s">
        <v>2060</v>
      </c>
    </row>
    <row r="2359" spans="5:5" x14ac:dyDescent="0.25">
      <c r="E2359" t="s">
        <v>2061</v>
      </c>
    </row>
    <row r="2360" spans="5:5" x14ac:dyDescent="0.25">
      <c r="E2360" t="s">
        <v>2062</v>
      </c>
    </row>
    <row r="2361" spans="5:5" x14ac:dyDescent="0.25">
      <c r="E2361" t="s">
        <v>2063</v>
      </c>
    </row>
    <row r="2362" spans="5:5" x14ac:dyDescent="0.25">
      <c r="E2362" t="s">
        <v>2064</v>
      </c>
    </row>
    <row r="2363" spans="5:5" x14ac:dyDescent="0.25">
      <c r="E2363" t="s">
        <v>2065</v>
      </c>
    </row>
    <row r="2364" spans="5:5" x14ac:dyDescent="0.25">
      <c r="E2364" t="s">
        <v>2066</v>
      </c>
    </row>
    <row r="2365" spans="5:5" x14ac:dyDescent="0.25">
      <c r="E2365" t="s">
        <v>2067</v>
      </c>
    </row>
    <row r="2366" spans="5:5" x14ac:dyDescent="0.25">
      <c r="E2366" t="s">
        <v>2068</v>
      </c>
    </row>
    <row r="2367" spans="5:5" x14ac:dyDescent="0.25">
      <c r="E2367" t="s">
        <v>2069</v>
      </c>
    </row>
    <row r="2368" spans="5:5" x14ac:dyDescent="0.25">
      <c r="E2368" t="s">
        <v>2070</v>
      </c>
    </row>
    <row r="2369" spans="5:5" x14ac:dyDescent="0.25">
      <c r="E2369" t="s">
        <v>2071</v>
      </c>
    </row>
    <row r="2370" spans="5:5" x14ac:dyDescent="0.25">
      <c r="E2370" t="s">
        <v>2072</v>
      </c>
    </row>
    <row r="2371" spans="5:5" x14ac:dyDescent="0.25">
      <c r="E2371" t="s">
        <v>2073</v>
      </c>
    </row>
    <row r="2372" spans="5:5" x14ac:dyDescent="0.25">
      <c r="E2372" t="s">
        <v>2074</v>
      </c>
    </row>
    <row r="2377" spans="5:5" x14ac:dyDescent="0.25">
      <c r="E2377" t="s">
        <v>2075</v>
      </c>
    </row>
    <row r="2378" spans="5:5" x14ac:dyDescent="0.25">
      <c r="E2378" t="s">
        <v>2076</v>
      </c>
    </row>
    <row r="2379" spans="5:5" x14ac:dyDescent="0.25">
      <c r="E2379" t="s">
        <v>2077</v>
      </c>
    </row>
    <row r="2380" spans="5:5" x14ac:dyDescent="0.25">
      <c r="E2380" t="s">
        <v>2078</v>
      </c>
    </row>
    <row r="2381" spans="5:5" x14ac:dyDescent="0.25">
      <c r="E2381" t="s">
        <v>2079</v>
      </c>
    </row>
    <row r="2382" spans="5:5" x14ac:dyDescent="0.25">
      <c r="E2382" t="s">
        <v>2080</v>
      </c>
    </row>
    <row r="2383" spans="5:5" x14ac:dyDescent="0.25">
      <c r="E2383" t="s">
        <v>2081</v>
      </c>
    </row>
    <row r="2384" spans="5:5" x14ac:dyDescent="0.25">
      <c r="E2384" t="s">
        <v>2082</v>
      </c>
    </row>
    <row r="2385" spans="5:5" x14ac:dyDescent="0.25">
      <c r="E2385" t="s">
        <v>2083</v>
      </c>
    </row>
    <row r="2386" spans="5:5" x14ac:dyDescent="0.25">
      <c r="E2386" t="s">
        <v>2084</v>
      </c>
    </row>
    <row r="2387" spans="5:5" x14ac:dyDescent="0.25">
      <c r="E2387" t="s">
        <v>2085</v>
      </c>
    </row>
    <row r="2388" spans="5:5" x14ac:dyDescent="0.25">
      <c r="E2388" t="s">
        <v>2086</v>
      </c>
    </row>
    <row r="2389" spans="5:5" x14ac:dyDescent="0.25">
      <c r="E2389" t="s">
        <v>2087</v>
      </c>
    </row>
    <row r="2390" spans="5:5" x14ac:dyDescent="0.25">
      <c r="E2390" t="s">
        <v>2088</v>
      </c>
    </row>
    <row r="2391" spans="5:5" x14ac:dyDescent="0.25">
      <c r="E2391" t="s">
        <v>2089</v>
      </c>
    </row>
    <row r="2392" spans="5:5" x14ac:dyDescent="0.25">
      <c r="E2392" t="s">
        <v>2090</v>
      </c>
    </row>
    <row r="2393" spans="5:5" x14ac:dyDescent="0.25">
      <c r="E2393" t="s">
        <v>2091</v>
      </c>
    </row>
    <row r="2394" spans="5:5" x14ac:dyDescent="0.25">
      <c r="E2394" t="s">
        <v>2092</v>
      </c>
    </row>
    <row r="2395" spans="5:5" x14ac:dyDescent="0.25">
      <c r="E2395" t="s">
        <v>2093</v>
      </c>
    </row>
    <row r="2396" spans="5:5" x14ac:dyDescent="0.25">
      <c r="E2396" t="s">
        <v>2094</v>
      </c>
    </row>
    <row r="2397" spans="5:5" x14ac:dyDescent="0.25">
      <c r="E2397" t="s">
        <v>2095</v>
      </c>
    </row>
    <row r="2398" spans="5:5" x14ac:dyDescent="0.25">
      <c r="E2398" t="s">
        <v>2096</v>
      </c>
    </row>
    <row r="2399" spans="5:5" x14ac:dyDescent="0.25">
      <c r="E2399" t="s">
        <v>2097</v>
      </c>
    </row>
    <row r="2400" spans="5:5" x14ac:dyDescent="0.25">
      <c r="E2400" t="s">
        <v>2098</v>
      </c>
    </row>
    <row r="2401" spans="5:5" x14ac:dyDescent="0.25">
      <c r="E2401" t="s">
        <v>2099</v>
      </c>
    </row>
    <row r="2402" spans="5:5" x14ac:dyDescent="0.25">
      <c r="E2402" t="s">
        <v>2100</v>
      </c>
    </row>
    <row r="2403" spans="5:5" x14ac:dyDescent="0.25">
      <c r="E2403" t="s">
        <v>2101</v>
      </c>
    </row>
    <row r="2404" spans="5:5" x14ac:dyDescent="0.25">
      <c r="E2404" t="s">
        <v>2102</v>
      </c>
    </row>
    <row r="2405" spans="5:5" x14ac:dyDescent="0.25">
      <c r="E2405" t="s">
        <v>2103</v>
      </c>
    </row>
    <row r="2406" spans="5:5" x14ac:dyDescent="0.25">
      <c r="E2406" t="s">
        <v>2104</v>
      </c>
    </row>
    <row r="2407" spans="5:5" x14ac:dyDescent="0.25">
      <c r="E2407" t="s">
        <v>2105</v>
      </c>
    </row>
    <row r="2408" spans="5:5" x14ac:dyDescent="0.25">
      <c r="E2408" t="s">
        <v>2106</v>
      </c>
    </row>
    <row r="2409" spans="5:5" x14ac:dyDescent="0.25">
      <c r="E2409" t="s">
        <v>2107</v>
      </c>
    </row>
    <row r="2410" spans="5:5" x14ac:dyDescent="0.25">
      <c r="E2410" t="s">
        <v>2108</v>
      </c>
    </row>
    <row r="2411" spans="5:5" x14ac:dyDescent="0.25">
      <c r="E2411" t="s">
        <v>2109</v>
      </c>
    </row>
    <row r="2412" spans="5:5" x14ac:dyDescent="0.25">
      <c r="E2412" t="s">
        <v>2110</v>
      </c>
    </row>
    <row r="2413" spans="5:5" x14ac:dyDescent="0.25">
      <c r="E2413" t="s">
        <v>2111</v>
      </c>
    </row>
    <row r="2414" spans="5:5" x14ac:dyDescent="0.25">
      <c r="E2414" t="s">
        <v>2112</v>
      </c>
    </row>
    <row r="2415" spans="5:5" x14ac:dyDescent="0.25">
      <c r="E2415" t="s">
        <v>2113</v>
      </c>
    </row>
    <row r="2416" spans="5:5" x14ac:dyDescent="0.25">
      <c r="E2416" t="s">
        <v>2114</v>
      </c>
    </row>
    <row r="2417" spans="5:5" x14ac:dyDescent="0.25">
      <c r="E2417" t="s">
        <v>2115</v>
      </c>
    </row>
    <row r="2418" spans="5:5" x14ac:dyDescent="0.25">
      <c r="E2418" t="s">
        <v>2116</v>
      </c>
    </row>
    <row r="2419" spans="5:5" x14ac:dyDescent="0.25">
      <c r="E2419" t="s">
        <v>2117</v>
      </c>
    </row>
    <row r="2420" spans="5:5" x14ac:dyDescent="0.25">
      <c r="E2420" t="s">
        <v>2118</v>
      </c>
    </row>
    <row r="2421" spans="5:5" x14ac:dyDescent="0.25">
      <c r="E2421" t="s">
        <v>2119</v>
      </c>
    </row>
    <row r="2422" spans="5:5" x14ac:dyDescent="0.25">
      <c r="E2422" t="s">
        <v>2120</v>
      </c>
    </row>
    <row r="2423" spans="5:5" x14ac:dyDescent="0.25">
      <c r="E2423" t="s">
        <v>2121</v>
      </c>
    </row>
    <row r="2424" spans="5:5" x14ac:dyDescent="0.25">
      <c r="E2424" t="s">
        <v>2122</v>
      </c>
    </row>
    <row r="2425" spans="5:5" x14ac:dyDescent="0.25">
      <c r="E2425" t="s">
        <v>2123</v>
      </c>
    </row>
    <row r="2426" spans="5:5" x14ac:dyDescent="0.25">
      <c r="E2426" t="s">
        <v>2124</v>
      </c>
    </row>
    <row r="2427" spans="5:5" x14ac:dyDescent="0.25">
      <c r="E2427" t="s">
        <v>2125</v>
      </c>
    </row>
    <row r="2428" spans="5:5" x14ac:dyDescent="0.25">
      <c r="E2428" t="s">
        <v>2126</v>
      </c>
    </row>
    <row r="2429" spans="5:5" x14ac:dyDescent="0.25">
      <c r="E2429" t="s">
        <v>2127</v>
      </c>
    </row>
    <row r="2430" spans="5:5" x14ac:dyDescent="0.25">
      <c r="E2430" t="s">
        <v>2128</v>
      </c>
    </row>
    <row r="2431" spans="5:5" x14ac:dyDescent="0.25">
      <c r="E2431" t="s">
        <v>2129</v>
      </c>
    </row>
    <row r="2432" spans="5:5" x14ac:dyDescent="0.25">
      <c r="E2432" t="s">
        <v>2130</v>
      </c>
    </row>
    <row r="2433" spans="5:5" x14ac:dyDescent="0.25">
      <c r="E2433" t="s">
        <v>2131</v>
      </c>
    </row>
    <row r="2434" spans="5:5" x14ac:dyDescent="0.25">
      <c r="E2434" t="s">
        <v>2132</v>
      </c>
    </row>
    <row r="2435" spans="5:5" x14ac:dyDescent="0.25">
      <c r="E2435" t="s">
        <v>2133</v>
      </c>
    </row>
    <row r="2436" spans="5:5" x14ac:dyDescent="0.25">
      <c r="E2436" t="s">
        <v>2134</v>
      </c>
    </row>
    <row r="2437" spans="5:5" x14ac:dyDescent="0.25">
      <c r="E2437" t="s">
        <v>2135</v>
      </c>
    </row>
    <row r="2438" spans="5:5" x14ac:dyDescent="0.25">
      <c r="E2438" t="s">
        <v>2136</v>
      </c>
    </row>
    <row r="2439" spans="5:5" x14ac:dyDescent="0.25">
      <c r="E2439" t="s">
        <v>2137</v>
      </c>
    </row>
    <row r="2440" spans="5:5" x14ac:dyDescent="0.25">
      <c r="E2440" t="s">
        <v>2138</v>
      </c>
    </row>
    <row r="2441" spans="5:5" x14ac:dyDescent="0.25">
      <c r="E2441" t="s">
        <v>2139</v>
      </c>
    </row>
    <row r="2442" spans="5:5" x14ac:dyDescent="0.25">
      <c r="E2442" t="s">
        <v>2140</v>
      </c>
    </row>
    <row r="2443" spans="5:5" x14ac:dyDescent="0.25">
      <c r="E2443" t="s">
        <v>2141</v>
      </c>
    </row>
    <row r="2444" spans="5:5" x14ac:dyDescent="0.25">
      <c r="E2444" t="s">
        <v>2142</v>
      </c>
    </row>
    <row r="2445" spans="5:5" x14ac:dyDescent="0.25">
      <c r="E2445" t="s">
        <v>2143</v>
      </c>
    </row>
    <row r="2446" spans="5:5" x14ac:dyDescent="0.25">
      <c r="E2446" t="s">
        <v>2144</v>
      </c>
    </row>
    <row r="2447" spans="5:5" x14ac:dyDescent="0.25">
      <c r="E2447" t="s">
        <v>2145</v>
      </c>
    </row>
    <row r="2448" spans="5:5" x14ac:dyDescent="0.25">
      <c r="E2448" t="s">
        <v>2146</v>
      </c>
    </row>
    <row r="2449" spans="5:5" x14ac:dyDescent="0.25">
      <c r="E2449" t="s">
        <v>2147</v>
      </c>
    </row>
    <row r="2450" spans="5:5" x14ac:dyDescent="0.25">
      <c r="E2450" t="s">
        <v>2148</v>
      </c>
    </row>
    <row r="2451" spans="5:5" x14ac:dyDescent="0.25">
      <c r="E2451" t="s">
        <v>2149</v>
      </c>
    </row>
    <row r="2452" spans="5:5" x14ac:dyDescent="0.25">
      <c r="E2452" t="s">
        <v>2150</v>
      </c>
    </row>
    <row r="2453" spans="5:5" x14ac:dyDescent="0.25">
      <c r="E2453" t="s">
        <v>2151</v>
      </c>
    </row>
    <row r="2454" spans="5:5" x14ac:dyDescent="0.25">
      <c r="E2454" t="s">
        <v>2152</v>
      </c>
    </row>
    <row r="2455" spans="5:5" x14ac:dyDescent="0.25">
      <c r="E2455" t="s">
        <v>2153</v>
      </c>
    </row>
    <row r="2456" spans="5:5" x14ac:dyDescent="0.25">
      <c r="E2456" t="s">
        <v>2154</v>
      </c>
    </row>
    <row r="2457" spans="5:5" x14ac:dyDescent="0.25">
      <c r="E2457" t="s">
        <v>2155</v>
      </c>
    </row>
    <row r="2458" spans="5:5" x14ac:dyDescent="0.25">
      <c r="E2458" t="s">
        <v>2156</v>
      </c>
    </row>
    <row r="2459" spans="5:5" x14ac:dyDescent="0.25">
      <c r="E2459" t="s">
        <v>2157</v>
      </c>
    </row>
    <row r="2460" spans="5:5" x14ac:dyDescent="0.25">
      <c r="E2460" t="s">
        <v>2158</v>
      </c>
    </row>
    <row r="2461" spans="5:5" x14ac:dyDescent="0.25">
      <c r="E2461" t="s">
        <v>2159</v>
      </c>
    </row>
    <row r="2462" spans="5:5" x14ac:dyDescent="0.25">
      <c r="E2462" t="s">
        <v>2160</v>
      </c>
    </row>
    <row r="2463" spans="5:5" x14ac:dyDescent="0.25">
      <c r="E2463" t="s">
        <v>2161</v>
      </c>
    </row>
    <row r="2464" spans="5:5" x14ac:dyDescent="0.25">
      <c r="E2464" t="s">
        <v>2162</v>
      </c>
    </row>
    <row r="2465" spans="5:5" x14ac:dyDescent="0.25">
      <c r="E2465" t="s">
        <v>2163</v>
      </c>
    </row>
    <row r="2466" spans="5:5" x14ac:dyDescent="0.25">
      <c r="E2466" t="s">
        <v>2164</v>
      </c>
    </row>
    <row r="2467" spans="5:5" x14ac:dyDescent="0.25">
      <c r="E2467" t="s">
        <v>2165</v>
      </c>
    </row>
    <row r="2468" spans="5:5" x14ac:dyDescent="0.25">
      <c r="E2468" t="s">
        <v>2166</v>
      </c>
    </row>
    <row r="2469" spans="5:5" x14ac:dyDescent="0.25">
      <c r="E2469" t="s">
        <v>2167</v>
      </c>
    </row>
    <row r="2470" spans="5:5" x14ac:dyDescent="0.25">
      <c r="E2470" t="s">
        <v>2168</v>
      </c>
    </row>
    <row r="2471" spans="5:5" x14ac:dyDescent="0.25">
      <c r="E2471" t="s">
        <v>2169</v>
      </c>
    </row>
    <row r="2472" spans="5:5" x14ac:dyDescent="0.25">
      <c r="E2472" t="s">
        <v>2170</v>
      </c>
    </row>
    <row r="2473" spans="5:5" x14ac:dyDescent="0.25">
      <c r="E2473" t="s">
        <v>2171</v>
      </c>
    </row>
    <row r="2474" spans="5:5" x14ac:dyDescent="0.25">
      <c r="E2474" t="s">
        <v>2172</v>
      </c>
    </row>
    <row r="2475" spans="5:5" x14ac:dyDescent="0.25">
      <c r="E2475" t="s">
        <v>2173</v>
      </c>
    </row>
    <row r="2476" spans="5:5" x14ac:dyDescent="0.25">
      <c r="E2476" t="s">
        <v>2174</v>
      </c>
    </row>
    <row r="2477" spans="5:5" x14ac:dyDescent="0.25">
      <c r="E2477" t="s">
        <v>2175</v>
      </c>
    </row>
    <row r="2478" spans="5:5" x14ac:dyDescent="0.25">
      <c r="E2478" t="s">
        <v>2176</v>
      </c>
    </row>
    <row r="2479" spans="5:5" x14ac:dyDescent="0.25">
      <c r="E2479" t="s">
        <v>2177</v>
      </c>
    </row>
    <row r="2480" spans="5:5" x14ac:dyDescent="0.25">
      <c r="E2480" t="s">
        <v>2178</v>
      </c>
    </row>
    <row r="2481" spans="5:5" x14ac:dyDescent="0.25">
      <c r="E2481" t="s">
        <v>2179</v>
      </c>
    </row>
    <row r="2482" spans="5:5" x14ac:dyDescent="0.25">
      <c r="E2482" t="s">
        <v>2180</v>
      </c>
    </row>
    <row r="2483" spans="5:5" x14ac:dyDescent="0.25">
      <c r="E2483" t="s">
        <v>2181</v>
      </c>
    </row>
    <row r="2484" spans="5:5" x14ac:dyDescent="0.25">
      <c r="E2484" t="s">
        <v>2182</v>
      </c>
    </row>
    <row r="2485" spans="5:5" x14ac:dyDescent="0.25">
      <c r="E2485" t="s">
        <v>2183</v>
      </c>
    </row>
    <row r="2486" spans="5:5" x14ac:dyDescent="0.25">
      <c r="E2486" t="s">
        <v>2184</v>
      </c>
    </row>
    <row r="2487" spans="5:5" x14ac:dyDescent="0.25">
      <c r="E2487" t="s">
        <v>2185</v>
      </c>
    </row>
    <row r="2488" spans="5:5" x14ac:dyDescent="0.25">
      <c r="E2488" t="s">
        <v>2186</v>
      </c>
    </row>
    <row r="2489" spans="5:5" x14ac:dyDescent="0.25">
      <c r="E2489" t="s">
        <v>2187</v>
      </c>
    </row>
    <row r="2490" spans="5:5" x14ac:dyDescent="0.25">
      <c r="E2490" t="s">
        <v>2188</v>
      </c>
    </row>
    <row r="2491" spans="5:5" x14ac:dyDescent="0.25">
      <c r="E2491" t="s">
        <v>2189</v>
      </c>
    </row>
    <row r="2492" spans="5:5" x14ac:dyDescent="0.25">
      <c r="E2492" t="s">
        <v>2190</v>
      </c>
    </row>
    <row r="2493" spans="5:5" x14ac:dyDescent="0.25">
      <c r="E2493" t="s">
        <v>2191</v>
      </c>
    </row>
    <row r="2494" spans="5:5" x14ac:dyDescent="0.25">
      <c r="E2494" t="s">
        <v>2192</v>
      </c>
    </row>
    <row r="2495" spans="5:5" x14ac:dyDescent="0.25">
      <c r="E2495" t="s">
        <v>2193</v>
      </c>
    </row>
    <row r="2496" spans="5:5" x14ac:dyDescent="0.25">
      <c r="E2496" t="s">
        <v>2194</v>
      </c>
    </row>
    <row r="2497" spans="5:5" x14ac:dyDescent="0.25">
      <c r="E2497" t="s">
        <v>2195</v>
      </c>
    </row>
    <row r="2498" spans="5:5" x14ac:dyDescent="0.25">
      <c r="E2498" t="s">
        <v>2196</v>
      </c>
    </row>
    <row r="2499" spans="5:5" x14ac:dyDescent="0.25">
      <c r="E2499" t="s">
        <v>2197</v>
      </c>
    </row>
    <row r="2500" spans="5:5" x14ac:dyDescent="0.25">
      <c r="E2500" t="s">
        <v>2198</v>
      </c>
    </row>
    <row r="2501" spans="5:5" x14ac:dyDescent="0.25">
      <c r="E2501" t="s">
        <v>2199</v>
      </c>
    </row>
    <row r="2502" spans="5:5" x14ac:dyDescent="0.25">
      <c r="E2502" t="s">
        <v>2200</v>
      </c>
    </row>
    <row r="2503" spans="5:5" x14ac:dyDescent="0.25">
      <c r="E2503" t="s">
        <v>2201</v>
      </c>
    </row>
    <row r="2504" spans="5:5" x14ac:dyDescent="0.25">
      <c r="E2504" t="s">
        <v>2202</v>
      </c>
    </row>
    <row r="2505" spans="5:5" x14ac:dyDescent="0.25">
      <c r="E2505" t="s">
        <v>2203</v>
      </c>
    </row>
    <row r="2506" spans="5:5" x14ac:dyDescent="0.25">
      <c r="E2506" t="s">
        <v>2204</v>
      </c>
    </row>
    <row r="2507" spans="5:5" x14ac:dyDescent="0.25">
      <c r="E2507" t="s">
        <v>2205</v>
      </c>
    </row>
    <row r="2508" spans="5:5" x14ac:dyDescent="0.25">
      <c r="E2508" t="s">
        <v>2206</v>
      </c>
    </row>
    <row r="2509" spans="5:5" x14ac:dyDescent="0.25">
      <c r="E2509" t="s">
        <v>2207</v>
      </c>
    </row>
    <row r="2510" spans="5:5" x14ac:dyDescent="0.25">
      <c r="E2510" t="s">
        <v>2208</v>
      </c>
    </row>
    <row r="2511" spans="5:5" x14ac:dyDescent="0.25">
      <c r="E2511" t="s">
        <v>2209</v>
      </c>
    </row>
    <row r="2512" spans="5:5" x14ac:dyDescent="0.25">
      <c r="E2512" t="s">
        <v>2210</v>
      </c>
    </row>
    <row r="2513" spans="5:5" x14ac:dyDescent="0.25">
      <c r="E2513" t="s">
        <v>2211</v>
      </c>
    </row>
    <row r="2514" spans="5:5" x14ac:dyDescent="0.25">
      <c r="E2514" t="s">
        <v>2212</v>
      </c>
    </row>
    <row r="2515" spans="5:5" x14ac:dyDescent="0.25">
      <c r="E2515" t="s">
        <v>2213</v>
      </c>
    </row>
    <row r="2516" spans="5:5" x14ac:dyDescent="0.25">
      <c r="E2516" t="s">
        <v>2214</v>
      </c>
    </row>
    <row r="2517" spans="5:5" x14ac:dyDescent="0.25">
      <c r="E2517" t="s">
        <v>2215</v>
      </c>
    </row>
    <row r="2518" spans="5:5" x14ac:dyDescent="0.25">
      <c r="E2518" t="s">
        <v>2216</v>
      </c>
    </row>
    <row r="2519" spans="5:5" x14ac:dyDescent="0.25">
      <c r="E2519" t="s">
        <v>2217</v>
      </c>
    </row>
    <row r="2520" spans="5:5" x14ac:dyDescent="0.25">
      <c r="E2520" t="s">
        <v>2218</v>
      </c>
    </row>
    <row r="2521" spans="5:5" x14ac:dyDescent="0.25">
      <c r="E2521" t="s">
        <v>2219</v>
      </c>
    </row>
    <row r="2522" spans="5:5" x14ac:dyDescent="0.25">
      <c r="E2522" t="s">
        <v>2220</v>
      </c>
    </row>
    <row r="2523" spans="5:5" x14ac:dyDescent="0.25">
      <c r="E2523" t="s">
        <v>2221</v>
      </c>
    </row>
    <row r="2524" spans="5:5" x14ac:dyDescent="0.25">
      <c r="E2524" t="s">
        <v>2222</v>
      </c>
    </row>
    <row r="2525" spans="5:5" x14ac:dyDescent="0.25">
      <c r="E2525" t="s">
        <v>2223</v>
      </c>
    </row>
    <row r="2526" spans="5:5" x14ac:dyDescent="0.25">
      <c r="E2526" t="s">
        <v>2224</v>
      </c>
    </row>
    <row r="2527" spans="5:5" x14ac:dyDescent="0.25">
      <c r="E2527" t="s">
        <v>2225</v>
      </c>
    </row>
    <row r="2528" spans="5:5" x14ac:dyDescent="0.25">
      <c r="E2528" t="s">
        <v>2226</v>
      </c>
    </row>
    <row r="2529" spans="5:5" x14ac:dyDescent="0.25">
      <c r="E2529" t="s">
        <v>2227</v>
      </c>
    </row>
    <row r="2530" spans="5:5" x14ac:dyDescent="0.25">
      <c r="E2530" t="s">
        <v>2228</v>
      </c>
    </row>
    <row r="2531" spans="5:5" x14ac:dyDescent="0.25">
      <c r="E2531" t="s">
        <v>2229</v>
      </c>
    </row>
    <row r="2532" spans="5:5" x14ac:dyDescent="0.25">
      <c r="E2532" t="s">
        <v>2230</v>
      </c>
    </row>
    <row r="2533" spans="5:5" x14ac:dyDescent="0.25">
      <c r="E2533" t="s">
        <v>2231</v>
      </c>
    </row>
    <row r="2534" spans="5:5" x14ac:dyDescent="0.25">
      <c r="E2534" t="s">
        <v>2232</v>
      </c>
    </row>
    <row r="2535" spans="5:5" x14ac:dyDescent="0.25">
      <c r="E2535" t="s">
        <v>2233</v>
      </c>
    </row>
    <row r="2536" spans="5:5" x14ac:dyDescent="0.25">
      <c r="E2536" t="s">
        <v>2234</v>
      </c>
    </row>
    <row r="2537" spans="5:5" x14ac:dyDescent="0.25">
      <c r="E2537" t="s">
        <v>2235</v>
      </c>
    </row>
    <row r="2538" spans="5:5" x14ac:dyDescent="0.25">
      <c r="E2538" t="s">
        <v>2236</v>
      </c>
    </row>
    <row r="2539" spans="5:5" x14ac:dyDescent="0.25">
      <c r="E2539" t="s">
        <v>2237</v>
      </c>
    </row>
    <row r="2540" spans="5:5" x14ac:dyDescent="0.25">
      <c r="E2540" t="s">
        <v>2238</v>
      </c>
    </row>
    <row r="2541" spans="5:5" x14ac:dyDescent="0.25">
      <c r="E2541" t="s">
        <v>2239</v>
      </c>
    </row>
    <row r="2542" spans="5:5" x14ac:dyDescent="0.25">
      <c r="E2542" t="s">
        <v>2240</v>
      </c>
    </row>
    <row r="2543" spans="5:5" x14ac:dyDescent="0.25">
      <c r="E2543" t="s">
        <v>2241</v>
      </c>
    </row>
    <row r="2544" spans="5:5" x14ac:dyDescent="0.25">
      <c r="E2544" t="s">
        <v>2242</v>
      </c>
    </row>
    <row r="2545" spans="5:5" x14ac:dyDescent="0.25">
      <c r="E2545" t="s">
        <v>2243</v>
      </c>
    </row>
    <row r="2546" spans="5:5" x14ac:dyDescent="0.25">
      <c r="E2546" t="s">
        <v>2244</v>
      </c>
    </row>
    <row r="2547" spans="5:5" x14ac:dyDescent="0.25">
      <c r="E2547" t="s">
        <v>2245</v>
      </c>
    </row>
    <row r="2548" spans="5:5" x14ac:dyDescent="0.25">
      <c r="E2548" t="s">
        <v>2246</v>
      </c>
    </row>
    <row r="2549" spans="5:5" x14ac:dyDescent="0.25">
      <c r="E2549" t="s">
        <v>2247</v>
      </c>
    </row>
    <row r="2550" spans="5:5" x14ac:dyDescent="0.25">
      <c r="E2550" t="s">
        <v>2248</v>
      </c>
    </row>
    <row r="2551" spans="5:5" x14ac:dyDescent="0.25">
      <c r="E2551" t="s">
        <v>2249</v>
      </c>
    </row>
    <row r="2552" spans="5:5" x14ac:dyDescent="0.25">
      <c r="E2552" t="s">
        <v>2250</v>
      </c>
    </row>
    <row r="2553" spans="5:5" x14ac:dyDescent="0.25">
      <c r="E2553" t="s">
        <v>2251</v>
      </c>
    </row>
    <row r="2554" spans="5:5" x14ac:dyDescent="0.25">
      <c r="E2554" t="s">
        <v>2252</v>
      </c>
    </row>
    <row r="2555" spans="5:5" x14ac:dyDescent="0.25">
      <c r="E2555" t="s">
        <v>2253</v>
      </c>
    </row>
    <row r="2556" spans="5:5" x14ac:dyDescent="0.25">
      <c r="E2556" t="s">
        <v>2254</v>
      </c>
    </row>
    <row r="2557" spans="5:5" x14ac:dyDescent="0.25">
      <c r="E2557" t="s">
        <v>2255</v>
      </c>
    </row>
    <row r="2558" spans="5:5" x14ac:dyDescent="0.25">
      <c r="E2558" t="s">
        <v>2256</v>
      </c>
    </row>
    <row r="2559" spans="5:5" x14ac:dyDescent="0.25">
      <c r="E2559" t="s">
        <v>2257</v>
      </c>
    </row>
    <row r="2560" spans="5:5" x14ac:dyDescent="0.25">
      <c r="E2560" t="s">
        <v>2258</v>
      </c>
    </row>
    <row r="2561" spans="5:5" x14ac:dyDescent="0.25">
      <c r="E2561" t="s">
        <v>2259</v>
      </c>
    </row>
    <row r="2562" spans="5:5" x14ac:dyDescent="0.25">
      <c r="E2562" t="s">
        <v>2260</v>
      </c>
    </row>
    <row r="2563" spans="5:5" x14ac:dyDescent="0.25">
      <c r="E2563" t="s">
        <v>2261</v>
      </c>
    </row>
    <row r="2564" spans="5:5" x14ac:dyDescent="0.25">
      <c r="E2564" t="s">
        <v>2262</v>
      </c>
    </row>
    <row r="2565" spans="5:5" x14ac:dyDescent="0.25">
      <c r="E2565" t="s">
        <v>2263</v>
      </c>
    </row>
    <row r="2566" spans="5:5" x14ac:dyDescent="0.25">
      <c r="E2566" t="s">
        <v>2264</v>
      </c>
    </row>
    <row r="2567" spans="5:5" x14ac:dyDescent="0.25">
      <c r="E2567" t="s">
        <v>2265</v>
      </c>
    </row>
    <row r="2568" spans="5:5" x14ac:dyDescent="0.25">
      <c r="E2568" t="s">
        <v>2266</v>
      </c>
    </row>
    <row r="2571" spans="5:5" x14ac:dyDescent="0.25">
      <c r="E2571" t="s">
        <v>2267</v>
      </c>
    </row>
    <row r="2572" spans="5:5" x14ac:dyDescent="0.25">
      <c r="E2572" t="s">
        <v>2268</v>
      </c>
    </row>
    <row r="2573" spans="5:5" x14ac:dyDescent="0.25">
      <c r="E2573" t="s">
        <v>2269</v>
      </c>
    </row>
    <row r="2574" spans="5:5" x14ac:dyDescent="0.25">
      <c r="E2574" t="s">
        <v>2270</v>
      </c>
    </row>
    <row r="2575" spans="5:5" x14ac:dyDescent="0.25">
      <c r="E2575" t="s">
        <v>2271</v>
      </c>
    </row>
    <row r="2576" spans="5:5" x14ac:dyDescent="0.25">
      <c r="E2576" t="s">
        <v>2272</v>
      </c>
    </row>
    <row r="2577" spans="5:5" x14ac:dyDescent="0.25">
      <c r="E2577" t="s">
        <v>2273</v>
      </c>
    </row>
    <row r="2578" spans="5:5" x14ac:dyDescent="0.25">
      <c r="E2578" t="s">
        <v>2274</v>
      </c>
    </row>
    <row r="2579" spans="5:5" x14ac:dyDescent="0.25">
      <c r="E2579" t="s">
        <v>2275</v>
      </c>
    </row>
    <row r="2580" spans="5:5" x14ac:dyDescent="0.25">
      <c r="E2580" t="s">
        <v>2276</v>
      </c>
    </row>
    <row r="2581" spans="5:5" x14ac:dyDescent="0.25">
      <c r="E2581" t="s">
        <v>2277</v>
      </c>
    </row>
    <row r="2582" spans="5:5" x14ac:dyDescent="0.25">
      <c r="E2582" t="s">
        <v>2278</v>
      </c>
    </row>
    <row r="2583" spans="5:5" x14ac:dyDescent="0.25">
      <c r="E2583" t="s">
        <v>2279</v>
      </c>
    </row>
    <row r="2584" spans="5:5" x14ac:dyDescent="0.25">
      <c r="E2584" t="s">
        <v>2280</v>
      </c>
    </row>
    <row r="2585" spans="5:5" x14ac:dyDescent="0.25">
      <c r="E2585" t="s">
        <v>2281</v>
      </c>
    </row>
    <row r="2586" spans="5:5" x14ac:dyDescent="0.25">
      <c r="E2586" t="s">
        <v>2282</v>
      </c>
    </row>
    <row r="2587" spans="5:5" x14ac:dyDescent="0.25">
      <c r="E2587" t="s">
        <v>2283</v>
      </c>
    </row>
    <row r="2588" spans="5:5" x14ac:dyDescent="0.25">
      <c r="E2588" t="s">
        <v>2284</v>
      </c>
    </row>
    <row r="2589" spans="5:5" x14ac:dyDescent="0.25">
      <c r="E2589" t="s">
        <v>2285</v>
      </c>
    </row>
    <row r="2590" spans="5:5" x14ac:dyDescent="0.25">
      <c r="E2590" t="s">
        <v>2286</v>
      </c>
    </row>
    <row r="2591" spans="5:5" x14ac:dyDescent="0.25">
      <c r="E2591" t="s">
        <v>2287</v>
      </c>
    </row>
    <row r="2592" spans="5:5" x14ac:dyDescent="0.25">
      <c r="E2592" t="s">
        <v>2288</v>
      </c>
    </row>
    <row r="2593" spans="5:5" x14ac:dyDescent="0.25">
      <c r="E2593" t="s">
        <v>2289</v>
      </c>
    </row>
    <row r="2594" spans="5:5" x14ac:dyDescent="0.25">
      <c r="E2594" t="s">
        <v>2290</v>
      </c>
    </row>
    <row r="2595" spans="5:5" x14ac:dyDescent="0.25">
      <c r="E2595" t="s">
        <v>2291</v>
      </c>
    </row>
    <row r="2596" spans="5:5" x14ac:dyDescent="0.25">
      <c r="E2596" t="s">
        <v>2292</v>
      </c>
    </row>
    <row r="2597" spans="5:5" x14ac:dyDescent="0.25">
      <c r="E2597" t="s">
        <v>2293</v>
      </c>
    </row>
    <row r="2598" spans="5:5" x14ac:dyDescent="0.25">
      <c r="E2598" t="s">
        <v>2294</v>
      </c>
    </row>
    <row r="2599" spans="5:5" x14ac:dyDescent="0.25">
      <c r="E2599" t="s">
        <v>2295</v>
      </c>
    </row>
    <row r="2600" spans="5:5" x14ac:dyDescent="0.25">
      <c r="E2600" t="s">
        <v>2296</v>
      </c>
    </row>
    <row r="2601" spans="5:5" x14ac:dyDescent="0.25">
      <c r="E2601" t="s">
        <v>2297</v>
      </c>
    </row>
    <row r="2602" spans="5:5" x14ac:dyDescent="0.25">
      <c r="E2602" t="s">
        <v>2298</v>
      </c>
    </row>
    <row r="2603" spans="5:5" x14ac:dyDescent="0.25">
      <c r="E2603" t="s">
        <v>2299</v>
      </c>
    </row>
    <row r="2604" spans="5:5" x14ac:dyDescent="0.25">
      <c r="E2604" t="s">
        <v>2300</v>
      </c>
    </row>
    <row r="2605" spans="5:5" x14ac:dyDescent="0.25">
      <c r="E2605" t="s">
        <v>2301</v>
      </c>
    </row>
    <row r="2606" spans="5:5" x14ac:dyDescent="0.25">
      <c r="E2606" t="s">
        <v>2302</v>
      </c>
    </row>
    <row r="2607" spans="5:5" x14ac:dyDescent="0.25">
      <c r="E2607" t="s">
        <v>2303</v>
      </c>
    </row>
    <row r="2608" spans="5:5" x14ac:dyDescent="0.25">
      <c r="E2608" t="s">
        <v>2304</v>
      </c>
    </row>
    <row r="2609" spans="5:5" x14ac:dyDescent="0.25">
      <c r="E2609" t="s">
        <v>2305</v>
      </c>
    </row>
    <row r="2610" spans="5:5" x14ac:dyDescent="0.25">
      <c r="E2610" t="s">
        <v>2306</v>
      </c>
    </row>
    <row r="2611" spans="5:5" x14ac:dyDescent="0.25">
      <c r="E2611" t="s">
        <v>2307</v>
      </c>
    </row>
    <row r="2612" spans="5:5" x14ac:dyDescent="0.25">
      <c r="E2612" t="s">
        <v>2308</v>
      </c>
    </row>
    <row r="2613" spans="5:5" x14ac:dyDescent="0.25">
      <c r="E2613" t="s">
        <v>2309</v>
      </c>
    </row>
    <row r="2614" spans="5:5" x14ac:dyDescent="0.25">
      <c r="E2614" t="s">
        <v>2310</v>
      </c>
    </row>
    <row r="2615" spans="5:5" x14ac:dyDescent="0.25">
      <c r="E2615" t="s">
        <v>2311</v>
      </c>
    </row>
    <row r="2616" spans="5:5" x14ac:dyDescent="0.25">
      <c r="E2616" t="s">
        <v>2312</v>
      </c>
    </row>
    <row r="2617" spans="5:5" x14ac:dyDescent="0.25">
      <c r="E2617" t="s">
        <v>2313</v>
      </c>
    </row>
    <row r="2618" spans="5:5" x14ac:dyDescent="0.25">
      <c r="E2618" t="s">
        <v>2314</v>
      </c>
    </row>
    <row r="2619" spans="5:5" x14ac:dyDescent="0.25">
      <c r="E2619" t="s">
        <v>2315</v>
      </c>
    </row>
    <row r="2620" spans="5:5" x14ac:dyDescent="0.25">
      <c r="E2620" t="s">
        <v>2316</v>
      </c>
    </row>
    <row r="2621" spans="5:5" x14ac:dyDescent="0.25">
      <c r="E2621" t="s">
        <v>2317</v>
      </c>
    </row>
    <row r="2622" spans="5:5" x14ac:dyDescent="0.25">
      <c r="E2622" t="s">
        <v>2318</v>
      </c>
    </row>
    <row r="2623" spans="5:5" x14ac:dyDescent="0.25">
      <c r="E2623" t="s">
        <v>2319</v>
      </c>
    </row>
    <row r="2624" spans="5:5" x14ac:dyDescent="0.25">
      <c r="E2624" t="s">
        <v>2320</v>
      </c>
    </row>
    <row r="2625" spans="5:5" x14ac:dyDescent="0.25">
      <c r="E2625" t="s">
        <v>2321</v>
      </c>
    </row>
    <row r="2626" spans="5:5" x14ac:dyDescent="0.25">
      <c r="E2626" t="s">
        <v>2322</v>
      </c>
    </row>
    <row r="2627" spans="5:5" x14ac:dyDescent="0.25">
      <c r="E2627" t="s">
        <v>2323</v>
      </c>
    </row>
    <row r="2628" spans="5:5" x14ac:dyDescent="0.25">
      <c r="E2628" t="s">
        <v>2324</v>
      </c>
    </row>
    <row r="2629" spans="5:5" x14ac:dyDescent="0.25">
      <c r="E2629" t="s">
        <v>2325</v>
      </c>
    </row>
    <row r="2630" spans="5:5" x14ac:dyDescent="0.25">
      <c r="E2630" t="s">
        <v>2326</v>
      </c>
    </row>
    <row r="2631" spans="5:5" x14ac:dyDescent="0.25">
      <c r="E2631" t="s">
        <v>2327</v>
      </c>
    </row>
    <row r="2632" spans="5:5" x14ac:dyDescent="0.25">
      <c r="E2632" t="s">
        <v>2328</v>
      </c>
    </row>
    <row r="2633" spans="5:5" x14ac:dyDescent="0.25">
      <c r="E2633" t="s">
        <v>2329</v>
      </c>
    </row>
    <row r="2634" spans="5:5" x14ac:dyDescent="0.25">
      <c r="E2634" t="s">
        <v>2330</v>
      </c>
    </row>
    <row r="2635" spans="5:5" x14ac:dyDescent="0.25">
      <c r="E2635" t="s">
        <v>2331</v>
      </c>
    </row>
    <row r="2636" spans="5:5" x14ac:dyDescent="0.25">
      <c r="E2636" t="s">
        <v>2332</v>
      </c>
    </row>
    <row r="2637" spans="5:5" x14ac:dyDescent="0.25">
      <c r="E2637" t="s">
        <v>2333</v>
      </c>
    </row>
    <row r="2638" spans="5:5" x14ac:dyDescent="0.25">
      <c r="E2638" t="s">
        <v>2334</v>
      </c>
    </row>
    <row r="2639" spans="5:5" x14ac:dyDescent="0.25">
      <c r="E2639" t="s">
        <v>2335</v>
      </c>
    </row>
    <row r="2640" spans="5:5" x14ac:dyDescent="0.25">
      <c r="E2640" t="s">
        <v>2336</v>
      </c>
    </row>
    <row r="2641" spans="5:5" x14ac:dyDescent="0.25">
      <c r="E2641" t="s">
        <v>2337</v>
      </c>
    </row>
    <row r="2642" spans="5:5" x14ac:dyDescent="0.25">
      <c r="E2642" t="s">
        <v>2338</v>
      </c>
    </row>
    <row r="2643" spans="5:5" x14ac:dyDescent="0.25">
      <c r="E2643" t="s">
        <v>2339</v>
      </c>
    </row>
    <row r="2644" spans="5:5" x14ac:dyDescent="0.25">
      <c r="E2644" t="s">
        <v>2340</v>
      </c>
    </row>
    <row r="2645" spans="5:5" x14ac:dyDescent="0.25">
      <c r="E2645" t="s">
        <v>2341</v>
      </c>
    </row>
    <row r="2646" spans="5:5" x14ac:dyDescent="0.25">
      <c r="E2646" t="s">
        <v>2342</v>
      </c>
    </row>
    <row r="2647" spans="5:5" x14ac:dyDescent="0.25">
      <c r="E2647" t="s">
        <v>2343</v>
      </c>
    </row>
    <row r="2648" spans="5:5" x14ac:dyDescent="0.25">
      <c r="E2648" t="s">
        <v>2344</v>
      </c>
    </row>
    <row r="2649" spans="5:5" x14ac:dyDescent="0.25">
      <c r="E2649" t="s">
        <v>2345</v>
      </c>
    </row>
    <row r="2650" spans="5:5" x14ac:dyDescent="0.25">
      <c r="E2650" t="s">
        <v>2346</v>
      </c>
    </row>
    <row r="2651" spans="5:5" x14ac:dyDescent="0.25">
      <c r="E2651" t="s">
        <v>2347</v>
      </c>
    </row>
    <row r="2652" spans="5:5" x14ac:dyDescent="0.25">
      <c r="E2652" t="s">
        <v>2348</v>
      </c>
    </row>
    <row r="2653" spans="5:5" x14ac:dyDescent="0.25">
      <c r="E2653" t="s">
        <v>2349</v>
      </c>
    </row>
    <row r="2654" spans="5:5" x14ac:dyDescent="0.25">
      <c r="E2654" t="s">
        <v>2350</v>
      </c>
    </row>
    <row r="2655" spans="5:5" x14ac:dyDescent="0.25">
      <c r="E2655" t="s">
        <v>2351</v>
      </c>
    </row>
    <row r="2656" spans="5:5" x14ac:dyDescent="0.25">
      <c r="E2656" t="s">
        <v>2352</v>
      </c>
    </row>
    <row r="2657" spans="5:5" x14ac:dyDescent="0.25">
      <c r="E2657" t="s">
        <v>2353</v>
      </c>
    </row>
    <row r="2658" spans="5:5" x14ac:dyDescent="0.25">
      <c r="E2658" t="s">
        <v>2354</v>
      </c>
    </row>
    <row r="2659" spans="5:5" x14ac:dyDescent="0.25">
      <c r="E2659" t="s">
        <v>2355</v>
      </c>
    </row>
    <row r="2660" spans="5:5" x14ac:dyDescent="0.25">
      <c r="E2660" t="s">
        <v>2356</v>
      </c>
    </row>
    <row r="2661" spans="5:5" x14ac:dyDescent="0.25">
      <c r="E2661" t="s">
        <v>2357</v>
      </c>
    </row>
    <row r="2662" spans="5:5" x14ac:dyDescent="0.25">
      <c r="E2662" t="s">
        <v>2358</v>
      </c>
    </row>
    <row r="2663" spans="5:5" x14ac:dyDescent="0.25">
      <c r="E2663" t="s">
        <v>2359</v>
      </c>
    </row>
    <row r="2664" spans="5:5" x14ac:dyDescent="0.25">
      <c r="E2664" t="s">
        <v>2360</v>
      </c>
    </row>
    <row r="2665" spans="5:5" x14ac:dyDescent="0.25">
      <c r="E2665" t="s">
        <v>2361</v>
      </c>
    </row>
    <row r="2666" spans="5:5" x14ac:dyDescent="0.25">
      <c r="E2666" t="s">
        <v>2362</v>
      </c>
    </row>
    <row r="2667" spans="5:5" x14ac:dyDescent="0.25">
      <c r="E2667" t="s">
        <v>2363</v>
      </c>
    </row>
    <row r="2668" spans="5:5" x14ac:dyDescent="0.25">
      <c r="E2668" t="s">
        <v>2364</v>
      </c>
    </row>
    <row r="2669" spans="5:5" x14ac:dyDescent="0.25">
      <c r="E2669" t="s">
        <v>2365</v>
      </c>
    </row>
    <row r="2670" spans="5:5" x14ac:dyDescent="0.25">
      <c r="E2670" t="s">
        <v>2366</v>
      </c>
    </row>
    <row r="2671" spans="5:5" x14ac:dyDescent="0.25">
      <c r="E2671" t="s">
        <v>2367</v>
      </c>
    </row>
    <row r="2672" spans="5:5" x14ac:dyDescent="0.25">
      <c r="E2672" t="s">
        <v>2368</v>
      </c>
    </row>
    <row r="2673" spans="5:5" x14ac:dyDescent="0.25">
      <c r="E2673" t="s">
        <v>2369</v>
      </c>
    </row>
    <row r="2674" spans="5:5" x14ac:dyDescent="0.25">
      <c r="E2674" t="s">
        <v>2370</v>
      </c>
    </row>
    <row r="2675" spans="5:5" x14ac:dyDescent="0.25">
      <c r="E2675" t="s">
        <v>2371</v>
      </c>
    </row>
    <row r="2676" spans="5:5" x14ac:dyDescent="0.25">
      <c r="E2676" t="s">
        <v>2372</v>
      </c>
    </row>
    <row r="2677" spans="5:5" x14ac:dyDescent="0.25">
      <c r="E2677" t="s">
        <v>2373</v>
      </c>
    </row>
    <row r="2678" spans="5:5" x14ac:dyDescent="0.25">
      <c r="E2678" t="s">
        <v>2374</v>
      </c>
    </row>
    <row r="2679" spans="5:5" x14ac:dyDescent="0.25">
      <c r="E2679" t="s">
        <v>2375</v>
      </c>
    </row>
    <row r="2680" spans="5:5" x14ac:dyDescent="0.25">
      <c r="E2680" t="s">
        <v>2376</v>
      </c>
    </row>
    <row r="2681" spans="5:5" x14ac:dyDescent="0.25">
      <c r="E2681" t="s">
        <v>2377</v>
      </c>
    </row>
    <row r="2682" spans="5:5" x14ac:dyDescent="0.25">
      <c r="E2682" t="s">
        <v>2378</v>
      </c>
    </row>
    <row r="2683" spans="5:5" x14ac:dyDescent="0.25">
      <c r="E2683" t="s">
        <v>2379</v>
      </c>
    </row>
    <row r="2684" spans="5:5" x14ac:dyDescent="0.25">
      <c r="E2684" t="s">
        <v>2380</v>
      </c>
    </row>
    <row r="2685" spans="5:5" x14ac:dyDescent="0.25">
      <c r="E2685" t="s">
        <v>2381</v>
      </c>
    </row>
    <row r="2686" spans="5:5" x14ac:dyDescent="0.25">
      <c r="E2686" t="s">
        <v>2382</v>
      </c>
    </row>
    <row r="2687" spans="5:5" x14ac:dyDescent="0.25">
      <c r="E2687" t="s">
        <v>2383</v>
      </c>
    </row>
    <row r="2688" spans="5:5" x14ac:dyDescent="0.25">
      <c r="E2688" t="s">
        <v>2384</v>
      </c>
    </row>
    <row r="2689" spans="5:5" x14ac:dyDescent="0.25">
      <c r="E2689" t="s">
        <v>2385</v>
      </c>
    </row>
    <row r="2690" spans="5:5" x14ac:dyDescent="0.25">
      <c r="E2690" t="s">
        <v>2386</v>
      </c>
    </row>
    <row r="2691" spans="5:5" x14ac:dyDescent="0.25">
      <c r="E2691" t="s">
        <v>2387</v>
      </c>
    </row>
    <row r="2692" spans="5:5" x14ac:dyDescent="0.25">
      <c r="E2692" t="s">
        <v>2388</v>
      </c>
    </row>
    <row r="2693" spans="5:5" x14ac:dyDescent="0.25">
      <c r="E2693" t="s">
        <v>2389</v>
      </c>
    </row>
    <row r="2694" spans="5:5" x14ac:dyDescent="0.25">
      <c r="E2694" t="s">
        <v>2390</v>
      </c>
    </row>
    <row r="2695" spans="5:5" x14ac:dyDescent="0.25">
      <c r="E2695" t="s">
        <v>2391</v>
      </c>
    </row>
    <row r="2696" spans="5:5" x14ac:dyDescent="0.25">
      <c r="E2696" t="s">
        <v>2392</v>
      </c>
    </row>
    <row r="2697" spans="5:5" x14ac:dyDescent="0.25">
      <c r="E2697" t="s">
        <v>2393</v>
      </c>
    </row>
    <row r="2698" spans="5:5" x14ac:dyDescent="0.25">
      <c r="E2698" t="s">
        <v>2394</v>
      </c>
    </row>
    <row r="2699" spans="5:5" x14ac:dyDescent="0.25">
      <c r="E2699" t="s">
        <v>2395</v>
      </c>
    </row>
    <row r="2700" spans="5:5" x14ac:dyDescent="0.25">
      <c r="E2700" t="s">
        <v>2396</v>
      </c>
    </row>
    <row r="2701" spans="5:5" x14ac:dyDescent="0.25">
      <c r="E2701" t="s">
        <v>2397</v>
      </c>
    </row>
    <row r="2702" spans="5:5" x14ac:dyDescent="0.25">
      <c r="E2702" t="s">
        <v>2398</v>
      </c>
    </row>
    <row r="2703" spans="5:5" x14ac:dyDescent="0.25">
      <c r="E2703" t="s">
        <v>2399</v>
      </c>
    </row>
    <row r="2704" spans="5:5" x14ac:dyDescent="0.25">
      <c r="E2704" t="s">
        <v>2400</v>
      </c>
    </row>
    <row r="2705" spans="5:5" x14ac:dyDescent="0.25">
      <c r="E2705" t="s">
        <v>2401</v>
      </c>
    </row>
    <row r="2706" spans="5:5" x14ac:dyDescent="0.25">
      <c r="E2706" t="s">
        <v>2402</v>
      </c>
    </row>
    <row r="2707" spans="5:5" x14ac:dyDescent="0.25">
      <c r="E2707" t="s">
        <v>2403</v>
      </c>
    </row>
    <row r="2708" spans="5:5" x14ac:dyDescent="0.25">
      <c r="E2708" t="s">
        <v>2404</v>
      </c>
    </row>
    <row r="2709" spans="5:5" x14ac:dyDescent="0.25">
      <c r="E2709" t="s">
        <v>2405</v>
      </c>
    </row>
    <row r="2710" spans="5:5" x14ac:dyDescent="0.25">
      <c r="E2710" t="s">
        <v>2406</v>
      </c>
    </row>
    <row r="2711" spans="5:5" x14ac:dyDescent="0.25">
      <c r="E2711" t="s">
        <v>2407</v>
      </c>
    </row>
    <row r="2712" spans="5:5" x14ac:dyDescent="0.25">
      <c r="E2712" t="s">
        <v>2408</v>
      </c>
    </row>
    <row r="2713" spans="5:5" x14ac:dyDescent="0.25">
      <c r="E2713" t="s">
        <v>2409</v>
      </c>
    </row>
    <row r="2714" spans="5:5" x14ac:dyDescent="0.25">
      <c r="E2714" t="s">
        <v>2410</v>
      </c>
    </row>
    <row r="2715" spans="5:5" x14ac:dyDescent="0.25">
      <c r="E2715" t="s">
        <v>2411</v>
      </c>
    </row>
    <row r="2716" spans="5:5" x14ac:dyDescent="0.25">
      <c r="E2716" t="s">
        <v>2412</v>
      </c>
    </row>
    <row r="2719" spans="5:5" x14ac:dyDescent="0.25">
      <c r="E2719" t="s">
        <v>2413</v>
      </c>
    </row>
    <row r="2720" spans="5:5" x14ac:dyDescent="0.25">
      <c r="E2720" t="s">
        <v>2414</v>
      </c>
    </row>
    <row r="2721" spans="5:5" x14ac:dyDescent="0.25">
      <c r="E2721" t="s">
        <v>2415</v>
      </c>
    </row>
    <row r="2722" spans="5:5" x14ac:dyDescent="0.25">
      <c r="E2722" t="s">
        <v>2416</v>
      </c>
    </row>
    <row r="2723" spans="5:5" x14ac:dyDescent="0.25">
      <c r="E2723" t="s">
        <v>2417</v>
      </c>
    </row>
    <row r="2724" spans="5:5" x14ac:dyDescent="0.25">
      <c r="E2724" t="s">
        <v>2418</v>
      </c>
    </row>
    <row r="2725" spans="5:5" x14ac:dyDescent="0.25">
      <c r="E2725" t="s">
        <v>2419</v>
      </c>
    </row>
    <row r="2726" spans="5:5" x14ac:dyDescent="0.25">
      <c r="E2726" t="s">
        <v>2420</v>
      </c>
    </row>
    <row r="2727" spans="5:5" x14ac:dyDescent="0.25">
      <c r="E2727" t="s">
        <v>2421</v>
      </c>
    </row>
    <row r="2728" spans="5:5" x14ac:dyDescent="0.25">
      <c r="E2728" t="s">
        <v>2422</v>
      </c>
    </row>
    <row r="2729" spans="5:5" x14ac:dyDescent="0.25">
      <c r="E2729" t="s">
        <v>2423</v>
      </c>
    </row>
    <row r="2730" spans="5:5" x14ac:dyDescent="0.25">
      <c r="E2730" t="s">
        <v>2424</v>
      </c>
    </row>
    <row r="2731" spans="5:5" x14ac:dyDescent="0.25">
      <c r="E2731" t="s">
        <v>2425</v>
      </c>
    </row>
    <row r="2732" spans="5:5" x14ac:dyDescent="0.25">
      <c r="E2732" t="s">
        <v>2426</v>
      </c>
    </row>
    <row r="2733" spans="5:5" x14ac:dyDescent="0.25">
      <c r="E2733" t="s">
        <v>2427</v>
      </c>
    </row>
    <row r="2734" spans="5:5" x14ac:dyDescent="0.25">
      <c r="E2734" t="s">
        <v>2428</v>
      </c>
    </row>
    <row r="2735" spans="5:5" x14ac:dyDescent="0.25">
      <c r="E2735" t="s">
        <v>2429</v>
      </c>
    </row>
    <row r="2736" spans="5:5" x14ac:dyDescent="0.25">
      <c r="E2736" t="s">
        <v>2430</v>
      </c>
    </row>
    <row r="2737" spans="5:5" x14ac:dyDescent="0.25">
      <c r="E2737" t="s">
        <v>2431</v>
      </c>
    </row>
    <row r="2738" spans="5:5" x14ac:dyDescent="0.25">
      <c r="E2738" t="s">
        <v>2432</v>
      </c>
    </row>
    <row r="2739" spans="5:5" x14ac:dyDescent="0.25">
      <c r="E2739" t="s">
        <v>2433</v>
      </c>
    </row>
    <row r="2740" spans="5:5" x14ac:dyDescent="0.25">
      <c r="E2740" t="s">
        <v>2434</v>
      </c>
    </row>
    <row r="2741" spans="5:5" x14ac:dyDescent="0.25">
      <c r="E2741" t="s">
        <v>2435</v>
      </c>
    </row>
    <row r="2742" spans="5:5" x14ac:dyDescent="0.25">
      <c r="E2742" t="s">
        <v>2436</v>
      </c>
    </row>
    <row r="2743" spans="5:5" x14ac:dyDescent="0.25">
      <c r="E2743" t="s">
        <v>2437</v>
      </c>
    </row>
    <row r="2744" spans="5:5" x14ac:dyDescent="0.25">
      <c r="E2744" t="s">
        <v>2438</v>
      </c>
    </row>
    <row r="2745" spans="5:5" x14ac:dyDescent="0.25">
      <c r="E2745" t="s">
        <v>2439</v>
      </c>
    </row>
    <row r="2746" spans="5:5" x14ac:dyDescent="0.25">
      <c r="E2746" t="s">
        <v>2440</v>
      </c>
    </row>
    <row r="2747" spans="5:5" x14ac:dyDescent="0.25">
      <c r="E2747" t="s">
        <v>2441</v>
      </c>
    </row>
    <row r="2748" spans="5:5" x14ac:dyDescent="0.25">
      <c r="E2748" t="s">
        <v>2442</v>
      </c>
    </row>
    <row r="2749" spans="5:5" x14ac:dyDescent="0.25">
      <c r="E2749" t="s">
        <v>2443</v>
      </c>
    </row>
    <row r="2750" spans="5:5" x14ac:dyDescent="0.25">
      <c r="E2750" t="s">
        <v>2444</v>
      </c>
    </row>
    <row r="2751" spans="5:5" x14ac:dyDescent="0.25">
      <c r="E2751" t="s">
        <v>2445</v>
      </c>
    </row>
    <row r="2752" spans="5:5" x14ac:dyDescent="0.25">
      <c r="E2752" t="s">
        <v>2446</v>
      </c>
    </row>
    <row r="2753" spans="5:5" x14ac:dyDescent="0.25">
      <c r="E2753" t="s">
        <v>2447</v>
      </c>
    </row>
    <row r="2754" spans="5:5" x14ac:dyDescent="0.25">
      <c r="E2754" t="s">
        <v>2448</v>
      </c>
    </row>
    <row r="2755" spans="5:5" x14ac:dyDescent="0.25">
      <c r="E2755" t="s">
        <v>2449</v>
      </c>
    </row>
    <row r="2756" spans="5:5" x14ac:dyDescent="0.25">
      <c r="E2756" t="s">
        <v>2450</v>
      </c>
    </row>
    <row r="2757" spans="5:5" x14ac:dyDescent="0.25">
      <c r="E2757" t="s">
        <v>2451</v>
      </c>
    </row>
    <row r="2758" spans="5:5" x14ac:dyDescent="0.25">
      <c r="E2758" t="s">
        <v>2452</v>
      </c>
    </row>
    <row r="2759" spans="5:5" x14ac:dyDescent="0.25">
      <c r="E2759" t="s">
        <v>2453</v>
      </c>
    </row>
    <row r="2760" spans="5:5" x14ac:dyDescent="0.25">
      <c r="E2760" t="s">
        <v>2454</v>
      </c>
    </row>
    <row r="2761" spans="5:5" x14ac:dyDescent="0.25">
      <c r="E2761" t="s">
        <v>2455</v>
      </c>
    </row>
    <row r="2762" spans="5:5" x14ac:dyDescent="0.25">
      <c r="E2762" t="s">
        <v>2456</v>
      </c>
    </row>
    <row r="2763" spans="5:5" x14ac:dyDescent="0.25">
      <c r="E2763" t="s">
        <v>2457</v>
      </c>
    </row>
    <row r="2764" spans="5:5" x14ac:dyDescent="0.25">
      <c r="E2764" t="s">
        <v>2458</v>
      </c>
    </row>
    <row r="2765" spans="5:5" x14ac:dyDescent="0.25">
      <c r="E2765" t="s">
        <v>2459</v>
      </c>
    </row>
    <row r="2766" spans="5:5" x14ac:dyDescent="0.25">
      <c r="E2766" t="s">
        <v>2460</v>
      </c>
    </row>
    <row r="2767" spans="5:5" x14ac:dyDescent="0.25">
      <c r="E2767" t="s">
        <v>2461</v>
      </c>
    </row>
    <row r="2768" spans="5:5" x14ac:dyDescent="0.25">
      <c r="E2768" t="s">
        <v>2462</v>
      </c>
    </row>
    <row r="2769" spans="5:5" x14ac:dyDescent="0.25">
      <c r="E2769" t="s">
        <v>2463</v>
      </c>
    </row>
    <row r="2770" spans="5:5" x14ac:dyDescent="0.25">
      <c r="E2770" t="s">
        <v>2464</v>
      </c>
    </row>
    <row r="2771" spans="5:5" x14ac:dyDescent="0.25">
      <c r="E2771" t="s">
        <v>2465</v>
      </c>
    </row>
    <row r="2772" spans="5:5" x14ac:dyDescent="0.25">
      <c r="E2772" t="s">
        <v>2466</v>
      </c>
    </row>
    <row r="2773" spans="5:5" x14ac:dyDescent="0.25">
      <c r="E2773" t="s">
        <v>2467</v>
      </c>
    </row>
    <row r="2774" spans="5:5" x14ac:dyDescent="0.25">
      <c r="E2774" t="s">
        <v>2468</v>
      </c>
    </row>
    <row r="2775" spans="5:5" x14ac:dyDescent="0.25">
      <c r="E2775" t="s">
        <v>2469</v>
      </c>
    </row>
    <row r="2776" spans="5:5" x14ac:dyDescent="0.25">
      <c r="E2776" t="s">
        <v>2470</v>
      </c>
    </row>
    <row r="2777" spans="5:5" x14ac:dyDescent="0.25">
      <c r="E2777" t="s">
        <v>2471</v>
      </c>
    </row>
    <row r="2778" spans="5:5" x14ac:dyDescent="0.25">
      <c r="E2778" t="s">
        <v>2472</v>
      </c>
    </row>
    <row r="2779" spans="5:5" x14ac:dyDescent="0.25">
      <c r="E2779" t="s">
        <v>2473</v>
      </c>
    </row>
    <row r="2780" spans="5:5" x14ac:dyDescent="0.25">
      <c r="E2780" t="s">
        <v>2474</v>
      </c>
    </row>
    <row r="2781" spans="5:5" x14ac:dyDescent="0.25">
      <c r="E2781" t="s">
        <v>2475</v>
      </c>
    </row>
    <row r="2782" spans="5:5" x14ac:dyDescent="0.25">
      <c r="E2782" t="s">
        <v>2476</v>
      </c>
    </row>
    <row r="2783" spans="5:5" x14ac:dyDescent="0.25">
      <c r="E2783" t="s">
        <v>2477</v>
      </c>
    </row>
    <row r="2784" spans="5:5" x14ac:dyDescent="0.25">
      <c r="E2784" t="s">
        <v>2478</v>
      </c>
    </row>
    <row r="2785" spans="5:5" x14ac:dyDescent="0.25">
      <c r="E2785" t="s">
        <v>2479</v>
      </c>
    </row>
    <row r="2786" spans="5:5" x14ac:dyDescent="0.25">
      <c r="E2786" t="s">
        <v>2480</v>
      </c>
    </row>
    <row r="2787" spans="5:5" x14ac:dyDescent="0.25">
      <c r="E2787" t="s">
        <v>2481</v>
      </c>
    </row>
    <row r="2788" spans="5:5" x14ac:dyDescent="0.25">
      <c r="E2788" t="s">
        <v>2482</v>
      </c>
    </row>
    <row r="2789" spans="5:5" x14ac:dyDescent="0.25">
      <c r="E2789" t="s">
        <v>2483</v>
      </c>
    </row>
    <row r="2790" spans="5:5" x14ac:dyDescent="0.25">
      <c r="E2790" t="s">
        <v>2484</v>
      </c>
    </row>
    <row r="2791" spans="5:5" x14ac:dyDescent="0.25">
      <c r="E2791" t="s">
        <v>2485</v>
      </c>
    </row>
    <row r="2792" spans="5:5" x14ac:dyDescent="0.25">
      <c r="E2792" t="s">
        <v>2486</v>
      </c>
    </row>
    <row r="2793" spans="5:5" x14ac:dyDescent="0.25">
      <c r="E2793" t="s">
        <v>2487</v>
      </c>
    </row>
    <row r="2794" spans="5:5" x14ac:dyDescent="0.25">
      <c r="E2794" t="s">
        <v>2488</v>
      </c>
    </row>
    <row r="2795" spans="5:5" x14ac:dyDescent="0.25">
      <c r="E2795" t="s">
        <v>2489</v>
      </c>
    </row>
    <row r="2796" spans="5:5" x14ac:dyDescent="0.25">
      <c r="E2796" t="s">
        <v>2490</v>
      </c>
    </row>
    <row r="2797" spans="5:5" x14ac:dyDescent="0.25">
      <c r="E2797" t="s">
        <v>2491</v>
      </c>
    </row>
    <row r="2798" spans="5:5" x14ac:dyDescent="0.25">
      <c r="E2798" t="s">
        <v>2492</v>
      </c>
    </row>
    <row r="2799" spans="5:5" x14ac:dyDescent="0.25">
      <c r="E2799" t="s">
        <v>2493</v>
      </c>
    </row>
    <row r="2800" spans="5:5" x14ac:dyDescent="0.25">
      <c r="E2800" t="s">
        <v>2494</v>
      </c>
    </row>
    <row r="2801" spans="5:5" x14ac:dyDescent="0.25">
      <c r="E2801" t="s">
        <v>2495</v>
      </c>
    </row>
    <row r="2802" spans="5:5" x14ac:dyDescent="0.25">
      <c r="E2802" t="s">
        <v>2496</v>
      </c>
    </row>
    <row r="2803" spans="5:5" x14ac:dyDescent="0.25">
      <c r="E2803" t="s">
        <v>2497</v>
      </c>
    </row>
    <row r="2804" spans="5:5" x14ac:dyDescent="0.25">
      <c r="E2804" t="s">
        <v>2498</v>
      </c>
    </row>
    <row r="2805" spans="5:5" x14ac:dyDescent="0.25">
      <c r="E2805" t="s">
        <v>2499</v>
      </c>
    </row>
    <row r="2806" spans="5:5" x14ac:dyDescent="0.25">
      <c r="E2806" t="s">
        <v>2500</v>
      </c>
    </row>
    <row r="2807" spans="5:5" x14ac:dyDescent="0.25">
      <c r="E2807" t="s">
        <v>2501</v>
      </c>
    </row>
    <row r="2808" spans="5:5" x14ac:dyDescent="0.25">
      <c r="E2808" t="s">
        <v>2502</v>
      </c>
    </row>
    <row r="2809" spans="5:5" x14ac:dyDescent="0.25">
      <c r="E2809" t="s">
        <v>2503</v>
      </c>
    </row>
    <row r="2810" spans="5:5" x14ac:dyDescent="0.25">
      <c r="E2810" t="s">
        <v>2504</v>
      </c>
    </row>
    <row r="2811" spans="5:5" x14ac:dyDescent="0.25">
      <c r="E2811" t="s">
        <v>2505</v>
      </c>
    </row>
    <row r="2812" spans="5:5" x14ac:dyDescent="0.25">
      <c r="E2812" t="s">
        <v>2506</v>
      </c>
    </row>
    <row r="2813" spans="5:5" x14ac:dyDescent="0.25">
      <c r="E2813" t="s">
        <v>2507</v>
      </c>
    </row>
    <row r="2814" spans="5:5" x14ac:dyDescent="0.25">
      <c r="E2814" t="s">
        <v>2508</v>
      </c>
    </row>
    <row r="2815" spans="5:5" x14ac:dyDescent="0.25">
      <c r="E2815" t="s">
        <v>2509</v>
      </c>
    </row>
    <row r="2816" spans="5:5" x14ac:dyDescent="0.25">
      <c r="E2816" t="s">
        <v>2510</v>
      </c>
    </row>
    <row r="2817" spans="5:5" x14ac:dyDescent="0.25">
      <c r="E2817" t="s">
        <v>2511</v>
      </c>
    </row>
    <row r="2818" spans="5:5" x14ac:dyDescent="0.25">
      <c r="E2818" t="s">
        <v>2512</v>
      </c>
    </row>
    <row r="2819" spans="5:5" x14ac:dyDescent="0.25">
      <c r="E2819" t="s">
        <v>2513</v>
      </c>
    </row>
    <row r="2820" spans="5:5" x14ac:dyDescent="0.25">
      <c r="E2820" t="s">
        <v>2514</v>
      </c>
    </row>
    <row r="2821" spans="5:5" x14ac:dyDescent="0.25">
      <c r="E2821" t="s">
        <v>2515</v>
      </c>
    </row>
    <row r="2822" spans="5:5" x14ac:dyDescent="0.25">
      <c r="E2822" t="s">
        <v>2516</v>
      </c>
    </row>
    <row r="2823" spans="5:5" x14ac:dyDescent="0.25">
      <c r="E2823" t="s">
        <v>2517</v>
      </c>
    </row>
    <row r="2824" spans="5:5" x14ac:dyDescent="0.25">
      <c r="E2824" t="s">
        <v>2518</v>
      </c>
    </row>
    <row r="2825" spans="5:5" x14ac:dyDescent="0.25">
      <c r="E2825" t="s">
        <v>2519</v>
      </c>
    </row>
    <row r="2826" spans="5:5" x14ac:dyDescent="0.25">
      <c r="E2826" t="s">
        <v>2520</v>
      </c>
    </row>
    <row r="2827" spans="5:5" x14ac:dyDescent="0.25">
      <c r="E2827" t="s">
        <v>2521</v>
      </c>
    </row>
    <row r="2828" spans="5:5" x14ac:dyDescent="0.25">
      <c r="E2828" t="s">
        <v>2522</v>
      </c>
    </row>
    <row r="2829" spans="5:5" x14ac:dyDescent="0.25">
      <c r="E2829" t="s">
        <v>2523</v>
      </c>
    </row>
    <row r="2830" spans="5:5" x14ac:dyDescent="0.25">
      <c r="E2830" t="s">
        <v>2524</v>
      </c>
    </row>
    <row r="2831" spans="5:5" x14ac:dyDescent="0.25">
      <c r="E2831" t="s">
        <v>2525</v>
      </c>
    </row>
    <row r="2832" spans="5:5" x14ac:dyDescent="0.25">
      <c r="E2832" t="s">
        <v>2526</v>
      </c>
    </row>
    <row r="2833" spans="5:5" x14ac:dyDescent="0.25">
      <c r="E2833" t="s">
        <v>2527</v>
      </c>
    </row>
    <row r="2834" spans="5:5" x14ac:dyDescent="0.25">
      <c r="E2834" t="s">
        <v>2528</v>
      </c>
    </row>
    <row r="2835" spans="5:5" x14ac:dyDescent="0.25">
      <c r="E2835" t="s">
        <v>2529</v>
      </c>
    </row>
    <row r="2836" spans="5:5" x14ac:dyDescent="0.25">
      <c r="E2836" t="s">
        <v>2530</v>
      </c>
    </row>
    <row r="2837" spans="5:5" x14ac:dyDescent="0.25">
      <c r="E2837" t="s">
        <v>2531</v>
      </c>
    </row>
    <row r="2838" spans="5:5" x14ac:dyDescent="0.25">
      <c r="E2838" t="s">
        <v>2532</v>
      </c>
    </row>
    <row r="2839" spans="5:5" x14ac:dyDescent="0.25">
      <c r="E2839" t="s">
        <v>2533</v>
      </c>
    </row>
    <row r="2840" spans="5:5" x14ac:dyDescent="0.25">
      <c r="E2840" t="s">
        <v>2534</v>
      </c>
    </row>
    <row r="2841" spans="5:5" x14ac:dyDescent="0.25">
      <c r="E2841" t="s">
        <v>2535</v>
      </c>
    </row>
    <row r="2842" spans="5:5" x14ac:dyDescent="0.25">
      <c r="E2842" t="s">
        <v>2536</v>
      </c>
    </row>
    <row r="2843" spans="5:5" x14ac:dyDescent="0.25">
      <c r="E2843" t="s">
        <v>2537</v>
      </c>
    </row>
    <row r="2844" spans="5:5" x14ac:dyDescent="0.25">
      <c r="E2844" t="s">
        <v>2538</v>
      </c>
    </row>
    <row r="2845" spans="5:5" x14ac:dyDescent="0.25">
      <c r="E2845" t="s">
        <v>2539</v>
      </c>
    </row>
    <row r="2846" spans="5:5" x14ac:dyDescent="0.25">
      <c r="E2846" t="s">
        <v>2540</v>
      </c>
    </row>
    <row r="2847" spans="5:5" x14ac:dyDescent="0.25">
      <c r="E2847" t="s">
        <v>2541</v>
      </c>
    </row>
    <row r="2848" spans="5:5" x14ac:dyDescent="0.25">
      <c r="E2848" t="s">
        <v>2542</v>
      </c>
    </row>
    <row r="2849" spans="5:5" x14ac:dyDescent="0.25">
      <c r="E2849" t="s">
        <v>2543</v>
      </c>
    </row>
    <row r="2850" spans="5:5" x14ac:dyDescent="0.25">
      <c r="E2850" t="s">
        <v>2544</v>
      </c>
    </row>
    <row r="2851" spans="5:5" x14ac:dyDescent="0.25">
      <c r="E2851" t="s">
        <v>2545</v>
      </c>
    </row>
    <row r="2852" spans="5:5" x14ac:dyDescent="0.25">
      <c r="E2852" t="s">
        <v>2546</v>
      </c>
    </row>
    <row r="2853" spans="5:5" x14ac:dyDescent="0.25">
      <c r="E2853" t="s">
        <v>2547</v>
      </c>
    </row>
    <row r="2854" spans="5:5" x14ac:dyDescent="0.25">
      <c r="E2854" t="s">
        <v>2548</v>
      </c>
    </row>
    <row r="2855" spans="5:5" x14ac:dyDescent="0.25">
      <c r="E2855" t="s">
        <v>2549</v>
      </c>
    </row>
    <row r="2856" spans="5:5" x14ac:dyDescent="0.25">
      <c r="E2856" t="s">
        <v>2550</v>
      </c>
    </row>
    <row r="2857" spans="5:5" x14ac:dyDescent="0.25">
      <c r="E2857" t="s">
        <v>2551</v>
      </c>
    </row>
    <row r="2858" spans="5:5" x14ac:dyDescent="0.25">
      <c r="E2858" t="s">
        <v>2552</v>
      </c>
    </row>
    <row r="2859" spans="5:5" x14ac:dyDescent="0.25">
      <c r="E2859" t="s">
        <v>2553</v>
      </c>
    </row>
    <row r="2860" spans="5:5" x14ac:dyDescent="0.25">
      <c r="E2860" t="s">
        <v>2554</v>
      </c>
    </row>
    <row r="2861" spans="5:5" x14ac:dyDescent="0.25">
      <c r="E2861" t="s">
        <v>2555</v>
      </c>
    </row>
    <row r="2862" spans="5:5" x14ac:dyDescent="0.25">
      <c r="E2862" t="s">
        <v>2556</v>
      </c>
    </row>
    <row r="2863" spans="5:5" x14ac:dyDescent="0.25">
      <c r="E2863" t="s">
        <v>2557</v>
      </c>
    </row>
    <row r="2864" spans="5:5" x14ac:dyDescent="0.25">
      <c r="E2864" t="s">
        <v>2558</v>
      </c>
    </row>
    <row r="2865" spans="5:5" x14ac:dyDescent="0.25">
      <c r="E2865" t="s">
        <v>2559</v>
      </c>
    </row>
    <row r="2866" spans="5:5" x14ac:dyDescent="0.25">
      <c r="E2866" t="s">
        <v>2560</v>
      </c>
    </row>
    <row r="2867" spans="5:5" x14ac:dyDescent="0.25">
      <c r="E2867" t="s">
        <v>2561</v>
      </c>
    </row>
    <row r="2868" spans="5:5" x14ac:dyDescent="0.25">
      <c r="E2868" t="s">
        <v>2562</v>
      </c>
    </row>
    <row r="2869" spans="5:5" x14ac:dyDescent="0.25">
      <c r="E2869" t="s">
        <v>2563</v>
      </c>
    </row>
    <row r="2870" spans="5:5" x14ac:dyDescent="0.25">
      <c r="E2870" t="s">
        <v>2564</v>
      </c>
    </row>
    <row r="2871" spans="5:5" x14ac:dyDescent="0.25">
      <c r="E2871" t="s">
        <v>2565</v>
      </c>
    </row>
    <row r="2872" spans="5:5" x14ac:dyDescent="0.25">
      <c r="E2872" t="s">
        <v>2566</v>
      </c>
    </row>
    <row r="2873" spans="5:5" x14ac:dyDescent="0.25">
      <c r="E2873" t="s">
        <v>2567</v>
      </c>
    </row>
    <row r="2874" spans="5:5" x14ac:dyDescent="0.25">
      <c r="E2874" t="s">
        <v>2568</v>
      </c>
    </row>
    <row r="2875" spans="5:5" x14ac:dyDescent="0.25">
      <c r="E2875" t="s">
        <v>2569</v>
      </c>
    </row>
    <row r="2876" spans="5:5" x14ac:dyDescent="0.25">
      <c r="E2876" t="s">
        <v>2570</v>
      </c>
    </row>
    <row r="2877" spans="5:5" x14ac:dyDescent="0.25">
      <c r="E2877" t="s">
        <v>2571</v>
      </c>
    </row>
    <row r="2878" spans="5:5" x14ac:dyDescent="0.25">
      <c r="E2878" t="s">
        <v>2572</v>
      </c>
    </row>
    <row r="2879" spans="5:5" x14ac:dyDescent="0.25">
      <c r="E2879" t="s">
        <v>2573</v>
      </c>
    </row>
    <row r="2880" spans="5:5" x14ac:dyDescent="0.25">
      <c r="E2880" t="s">
        <v>2574</v>
      </c>
    </row>
    <row r="2881" spans="5:5" x14ac:dyDescent="0.25">
      <c r="E2881" t="s">
        <v>2575</v>
      </c>
    </row>
    <row r="2882" spans="5:5" x14ac:dyDescent="0.25">
      <c r="E2882" t="s">
        <v>2576</v>
      </c>
    </row>
    <row r="2883" spans="5:5" x14ac:dyDescent="0.25">
      <c r="E2883" t="s">
        <v>2577</v>
      </c>
    </row>
    <row r="2884" spans="5:5" x14ac:dyDescent="0.25">
      <c r="E2884" t="s">
        <v>2578</v>
      </c>
    </row>
    <row r="2885" spans="5:5" x14ac:dyDescent="0.25">
      <c r="E2885" t="s">
        <v>2579</v>
      </c>
    </row>
    <row r="2886" spans="5:5" x14ac:dyDescent="0.25">
      <c r="E2886" t="s">
        <v>2580</v>
      </c>
    </row>
    <row r="2887" spans="5:5" x14ac:dyDescent="0.25">
      <c r="E2887" t="s">
        <v>2581</v>
      </c>
    </row>
    <row r="2888" spans="5:5" x14ac:dyDescent="0.25">
      <c r="E2888" t="s">
        <v>2582</v>
      </c>
    </row>
    <row r="2889" spans="5:5" x14ac:dyDescent="0.25">
      <c r="E2889" t="s">
        <v>2583</v>
      </c>
    </row>
    <row r="2890" spans="5:5" x14ac:dyDescent="0.25">
      <c r="E2890" t="s">
        <v>2584</v>
      </c>
    </row>
    <row r="2891" spans="5:5" x14ac:dyDescent="0.25">
      <c r="E2891" t="s">
        <v>2585</v>
      </c>
    </row>
    <row r="2892" spans="5:5" x14ac:dyDescent="0.25">
      <c r="E2892" t="s">
        <v>2586</v>
      </c>
    </row>
    <row r="2893" spans="5:5" x14ac:dyDescent="0.25">
      <c r="E2893" t="s">
        <v>2587</v>
      </c>
    </row>
    <row r="2894" spans="5:5" x14ac:dyDescent="0.25">
      <c r="E2894" t="s">
        <v>2588</v>
      </c>
    </row>
    <row r="2895" spans="5:5" x14ac:dyDescent="0.25">
      <c r="E2895" t="s">
        <v>2589</v>
      </c>
    </row>
    <row r="2896" spans="5:5" x14ac:dyDescent="0.25">
      <c r="E2896" t="s">
        <v>2590</v>
      </c>
    </row>
    <row r="2897" spans="5:5" x14ac:dyDescent="0.25">
      <c r="E2897" t="s">
        <v>2591</v>
      </c>
    </row>
    <row r="2898" spans="5:5" x14ac:dyDescent="0.25">
      <c r="E2898" t="s">
        <v>2592</v>
      </c>
    </row>
    <row r="2899" spans="5:5" x14ac:dyDescent="0.25">
      <c r="E2899" t="s">
        <v>2593</v>
      </c>
    </row>
    <row r="2900" spans="5:5" x14ac:dyDescent="0.25">
      <c r="E2900" t="s">
        <v>2594</v>
      </c>
    </row>
    <row r="2901" spans="5:5" x14ac:dyDescent="0.25">
      <c r="E2901" t="s">
        <v>2595</v>
      </c>
    </row>
    <row r="2902" spans="5:5" x14ac:dyDescent="0.25">
      <c r="E2902" t="s">
        <v>2596</v>
      </c>
    </row>
    <row r="2903" spans="5:5" x14ac:dyDescent="0.25">
      <c r="E2903" t="s">
        <v>2597</v>
      </c>
    </row>
    <row r="2904" spans="5:5" x14ac:dyDescent="0.25">
      <c r="E2904" t="s">
        <v>2598</v>
      </c>
    </row>
    <row r="2905" spans="5:5" x14ac:dyDescent="0.25">
      <c r="E2905" t="s">
        <v>2599</v>
      </c>
    </row>
    <row r="2906" spans="5:5" x14ac:dyDescent="0.25">
      <c r="E2906" t="s">
        <v>2600</v>
      </c>
    </row>
    <row r="2907" spans="5:5" x14ac:dyDescent="0.25">
      <c r="E2907" t="s">
        <v>2601</v>
      </c>
    </row>
    <row r="2908" spans="5:5" x14ac:dyDescent="0.25">
      <c r="E2908" t="s">
        <v>2602</v>
      </c>
    </row>
    <row r="2909" spans="5:5" x14ac:dyDescent="0.25">
      <c r="E2909" t="s">
        <v>2603</v>
      </c>
    </row>
    <row r="2910" spans="5:5" x14ac:dyDescent="0.25">
      <c r="E2910" t="s">
        <v>2604</v>
      </c>
    </row>
    <row r="2911" spans="5:5" x14ac:dyDescent="0.25">
      <c r="E2911" t="s">
        <v>2605</v>
      </c>
    </row>
    <row r="2912" spans="5:5" x14ac:dyDescent="0.25">
      <c r="E2912" t="s">
        <v>2606</v>
      </c>
    </row>
    <row r="2913" spans="5:5" x14ac:dyDescent="0.25">
      <c r="E2913" t="s">
        <v>2607</v>
      </c>
    </row>
    <row r="2914" spans="5:5" x14ac:dyDescent="0.25">
      <c r="E2914" t="s">
        <v>2608</v>
      </c>
    </row>
    <row r="2915" spans="5:5" x14ac:dyDescent="0.25">
      <c r="E2915" t="s">
        <v>2609</v>
      </c>
    </row>
    <row r="2916" spans="5:5" x14ac:dyDescent="0.25">
      <c r="E2916" t="s">
        <v>2610</v>
      </c>
    </row>
    <row r="2917" spans="5:5" x14ac:dyDescent="0.25">
      <c r="E2917" t="s">
        <v>2611</v>
      </c>
    </row>
    <row r="2918" spans="5:5" x14ac:dyDescent="0.25">
      <c r="E2918" t="s">
        <v>2612</v>
      </c>
    </row>
    <row r="2919" spans="5:5" x14ac:dyDescent="0.25">
      <c r="E2919" t="s">
        <v>2613</v>
      </c>
    </row>
    <row r="2920" spans="5:5" x14ac:dyDescent="0.25">
      <c r="E2920" t="s">
        <v>2614</v>
      </c>
    </row>
    <row r="2921" spans="5:5" x14ac:dyDescent="0.25">
      <c r="E2921" t="s">
        <v>2615</v>
      </c>
    </row>
    <row r="2922" spans="5:5" x14ac:dyDescent="0.25">
      <c r="E2922" t="s">
        <v>2616</v>
      </c>
    </row>
    <row r="2923" spans="5:5" x14ac:dyDescent="0.25">
      <c r="E2923" t="s">
        <v>2617</v>
      </c>
    </row>
    <row r="2924" spans="5:5" x14ac:dyDescent="0.25">
      <c r="E2924" t="s">
        <v>2618</v>
      </c>
    </row>
    <row r="2925" spans="5:5" x14ac:dyDescent="0.25">
      <c r="E2925" t="s">
        <v>2619</v>
      </c>
    </row>
    <row r="2926" spans="5:5" x14ac:dyDescent="0.25">
      <c r="E2926" t="s">
        <v>2620</v>
      </c>
    </row>
    <row r="2927" spans="5:5" x14ac:dyDescent="0.25">
      <c r="E2927" t="s">
        <v>2621</v>
      </c>
    </row>
    <row r="2928" spans="5:5" x14ac:dyDescent="0.25">
      <c r="E2928" t="s">
        <v>2622</v>
      </c>
    </row>
    <row r="2929" spans="5:5" x14ac:dyDescent="0.25">
      <c r="E2929" t="s">
        <v>2623</v>
      </c>
    </row>
    <row r="2930" spans="5:5" x14ac:dyDescent="0.25">
      <c r="E2930" t="s">
        <v>2624</v>
      </c>
    </row>
    <row r="2931" spans="5:5" x14ac:dyDescent="0.25">
      <c r="E2931" t="s">
        <v>2625</v>
      </c>
    </row>
    <row r="2932" spans="5:5" x14ac:dyDescent="0.25">
      <c r="E2932" t="s">
        <v>2626</v>
      </c>
    </row>
    <row r="2933" spans="5:5" x14ac:dyDescent="0.25">
      <c r="E2933" t="s">
        <v>2627</v>
      </c>
    </row>
    <row r="2934" spans="5:5" x14ac:dyDescent="0.25">
      <c r="E2934" t="s">
        <v>2628</v>
      </c>
    </row>
    <row r="2935" spans="5:5" x14ac:dyDescent="0.25">
      <c r="E2935" t="s">
        <v>2629</v>
      </c>
    </row>
    <row r="2936" spans="5:5" x14ac:dyDescent="0.25">
      <c r="E2936" t="s">
        <v>2630</v>
      </c>
    </row>
    <row r="2937" spans="5:5" x14ac:dyDescent="0.25">
      <c r="E2937" t="s">
        <v>2631</v>
      </c>
    </row>
    <row r="2938" spans="5:5" x14ac:dyDescent="0.25">
      <c r="E2938" t="s">
        <v>2632</v>
      </c>
    </row>
    <row r="2939" spans="5:5" x14ac:dyDescent="0.25">
      <c r="E2939" t="s">
        <v>2633</v>
      </c>
    </row>
    <row r="2940" spans="5:5" x14ac:dyDescent="0.25">
      <c r="E2940" t="s">
        <v>2634</v>
      </c>
    </row>
    <row r="2941" spans="5:5" x14ac:dyDescent="0.25">
      <c r="E2941" t="s">
        <v>2635</v>
      </c>
    </row>
    <row r="2942" spans="5:5" x14ac:dyDescent="0.25">
      <c r="E2942" t="s">
        <v>2636</v>
      </c>
    </row>
    <row r="2943" spans="5:5" x14ac:dyDescent="0.25">
      <c r="E2943" t="s">
        <v>2637</v>
      </c>
    </row>
    <row r="2944" spans="5:5" x14ac:dyDescent="0.25">
      <c r="E2944" t="s">
        <v>2638</v>
      </c>
    </row>
    <row r="2945" spans="5:5" x14ac:dyDescent="0.25">
      <c r="E2945" t="s">
        <v>2639</v>
      </c>
    </row>
    <row r="2946" spans="5:5" x14ac:dyDescent="0.25">
      <c r="E2946" t="s">
        <v>2640</v>
      </c>
    </row>
    <row r="2947" spans="5:5" x14ac:dyDescent="0.25">
      <c r="E2947" t="s">
        <v>2641</v>
      </c>
    </row>
    <row r="2948" spans="5:5" x14ac:dyDescent="0.25">
      <c r="E2948" t="s">
        <v>2642</v>
      </c>
    </row>
    <row r="2949" spans="5:5" x14ac:dyDescent="0.25">
      <c r="E2949" t="s">
        <v>2643</v>
      </c>
    </row>
    <row r="2950" spans="5:5" x14ac:dyDescent="0.25">
      <c r="E2950" t="s">
        <v>2644</v>
      </c>
    </row>
    <row r="2951" spans="5:5" x14ac:dyDescent="0.25">
      <c r="E2951" t="s">
        <v>2645</v>
      </c>
    </row>
    <row r="2952" spans="5:5" x14ac:dyDescent="0.25">
      <c r="E2952" t="s">
        <v>2646</v>
      </c>
    </row>
    <row r="2953" spans="5:5" x14ac:dyDescent="0.25">
      <c r="E2953" t="s">
        <v>2647</v>
      </c>
    </row>
    <row r="2954" spans="5:5" x14ac:dyDescent="0.25">
      <c r="E2954" t="s">
        <v>2648</v>
      </c>
    </row>
    <row r="2955" spans="5:5" x14ac:dyDescent="0.25">
      <c r="E2955" t="s">
        <v>2649</v>
      </c>
    </row>
    <row r="2956" spans="5:5" x14ac:dyDescent="0.25">
      <c r="E2956" t="s">
        <v>2650</v>
      </c>
    </row>
    <row r="2957" spans="5:5" x14ac:dyDescent="0.25">
      <c r="E2957" t="s">
        <v>2651</v>
      </c>
    </row>
    <row r="2958" spans="5:5" x14ac:dyDescent="0.25">
      <c r="E2958" t="s">
        <v>2652</v>
      </c>
    </row>
    <row r="2959" spans="5:5" x14ac:dyDescent="0.25">
      <c r="E2959" t="s">
        <v>2653</v>
      </c>
    </row>
    <row r="2960" spans="5:5" x14ac:dyDescent="0.25">
      <c r="E2960" t="s">
        <v>2654</v>
      </c>
    </row>
    <row r="2961" spans="5:5" x14ac:dyDescent="0.25">
      <c r="E2961" t="s">
        <v>2655</v>
      </c>
    </row>
    <row r="2962" spans="5:5" x14ac:dyDescent="0.25">
      <c r="E2962" t="s">
        <v>2656</v>
      </c>
    </row>
    <row r="2963" spans="5:5" x14ac:dyDescent="0.25">
      <c r="E2963" t="s">
        <v>2657</v>
      </c>
    </row>
    <row r="2964" spans="5:5" x14ac:dyDescent="0.25">
      <c r="E2964" t="s">
        <v>2658</v>
      </c>
    </row>
    <row r="2965" spans="5:5" x14ac:dyDescent="0.25">
      <c r="E2965" t="s">
        <v>2659</v>
      </c>
    </row>
    <row r="2966" spans="5:5" x14ac:dyDescent="0.25">
      <c r="E2966" t="s">
        <v>2660</v>
      </c>
    </row>
    <row r="2967" spans="5:5" x14ac:dyDescent="0.25">
      <c r="E2967" t="s">
        <v>2661</v>
      </c>
    </row>
    <row r="2968" spans="5:5" x14ac:dyDescent="0.25">
      <c r="E2968" t="s">
        <v>2662</v>
      </c>
    </row>
    <row r="2969" spans="5:5" x14ac:dyDescent="0.25">
      <c r="E2969" t="s">
        <v>2663</v>
      </c>
    </row>
    <row r="2970" spans="5:5" x14ac:dyDescent="0.25">
      <c r="E2970" t="s">
        <v>2664</v>
      </c>
    </row>
    <row r="2971" spans="5:5" x14ac:dyDescent="0.25">
      <c r="E2971" t="s">
        <v>2665</v>
      </c>
    </row>
    <row r="2972" spans="5:5" x14ac:dyDescent="0.25">
      <c r="E2972" t="s">
        <v>2666</v>
      </c>
    </row>
    <row r="2973" spans="5:5" x14ac:dyDescent="0.25">
      <c r="E2973" t="s">
        <v>2667</v>
      </c>
    </row>
    <row r="2974" spans="5:5" x14ac:dyDescent="0.25">
      <c r="E2974" t="s">
        <v>2668</v>
      </c>
    </row>
    <row r="2975" spans="5:5" x14ac:dyDescent="0.25">
      <c r="E2975" t="s">
        <v>2669</v>
      </c>
    </row>
    <row r="2976" spans="5:5" x14ac:dyDescent="0.25">
      <c r="E2976" t="s">
        <v>2670</v>
      </c>
    </row>
    <row r="2977" spans="5:5" x14ac:dyDescent="0.25">
      <c r="E2977" t="s">
        <v>2671</v>
      </c>
    </row>
    <row r="2978" spans="5:5" x14ac:dyDescent="0.25">
      <c r="E2978" t="s">
        <v>2672</v>
      </c>
    </row>
    <row r="2979" spans="5:5" x14ac:dyDescent="0.25">
      <c r="E2979" t="s">
        <v>2673</v>
      </c>
    </row>
    <row r="2980" spans="5:5" x14ac:dyDescent="0.25">
      <c r="E2980" t="s">
        <v>2674</v>
      </c>
    </row>
    <row r="2981" spans="5:5" x14ac:dyDescent="0.25">
      <c r="E2981" t="s">
        <v>2675</v>
      </c>
    </row>
    <row r="2982" spans="5:5" x14ac:dyDescent="0.25">
      <c r="E2982" t="s">
        <v>2676</v>
      </c>
    </row>
    <row r="2983" spans="5:5" x14ac:dyDescent="0.25">
      <c r="E2983" t="s">
        <v>2677</v>
      </c>
    </row>
    <row r="2984" spans="5:5" x14ac:dyDescent="0.25">
      <c r="E2984" t="s">
        <v>2678</v>
      </c>
    </row>
    <row r="2985" spans="5:5" x14ac:dyDescent="0.25">
      <c r="E2985" t="s">
        <v>2679</v>
      </c>
    </row>
    <row r="2986" spans="5:5" x14ac:dyDescent="0.25">
      <c r="E2986" t="s">
        <v>2680</v>
      </c>
    </row>
    <row r="2987" spans="5:5" x14ac:dyDescent="0.25">
      <c r="E2987" t="s">
        <v>2681</v>
      </c>
    </row>
    <row r="2988" spans="5:5" x14ac:dyDescent="0.25">
      <c r="E2988" t="s">
        <v>2682</v>
      </c>
    </row>
    <row r="2989" spans="5:5" x14ac:dyDescent="0.25">
      <c r="E2989" t="s">
        <v>2683</v>
      </c>
    </row>
    <row r="2990" spans="5:5" x14ac:dyDescent="0.25">
      <c r="E2990" t="s">
        <v>2684</v>
      </c>
    </row>
    <row r="2991" spans="5:5" x14ac:dyDescent="0.25">
      <c r="E2991" t="s">
        <v>2685</v>
      </c>
    </row>
    <row r="2992" spans="5:5" x14ac:dyDescent="0.25">
      <c r="E2992" t="s">
        <v>2686</v>
      </c>
    </row>
    <row r="2993" spans="5:5" x14ac:dyDescent="0.25">
      <c r="E2993" t="s">
        <v>2687</v>
      </c>
    </row>
    <row r="2994" spans="5:5" x14ac:dyDescent="0.25">
      <c r="E2994" t="s">
        <v>2688</v>
      </c>
    </row>
    <row r="2995" spans="5:5" x14ac:dyDescent="0.25">
      <c r="E2995" t="s">
        <v>2689</v>
      </c>
    </row>
    <row r="2996" spans="5:5" x14ac:dyDescent="0.25">
      <c r="E2996" t="s">
        <v>2690</v>
      </c>
    </row>
    <row r="2997" spans="5:5" x14ac:dyDescent="0.25">
      <c r="E2997" t="s">
        <v>2691</v>
      </c>
    </row>
    <row r="2998" spans="5:5" x14ac:dyDescent="0.25">
      <c r="E2998" t="s">
        <v>2692</v>
      </c>
    </row>
    <row r="2999" spans="5:5" x14ac:dyDescent="0.25">
      <c r="E2999" t="s">
        <v>2693</v>
      </c>
    </row>
    <row r="3000" spans="5:5" x14ac:dyDescent="0.25">
      <c r="E3000" t="s">
        <v>2694</v>
      </c>
    </row>
    <row r="3001" spans="5:5" x14ac:dyDescent="0.25">
      <c r="E3001" t="s">
        <v>2695</v>
      </c>
    </row>
    <row r="3002" spans="5:5" x14ac:dyDescent="0.25">
      <c r="E3002" t="s">
        <v>2696</v>
      </c>
    </row>
    <row r="3003" spans="5:5" x14ac:dyDescent="0.25">
      <c r="E3003" t="s">
        <v>2697</v>
      </c>
    </row>
    <row r="3004" spans="5:5" x14ac:dyDescent="0.25">
      <c r="E3004" t="s">
        <v>2698</v>
      </c>
    </row>
    <row r="3005" spans="5:5" x14ac:dyDescent="0.25">
      <c r="E3005" t="s">
        <v>2699</v>
      </c>
    </row>
    <row r="3006" spans="5:5" x14ac:dyDescent="0.25">
      <c r="E3006" t="s">
        <v>2700</v>
      </c>
    </row>
    <row r="3007" spans="5:5" x14ac:dyDescent="0.25">
      <c r="E3007" t="s">
        <v>2701</v>
      </c>
    </row>
    <row r="3008" spans="5:5" x14ac:dyDescent="0.25">
      <c r="E3008" t="s">
        <v>2702</v>
      </c>
    </row>
    <row r="3009" spans="5:5" x14ac:dyDescent="0.25">
      <c r="E3009" t="s">
        <v>2703</v>
      </c>
    </row>
    <row r="3010" spans="5:5" x14ac:dyDescent="0.25">
      <c r="E3010" t="s">
        <v>2704</v>
      </c>
    </row>
    <row r="3011" spans="5:5" x14ac:dyDescent="0.25">
      <c r="E3011" t="s">
        <v>2705</v>
      </c>
    </row>
    <row r="3012" spans="5:5" x14ac:dyDescent="0.25">
      <c r="E3012" t="s">
        <v>2706</v>
      </c>
    </row>
    <row r="3013" spans="5:5" x14ac:dyDescent="0.25">
      <c r="E3013" t="s">
        <v>2707</v>
      </c>
    </row>
    <row r="3014" spans="5:5" x14ac:dyDescent="0.25">
      <c r="E3014" t="s">
        <v>2708</v>
      </c>
    </row>
    <row r="3015" spans="5:5" x14ac:dyDescent="0.25">
      <c r="E3015" t="s">
        <v>2709</v>
      </c>
    </row>
    <row r="3016" spans="5:5" x14ac:dyDescent="0.25">
      <c r="E3016" t="s">
        <v>2710</v>
      </c>
    </row>
    <row r="3017" spans="5:5" x14ac:dyDescent="0.25">
      <c r="E3017" t="s">
        <v>2711</v>
      </c>
    </row>
    <row r="3018" spans="5:5" x14ac:dyDescent="0.25">
      <c r="E3018" t="s">
        <v>2712</v>
      </c>
    </row>
    <row r="3019" spans="5:5" x14ac:dyDescent="0.25">
      <c r="E3019" t="s">
        <v>2713</v>
      </c>
    </row>
    <row r="3020" spans="5:5" x14ac:dyDescent="0.25">
      <c r="E3020" t="s">
        <v>2714</v>
      </c>
    </row>
    <row r="3021" spans="5:5" x14ac:dyDescent="0.25">
      <c r="E3021" t="s">
        <v>2715</v>
      </c>
    </row>
    <row r="3022" spans="5:5" x14ac:dyDescent="0.25">
      <c r="E3022" t="s">
        <v>2716</v>
      </c>
    </row>
    <row r="3023" spans="5:5" x14ac:dyDescent="0.25">
      <c r="E3023" t="s">
        <v>2717</v>
      </c>
    </row>
    <row r="3024" spans="5:5" x14ac:dyDescent="0.25">
      <c r="E3024" t="s">
        <v>2718</v>
      </c>
    </row>
    <row r="3025" spans="5:5" x14ac:dyDescent="0.25">
      <c r="E3025" t="s">
        <v>2719</v>
      </c>
    </row>
    <row r="3026" spans="5:5" x14ac:dyDescent="0.25">
      <c r="E3026" t="s">
        <v>2720</v>
      </c>
    </row>
    <row r="3027" spans="5:5" x14ac:dyDescent="0.25">
      <c r="E3027" t="s">
        <v>2721</v>
      </c>
    </row>
    <row r="3028" spans="5:5" x14ac:dyDescent="0.25">
      <c r="E3028" t="s">
        <v>2722</v>
      </c>
    </row>
    <row r="3029" spans="5:5" x14ac:dyDescent="0.25">
      <c r="E3029" t="s">
        <v>2723</v>
      </c>
    </row>
    <row r="3030" spans="5:5" x14ac:dyDescent="0.25">
      <c r="E3030" t="s">
        <v>2724</v>
      </c>
    </row>
    <row r="3031" spans="5:5" x14ac:dyDescent="0.25">
      <c r="E3031" t="s">
        <v>2725</v>
      </c>
    </row>
    <row r="3032" spans="5:5" x14ac:dyDescent="0.25">
      <c r="E3032" t="s">
        <v>2726</v>
      </c>
    </row>
    <row r="3033" spans="5:5" x14ac:dyDescent="0.25">
      <c r="E3033" t="s">
        <v>2727</v>
      </c>
    </row>
    <row r="3034" spans="5:5" x14ac:dyDescent="0.25">
      <c r="E3034" t="s">
        <v>2728</v>
      </c>
    </row>
    <row r="3035" spans="5:5" x14ac:dyDescent="0.25">
      <c r="E3035" t="s">
        <v>2729</v>
      </c>
    </row>
    <row r="3036" spans="5:5" x14ac:dyDescent="0.25">
      <c r="E3036" t="s">
        <v>2730</v>
      </c>
    </row>
    <row r="3037" spans="5:5" x14ac:dyDescent="0.25">
      <c r="E3037" t="s">
        <v>2731</v>
      </c>
    </row>
    <row r="3038" spans="5:5" x14ac:dyDescent="0.25">
      <c r="E3038" t="s">
        <v>2732</v>
      </c>
    </row>
    <row r="3039" spans="5:5" x14ac:dyDescent="0.25">
      <c r="E3039" t="s">
        <v>2733</v>
      </c>
    </row>
    <row r="3040" spans="5:5" x14ac:dyDescent="0.25">
      <c r="E3040" t="s">
        <v>2734</v>
      </c>
    </row>
    <row r="3041" spans="5:5" x14ac:dyDescent="0.25">
      <c r="E3041" t="s">
        <v>2735</v>
      </c>
    </row>
    <row r="3042" spans="5:5" x14ac:dyDescent="0.25">
      <c r="E3042" t="s">
        <v>2736</v>
      </c>
    </row>
    <row r="3043" spans="5:5" x14ac:dyDescent="0.25">
      <c r="E3043" t="s">
        <v>2737</v>
      </c>
    </row>
    <row r="3044" spans="5:5" x14ac:dyDescent="0.25">
      <c r="E3044" t="s">
        <v>2738</v>
      </c>
    </row>
    <row r="3045" spans="5:5" x14ac:dyDescent="0.25">
      <c r="E3045" t="s">
        <v>2739</v>
      </c>
    </row>
    <row r="3046" spans="5:5" x14ac:dyDescent="0.25">
      <c r="E3046" t="s">
        <v>2740</v>
      </c>
    </row>
    <row r="3047" spans="5:5" x14ac:dyDescent="0.25">
      <c r="E3047" t="s">
        <v>2741</v>
      </c>
    </row>
    <row r="3048" spans="5:5" x14ac:dyDescent="0.25">
      <c r="E3048" t="s">
        <v>2742</v>
      </c>
    </row>
    <row r="3049" spans="5:5" x14ac:dyDescent="0.25">
      <c r="E3049" t="s">
        <v>2743</v>
      </c>
    </row>
    <row r="3050" spans="5:5" x14ac:dyDescent="0.25">
      <c r="E3050" t="s">
        <v>2744</v>
      </c>
    </row>
    <row r="3051" spans="5:5" x14ac:dyDescent="0.25">
      <c r="E3051" t="s">
        <v>2745</v>
      </c>
    </row>
    <row r="3052" spans="5:5" x14ac:dyDescent="0.25">
      <c r="E3052" t="s">
        <v>2746</v>
      </c>
    </row>
    <row r="3053" spans="5:5" x14ac:dyDescent="0.25">
      <c r="E3053" t="s">
        <v>2747</v>
      </c>
    </row>
    <row r="3054" spans="5:5" x14ac:dyDescent="0.25">
      <c r="E3054" t="s">
        <v>2748</v>
      </c>
    </row>
    <row r="3055" spans="5:5" x14ac:dyDescent="0.25">
      <c r="E3055" t="s">
        <v>2749</v>
      </c>
    </row>
    <row r="3056" spans="5:5" x14ac:dyDescent="0.25">
      <c r="E3056" t="s">
        <v>2750</v>
      </c>
    </row>
    <row r="3057" spans="5:5" x14ac:dyDescent="0.25">
      <c r="E3057" t="s">
        <v>2751</v>
      </c>
    </row>
    <row r="3058" spans="5:5" x14ac:dyDescent="0.25">
      <c r="E3058" t="s">
        <v>2752</v>
      </c>
    </row>
    <row r="3059" spans="5:5" x14ac:dyDescent="0.25">
      <c r="E3059" t="s">
        <v>2753</v>
      </c>
    </row>
    <row r="3060" spans="5:5" x14ac:dyDescent="0.25">
      <c r="E3060" t="s">
        <v>2754</v>
      </c>
    </row>
    <row r="3061" spans="5:5" x14ac:dyDescent="0.25">
      <c r="E3061" t="s">
        <v>2755</v>
      </c>
    </row>
    <row r="3062" spans="5:5" x14ac:dyDescent="0.25">
      <c r="E3062" t="s">
        <v>2756</v>
      </c>
    </row>
    <row r="3063" spans="5:5" x14ac:dyDescent="0.25">
      <c r="E3063" t="s">
        <v>2757</v>
      </c>
    </row>
    <row r="3064" spans="5:5" x14ac:dyDescent="0.25">
      <c r="E3064" t="s">
        <v>2758</v>
      </c>
    </row>
    <row r="3065" spans="5:5" x14ac:dyDescent="0.25">
      <c r="E3065" t="s">
        <v>2759</v>
      </c>
    </row>
    <row r="3066" spans="5:5" x14ac:dyDescent="0.25">
      <c r="E3066" t="s">
        <v>2760</v>
      </c>
    </row>
    <row r="3067" spans="5:5" x14ac:dyDescent="0.25">
      <c r="E3067" t="s">
        <v>2761</v>
      </c>
    </row>
    <row r="3068" spans="5:5" x14ac:dyDescent="0.25">
      <c r="E3068" t="s">
        <v>2762</v>
      </c>
    </row>
    <row r="3069" spans="5:5" x14ac:dyDescent="0.25">
      <c r="E3069" t="s">
        <v>2763</v>
      </c>
    </row>
    <row r="3070" spans="5:5" x14ac:dyDescent="0.25">
      <c r="E3070" t="s">
        <v>2764</v>
      </c>
    </row>
    <row r="3071" spans="5:5" x14ac:dyDescent="0.25">
      <c r="E3071" t="s">
        <v>2765</v>
      </c>
    </row>
    <row r="3072" spans="5:5" x14ac:dyDescent="0.25">
      <c r="E3072" t="s">
        <v>2766</v>
      </c>
    </row>
    <row r="3073" spans="5:5" x14ac:dyDescent="0.25">
      <c r="E3073" t="s">
        <v>2767</v>
      </c>
    </row>
    <row r="3074" spans="5:5" x14ac:dyDescent="0.25">
      <c r="E3074" t="s">
        <v>2768</v>
      </c>
    </row>
    <row r="3075" spans="5:5" x14ac:dyDescent="0.25">
      <c r="E3075" t="s">
        <v>2769</v>
      </c>
    </row>
    <row r="3076" spans="5:5" x14ac:dyDescent="0.25">
      <c r="E3076" t="s">
        <v>2770</v>
      </c>
    </row>
    <row r="3077" spans="5:5" x14ac:dyDescent="0.25">
      <c r="E3077" t="s">
        <v>2771</v>
      </c>
    </row>
    <row r="3078" spans="5:5" x14ac:dyDescent="0.25">
      <c r="E3078" t="s">
        <v>2772</v>
      </c>
    </row>
    <row r="3079" spans="5:5" x14ac:dyDescent="0.25">
      <c r="E3079" t="s">
        <v>2773</v>
      </c>
    </row>
    <row r="3080" spans="5:5" x14ac:dyDescent="0.25">
      <c r="E3080" t="s">
        <v>2774</v>
      </c>
    </row>
    <row r="3081" spans="5:5" x14ac:dyDescent="0.25">
      <c r="E3081" t="s">
        <v>2775</v>
      </c>
    </row>
    <row r="3082" spans="5:5" x14ac:dyDescent="0.25">
      <c r="E3082" t="s">
        <v>2776</v>
      </c>
    </row>
    <row r="3083" spans="5:5" x14ac:dyDescent="0.25">
      <c r="E3083" t="s">
        <v>2777</v>
      </c>
    </row>
    <row r="3084" spans="5:5" x14ac:dyDescent="0.25">
      <c r="E3084" t="s">
        <v>2778</v>
      </c>
    </row>
    <row r="3085" spans="5:5" x14ac:dyDescent="0.25">
      <c r="E3085" t="s">
        <v>2779</v>
      </c>
    </row>
    <row r="3086" spans="5:5" x14ac:dyDescent="0.25">
      <c r="E3086" t="s">
        <v>2780</v>
      </c>
    </row>
    <row r="3087" spans="5:5" x14ac:dyDescent="0.25">
      <c r="E3087" t="s">
        <v>2781</v>
      </c>
    </row>
    <row r="3088" spans="5:5" x14ac:dyDescent="0.25">
      <c r="E3088" t="s">
        <v>2782</v>
      </c>
    </row>
    <row r="3089" spans="5:5" x14ac:dyDescent="0.25">
      <c r="E3089" t="s">
        <v>2783</v>
      </c>
    </row>
    <row r="3090" spans="5:5" x14ac:dyDescent="0.25">
      <c r="E3090" t="s">
        <v>2784</v>
      </c>
    </row>
    <row r="3091" spans="5:5" x14ac:dyDescent="0.25">
      <c r="E3091" t="s">
        <v>2785</v>
      </c>
    </row>
    <row r="3092" spans="5:5" x14ac:dyDescent="0.25">
      <c r="E3092" t="s">
        <v>2786</v>
      </c>
    </row>
    <row r="3093" spans="5:5" x14ac:dyDescent="0.25">
      <c r="E3093" t="s">
        <v>2787</v>
      </c>
    </row>
    <row r="3094" spans="5:5" x14ac:dyDescent="0.25">
      <c r="E3094" t="s">
        <v>2788</v>
      </c>
    </row>
    <row r="3095" spans="5:5" x14ac:dyDescent="0.25">
      <c r="E3095" t="s">
        <v>2789</v>
      </c>
    </row>
    <row r="3096" spans="5:5" x14ac:dyDescent="0.25">
      <c r="E3096" t="s">
        <v>2790</v>
      </c>
    </row>
    <row r="3097" spans="5:5" x14ac:dyDescent="0.25">
      <c r="E3097" t="s">
        <v>2791</v>
      </c>
    </row>
    <row r="3098" spans="5:5" x14ac:dyDescent="0.25">
      <c r="E3098" t="s">
        <v>2792</v>
      </c>
    </row>
    <row r="3099" spans="5:5" x14ac:dyDescent="0.25">
      <c r="E3099" t="s">
        <v>2793</v>
      </c>
    </row>
    <row r="3100" spans="5:5" x14ac:dyDescent="0.25">
      <c r="E3100" t="s">
        <v>2794</v>
      </c>
    </row>
    <row r="3101" spans="5:5" x14ac:dyDescent="0.25">
      <c r="E3101" t="s">
        <v>2795</v>
      </c>
    </row>
    <row r="3102" spans="5:5" x14ac:dyDescent="0.25">
      <c r="E3102" t="s">
        <v>2796</v>
      </c>
    </row>
    <row r="3103" spans="5:5" x14ac:dyDescent="0.25">
      <c r="E3103" t="s">
        <v>2797</v>
      </c>
    </row>
    <row r="3104" spans="5:5" x14ac:dyDescent="0.25">
      <c r="E3104" t="s">
        <v>2798</v>
      </c>
    </row>
    <row r="3105" spans="5:5" x14ac:dyDescent="0.25">
      <c r="E3105" t="s">
        <v>2799</v>
      </c>
    </row>
    <row r="3106" spans="5:5" x14ac:dyDescent="0.25">
      <c r="E3106" t="s">
        <v>2800</v>
      </c>
    </row>
    <row r="3107" spans="5:5" x14ac:dyDescent="0.25">
      <c r="E3107" t="s">
        <v>2801</v>
      </c>
    </row>
    <row r="3108" spans="5:5" x14ac:dyDescent="0.25">
      <c r="E3108" t="s">
        <v>2802</v>
      </c>
    </row>
    <row r="3109" spans="5:5" x14ac:dyDescent="0.25">
      <c r="E3109" t="s">
        <v>2803</v>
      </c>
    </row>
    <row r="3110" spans="5:5" x14ac:dyDescent="0.25">
      <c r="E3110" t="s">
        <v>2804</v>
      </c>
    </row>
    <row r="3111" spans="5:5" x14ac:dyDescent="0.25">
      <c r="E3111" t="s">
        <v>2805</v>
      </c>
    </row>
    <row r="3112" spans="5:5" x14ac:dyDescent="0.25">
      <c r="E3112" t="s">
        <v>2806</v>
      </c>
    </row>
    <row r="3113" spans="5:5" x14ac:dyDescent="0.25">
      <c r="E3113" t="s">
        <v>2807</v>
      </c>
    </row>
    <row r="3114" spans="5:5" x14ac:dyDescent="0.25">
      <c r="E3114" t="s">
        <v>2808</v>
      </c>
    </row>
    <row r="3115" spans="5:5" x14ac:dyDescent="0.25">
      <c r="E3115" t="s">
        <v>2809</v>
      </c>
    </row>
    <row r="3116" spans="5:5" x14ac:dyDescent="0.25">
      <c r="E3116" t="s">
        <v>2810</v>
      </c>
    </row>
    <row r="3117" spans="5:5" x14ac:dyDescent="0.25">
      <c r="E3117" t="s">
        <v>2811</v>
      </c>
    </row>
    <row r="3118" spans="5:5" x14ac:dyDescent="0.25">
      <c r="E3118" t="s">
        <v>2812</v>
      </c>
    </row>
    <row r="3119" spans="5:5" x14ac:dyDescent="0.25">
      <c r="E3119" t="s">
        <v>2813</v>
      </c>
    </row>
    <row r="3120" spans="5:5" x14ac:dyDescent="0.25">
      <c r="E3120" t="s">
        <v>2814</v>
      </c>
    </row>
    <row r="3121" spans="5:5" x14ac:dyDescent="0.25">
      <c r="E3121" t="s">
        <v>2815</v>
      </c>
    </row>
    <row r="3122" spans="5:5" x14ac:dyDescent="0.25">
      <c r="E3122" t="s">
        <v>2816</v>
      </c>
    </row>
    <row r="3123" spans="5:5" x14ac:dyDescent="0.25">
      <c r="E3123" t="s">
        <v>2817</v>
      </c>
    </row>
    <row r="3124" spans="5:5" x14ac:dyDescent="0.25">
      <c r="E3124" t="s">
        <v>2818</v>
      </c>
    </row>
    <row r="3125" spans="5:5" x14ac:dyDescent="0.25">
      <c r="E3125" t="s">
        <v>2819</v>
      </c>
    </row>
    <row r="3126" spans="5:5" x14ac:dyDescent="0.25">
      <c r="E3126" t="s">
        <v>2820</v>
      </c>
    </row>
    <row r="3127" spans="5:5" x14ac:dyDescent="0.25">
      <c r="E3127" t="s">
        <v>2821</v>
      </c>
    </row>
    <row r="3128" spans="5:5" x14ac:dyDescent="0.25">
      <c r="E3128" t="s">
        <v>2822</v>
      </c>
    </row>
    <row r="3129" spans="5:5" x14ac:dyDescent="0.25">
      <c r="E3129" t="s">
        <v>2823</v>
      </c>
    </row>
    <row r="3130" spans="5:5" x14ac:dyDescent="0.25">
      <c r="E3130" t="s">
        <v>2824</v>
      </c>
    </row>
    <row r="3131" spans="5:5" x14ac:dyDescent="0.25">
      <c r="E3131" t="s">
        <v>2825</v>
      </c>
    </row>
    <row r="3132" spans="5:5" x14ac:dyDescent="0.25">
      <c r="E3132" t="s">
        <v>2826</v>
      </c>
    </row>
    <row r="3133" spans="5:5" x14ac:dyDescent="0.25">
      <c r="E3133" t="s">
        <v>2827</v>
      </c>
    </row>
    <row r="3134" spans="5:5" x14ac:dyDescent="0.25">
      <c r="E3134" t="s">
        <v>2828</v>
      </c>
    </row>
    <row r="3135" spans="5:5" x14ac:dyDescent="0.25">
      <c r="E3135" t="s">
        <v>2829</v>
      </c>
    </row>
    <row r="3136" spans="5:5" x14ac:dyDescent="0.25">
      <c r="E3136" t="s">
        <v>2830</v>
      </c>
    </row>
    <row r="3137" spans="5:5" x14ac:dyDescent="0.25">
      <c r="E3137" t="s">
        <v>2831</v>
      </c>
    </row>
    <row r="3138" spans="5:5" x14ac:dyDescent="0.25">
      <c r="E3138" t="s">
        <v>2832</v>
      </c>
    </row>
    <row r="3139" spans="5:5" x14ac:dyDescent="0.25">
      <c r="E3139" t="s">
        <v>2833</v>
      </c>
    </row>
    <row r="3140" spans="5:5" x14ac:dyDescent="0.25">
      <c r="E3140" t="s">
        <v>2834</v>
      </c>
    </row>
    <row r="3141" spans="5:5" x14ac:dyDescent="0.25">
      <c r="E3141" t="s">
        <v>2835</v>
      </c>
    </row>
    <row r="3142" spans="5:5" x14ac:dyDescent="0.25">
      <c r="E3142" t="s">
        <v>2836</v>
      </c>
    </row>
    <row r="3143" spans="5:5" x14ac:dyDescent="0.25">
      <c r="E3143" t="s">
        <v>2837</v>
      </c>
    </row>
    <row r="3144" spans="5:5" x14ac:dyDescent="0.25">
      <c r="E3144" t="s">
        <v>2838</v>
      </c>
    </row>
    <row r="3145" spans="5:5" x14ac:dyDescent="0.25">
      <c r="E3145" t="s">
        <v>2839</v>
      </c>
    </row>
    <row r="3146" spans="5:5" x14ac:dyDescent="0.25">
      <c r="E3146" t="s">
        <v>2840</v>
      </c>
    </row>
    <row r="3147" spans="5:5" x14ac:dyDescent="0.25">
      <c r="E3147" t="s">
        <v>2841</v>
      </c>
    </row>
    <row r="3148" spans="5:5" x14ac:dyDescent="0.25">
      <c r="E3148" t="s">
        <v>2842</v>
      </c>
    </row>
    <row r="3149" spans="5:5" x14ac:dyDescent="0.25">
      <c r="E3149" t="s">
        <v>2843</v>
      </c>
    </row>
    <row r="3150" spans="5:5" x14ac:dyDescent="0.25">
      <c r="E3150" t="s">
        <v>2844</v>
      </c>
    </row>
    <row r="3151" spans="5:5" x14ac:dyDescent="0.25">
      <c r="E3151" t="s">
        <v>2845</v>
      </c>
    </row>
    <row r="3152" spans="5:5" x14ac:dyDescent="0.25">
      <c r="E3152" t="s">
        <v>2846</v>
      </c>
    </row>
    <row r="3153" spans="5:5" x14ac:dyDescent="0.25">
      <c r="E3153" t="s">
        <v>2847</v>
      </c>
    </row>
    <row r="3154" spans="5:5" x14ac:dyDescent="0.25">
      <c r="E3154" t="s">
        <v>2848</v>
      </c>
    </row>
    <row r="3155" spans="5:5" x14ac:dyDescent="0.25">
      <c r="E3155" t="s">
        <v>2849</v>
      </c>
    </row>
    <row r="3156" spans="5:5" x14ac:dyDescent="0.25">
      <c r="E3156" t="s">
        <v>2850</v>
      </c>
    </row>
    <row r="3157" spans="5:5" x14ac:dyDescent="0.25">
      <c r="E3157" t="s">
        <v>2851</v>
      </c>
    </row>
    <row r="3158" spans="5:5" x14ac:dyDescent="0.25">
      <c r="E3158" t="s">
        <v>2852</v>
      </c>
    </row>
    <row r="3159" spans="5:5" x14ac:dyDescent="0.25">
      <c r="E3159" t="s">
        <v>2853</v>
      </c>
    </row>
    <row r="3160" spans="5:5" x14ac:dyDescent="0.25">
      <c r="E3160" t="s">
        <v>2854</v>
      </c>
    </row>
    <row r="3161" spans="5:5" x14ac:dyDescent="0.25">
      <c r="E3161" t="s">
        <v>2855</v>
      </c>
    </row>
    <row r="3162" spans="5:5" x14ac:dyDescent="0.25">
      <c r="E3162" t="s">
        <v>2856</v>
      </c>
    </row>
    <row r="3163" spans="5:5" x14ac:dyDescent="0.25">
      <c r="E3163" t="s">
        <v>2857</v>
      </c>
    </row>
    <row r="3164" spans="5:5" x14ac:dyDescent="0.25">
      <c r="E3164" t="s">
        <v>2858</v>
      </c>
    </row>
    <row r="3165" spans="5:5" x14ac:dyDescent="0.25">
      <c r="E3165" t="s">
        <v>2859</v>
      </c>
    </row>
    <row r="3166" spans="5:5" x14ac:dyDescent="0.25">
      <c r="E3166" t="s">
        <v>2860</v>
      </c>
    </row>
    <row r="3167" spans="5:5" x14ac:dyDescent="0.25">
      <c r="E3167" t="s">
        <v>2861</v>
      </c>
    </row>
    <row r="3168" spans="5:5" x14ac:dyDescent="0.25">
      <c r="E3168" t="s">
        <v>2862</v>
      </c>
    </row>
    <row r="3169" spans="5:5" x14ac:dyDescent="0.25">
      <c r="E3169" t="s">
        <v>2863</v>
      </c>
    </row>
    <row r="3170" spans="5:5" x14ac:dyDescent="0.25">
      <c r="E3170" t="s">
        <v>2864</v>
      </c>
    </row>
    <row r="3171" spans="5:5" x14ac:dyDescent="0.25">
      <c r="E3171" t="s">
        <v>2865</v>
      </c>
    </row>
    <row r="3172" spans="5:5" x14ac:dyDescent="0.25">
      <c r="E3172" t="s">
        <v>2866</v>
      </c>
    </row>
    <row r="3173" spans="5:5" x14ac:dyDescent="0.25">
      <c r="E3173" t="s">
        <v>2867</v>
      </c>
    </row>
    <row r="3174" spans="5:5" x14ac:dyDescent="0.25">
      <c r="E3174" t="s">
        <v>2868</v>
      </c>
    </row>
    <row r="3175" spans="5:5" x14ac:dyDescent="0.25">
      <c r="E3175" t="s">
        <v>2869</v>
      </c>
    </row>
    <row r="3176" spans="5:5" x14ac:dyDescent="0.25">
      <c r="E3176" t="s">
        <v>2870</v>
      </c>
    </row>
    <row r="3177" spans="5:5" x14ac:dyDescent="0.25">
      <c r="E3177" t="s">
        <v>2871</v>
      </c>
    </row>
    <row r="3178" spans="5:5" x14ac:dyDescent="0.25">
      <c r="E3178" t="s">
        <v>2872</v>
      </c>
    </row>
    <row r="3179" spans="5:5" x14ac:dyDescent="0.25">
      <c r="E3179" t="s">
        <v>2873</v>
      </c>
    </row>
    <row r="3180" spans="5:5" x14ac:dyDescent="0.25">
      <c r="E3180" t="s">
        <v>2874</v>
      </c>
    </row>
    <row r="3181" spans="5:5" x14ac:dyDescent="0.25">
      <c r="E3181" t="s">
        <v>2875</v>
      </c>
    </row>
    <row r="3182" spans="5:5" x14ac:dyDescent="0.25">
      <c r="E3182" t="s">
        <v>2876</v>
      </c>
    </row>
    <row r="3183" spans="5:5" x14ac:dyDescent="0.25">
      <c r="E3183" t="s">
        <v>2877</v>
      </c>
    </row>
    <row r="3184" spans="5:5" x14ac:dyDescent="0.25">
      <c r="E3184" t="s">
        <v>2878</v>
      </c>
    </row>
    <row r="3185" spans="5:5" x14ac:dyDescent="0.25">
      <c r="E3185" t="s">
        <v>2879</v>
      </c>
    </row>
    <row r="3186" spans="5:5" x14ac:dyDescent="0.25">
      <c r="E3186" t="s">
        <v>2880</v>
      </c>
    </row>
    <row r="3187" spans="5:5" x14ac:dyDescent="0.25">
      <c r="E3187" t="s">
        <v>2881</v>
      </c>
    </row>
    <row r="3188" spans="5:5" x14ac:dyDescent="0.25">
      <c r="E3188" t="s">
        <v>2882</v>
      </c>
    </row>
    <row r="3189" spans="5:5" x14ac:dyDescent="0.25">
      <c r="E3189" t="s">
        <v>2883</v>
      </c>
    </row>
    <row r="3190" spans="5:5" x14ac:dyDescent="0.25">
      <c r="E3190" t="s">
        <v>2884</v>
      </c>
    </row>
    <row r="3191" spans="5:5" x14ac:dyDescent="0.25">
      <c r="E3191" t="s">
        <v>2885</v>
      </c>
    </row>
    <row r="3192" spans="5:5" x14ac:dyDescent="0.25">
      <c r="E3192" t="s">
        <v>2886</v>
      </c>
    </row>
    <row r="3193" spans="5:5" x14ac:dyDescent="0.25">
      <c r="E3193" t="s">
        <v>2887</v>
      </c>
    </row>
    <row r="3194" spans="5:5" x14ac:dyDescent="0.25">
      <c r="E3194" t="s">
        <v>2888</v>
      </c>
    </row>
    <row r="3195" spans="5:5" x14ac:dyDescent="0.25">
      <c r="E3195" t="s">
        <v>2889</v>
      </c>
    </row>
    <row r="3196" spans="5:5" x14ac:dyDescent="0.25">
      <c r="E3196" t="s">
        <v>2890</v>
      </c>
    </row>
    <row r="3197" spans="5:5" x14ac:dyDescent="0.25">
      <c r="E3197" t="s">
        <v>2891</v>
      </c>
    </row>
    <row r="3198" spans="5:5" x14ac:dyDescent="0.25">
      <c r="E3198" t="s">
        <v>2892</v>
      </c>
    </row>
    <row r="3199" spans="5:5" x14ac:dyDescent="0.25">
      <c r="E3199" t="s">
        <v>2893</v>
      </c>
    </row>
    <row r="3200" spans="5:5" x14ac:dyDescent="0.25">
      <c r="E3200" t="s">
        <v>2894</v>
      </c>
    </row>
    <row r="3201" spans="5:5" x14ac:dyDescent="0.25">
      <c r="E3201" t="s">
        <v>2895</v>
      </c>
    </row>
    <row r="3202" spans="5:5" x14ac:dyDescent="0.25">
      <c r="E3202" t="s">
        <v>2896</v>
      </c>
    </row>
    <row r="3203" spans="5:5" x14ac:dyDescent="0.25">
      <c r="E3203" t="s">
        <v>2897</v>
      </c>
    </row>
    <row r="3204" spans="5:5" x14ac:dyDescent="0.25">
      <c r="E3204" t="s">
        <v>2898</v>
      </c>
    </row>
    <row r="3205" spans="5:5" x14ac:dyDescent="0.25">
      <c r="E3205" t="s">
        <v>2899</v>
      </c>
    </row>
    <row r="3206" spans="5:5" x14ac:dyDescent="0.25">
      <c r="E3206" t="s">
        <v>2900</v>
      </c>
    </row>
    <row r="3207" spans="5:5" x14ac:dyDescent="0.25">
      <c r="E3207" t="s">
        <v>2901</v>
      </c>
    </row>
    <row r="3208" spans="5:5" x14ac:dyDescent="0.25">
      <c r="E3208" t="s">
        <v>2902</v>
      </c>
    </row>
    <row r="3209" spans="5:5" x14ac:dyDescent="0.25">
      <c r="E3209" t="s">
        <v>2903</v>
      </c>
    </row>
    <row r="3210" spans="5:5" x14ac:dyDescent="0.25">
      <c r="E3210" t="s">
        <v>2904</v>
      </c>
    </row>
    <row r="3211" spans="5:5" x14ac:dyDescent="0.25">
      <c r="E3211" t="s">
        <v>2905</v>
      </c>
    </row>
    <row r="3212" spans="5:5" x14ac:dyDescent="0.25">
      <c r="E3212" t="s">
        <v>2906</v>
      </c>
    </row>
    <row r="3213" spans="5:5" x14ac:dyDescent="0.25">
      <c r="E3213" t="s">
        <v>2907</v>
      </c>
    </row>
    <row r="3214" spans="5:5" x14ac:dyDescent="0.25">
      <c r="E3214" t="s">
        <v>2908</v>
      </c>
    </row>
    <row r="3215" spans="5:5" x14ac:dyDescent="0.25">
      <c r="E3215" t="s">
        <v>2909</v>
      </c>
    </row>
    <row r="3216" spans="5:5" x14ac:dyDescent="0.25">
      <c r="E3216" t="s">
        <v>2910</v>
      </c>
    </row>
    <row r="3217" spans="5:5" x14ac:dyDescent="0.25">
      <c r="E3217" t="s">
        <v>2911</v>
      </c>
    </row>
    <row r="3218" spans="5:5" x14ac:dyDescent="0.25">
      <c r="E3218" t="s">
        <v>2912</v>
      </c>
    </row>
    <row r="3219" spans="5:5" x14ac:dyDescent="0.25">
      <c r="E3219" t="s">
        <v>2913</v>
      </c>
    </row>
    <row r="3220" spans="5:5" x14ac:dyDescent="0.25">
      <c r="E3220" t="s">
        <v>2914</v>
      </c>
    </row>
    <row r="3221" spans="5:5" x14ac:dyDescent="0.25">
      <c r="E3221" t="s">
        <v>2915</v>
      </c>
    </row>
    <row r="3222" spans="5:5" x14ac:dyDescent="0.25">
      <c r="E3222" t="s">
        <v>2916</v>
      </c>
    </row>
    <row r="3223" spans="5:5" x14ac:dyDescent="0.25">
      <c r="E3223" t="s">
        <v>2917</v>
      </c>
    </row>
    <row r="3224" spans="5:5" x14ac:dyDescent="0.25">
      <c r="E3224" t="s">
        <v>2918</v>
      </c>
    </row>
    <row r="3225" spans="5:5" x14ac:dyDescent="0.25">
      <c r="E3225" t="s">
        <v>2919</v>
      </c>
    </row>
    <row r="3226" spans="5:5" x14ac:dyDescent="0.25">
      <c r="E3226" t="s">
        <v>2920</v>
      </c>
    </row>
    <row r="3227" spans="5:5" x14ac:dyDescent="0.25">
      <c r="E3227" t="s">
        <v>2921</v>
      </c>
    </row>
    <row r="3228" spans="5:5" x14ac:dyDescent="0.25">
      <c r="E3228" t="s">
        <v>2922</v>
      </c>
    </row>
    <row r="3234" spans="5:5" x14ac:dyDescent="0.25">
      <c r="E3234" t="s">
        <v>2923</v>
      </c>
    </row>
    <row r="3235" spans="5:5" x14ac:dyDescent="0.25">
      <c r="E3235" t="s">
        <v>2924</v>
      </c>
    </row>
    <row r="3236" spans="5:5" x14ac:dyDescent="0.25">
      <c r="E3236" t="s">
        <v>2925</v>
      </c>
    </row>
    <row r="3237" spans="5:5" x14ac:dyDescent="0.25">
      <c r="E3237" t="s">
        <v>2926</v>
      </c>
    </row>
    <row r="3238" spans="5:5" x14ac:dyDescent="0.25">
      <c r="E3238" t="s">
        <v>2927</v>
      </c>
    </row>
    <row r="3239" spans="5:5" x14ac:dyDescent="0.25">
      <c r="E3239" t="s">
        <v>2928</v>
      </c>
    </row>
    <row r="3240" spans="5:5" x14ac:dyDescent="0.25">
      <c r="E3240" t="s">
        <v>2929</v>
      </c>
    </row>
    <row r="3241" spans="5:5" x14ac:dyDescent="0.25">
      <c r="E3241" t="s">
        <v>2930</v>
      </c>
    </row>
    <row r="3242" spans="5:5" x14ac:dyDescent="0.25">
      <c r="E3242" t="s">
        <v>2931</v>
      </c>
    </row>
    <row r="3243" spans="5:5" x14ac:dyDescent="0.25">
      <c r="E3243" t="s">
        <v>2932</v>
      </c>
    </row>
    <row r="3244" spans="5:5" x14ac:dyDescent="0.25">
      <c r="E3244" t="s">
        <v>2933</v>
      </c>
    </row>
    <row r="3245" spans="5:5" x14ac:dyDescent="0.25">
      <c r="E3245" t="s">
        <v>2934</v>
      </c>
    </row>
    <row r="3246" spans="5:5" x14ac:dyDescent="0.25">
      <c r="E3246" t="s">
        <v>2935</v>
      </c>
    </row>
    <row r="3247" spans="5:5" x14ac:dyDescent="0.25">
      <c r="E3247" t="s">
        <v>2936</v>
      </c>
    </row>
    <row r="3248" spans="5:5" x14ac:dyDescent="0.25">
      <c r="E3248" t="s">
        <v>2937</v>
      </c>
    </row>
    <row r="3249" spans="5:5" x14ac:dyDescent="0.25">
      <c r="E3249" t="s">
        <v>2938</v>
      </c>
    </row>
    <row r="3250" spans="5:5" x14ac:dyDescent="0.25">
      <c r="E3250" t="s">
        <v>2939</v>
      </c>
    </row>
    <row r="3251" spans="5:5" x14ac:dyDescent="0.25">
      <c r="E3251" t="s">
        <v>2940</v>
      </c>
    </row>
    <row r="3252" spans="5:5" x14ac:dyDescent="0.25">
      <c r="E3252" t="s">
        <v>2941</v>
      </c>
    </row>
    <row r="3253" spans="5:5" x14ac:dyDescent="0.25">
      <c r="E3253" t="s">
        <v>2942</v>
      </c>
    </row>
    <row r="3254" spans="5:5" x14ac:dyDescent="0.25">
      <c r="E3254" t="s">
        <v>2943</v>
      </c>
    </row>
    <row r="3255" spans="5:5" x14ac:dyDescent="0.25">
      <c r="E3255" t="s">
        <v>2944</v>
      </c>
    </row>
    <row r="3256" spans="5:5" x14ac:dyDescent="0.25">
      <c r="E3256" t="s">
        <v>2945</v>
      </c>
    </row>
    <row r="3257" spans="5:5" x14ac:dyDescent="0.25">
      <c r="E3257" t="s">
        <v>2946</v>
      </c>
    </row>
    <row r="3258" spans="5:5" x14ac:dyDescent="0.25">
      <c r="E3258" t="s">
        <v>2947</v>
      </c>
    </row>
    <row r="3259" spans="5:5" x14ac:dyDescent="0.25">
      <c r="E3259" t="s">
        <v>2948</v>
      </c>
    </row>
    <row r="3260" spans="5:5" x14ac:dyDescent="0.25">
      <c r="E3260" t="s">
        <v>2949</v>
      </c>
    </row>
    <row r="3261" spans="5:5" x14ac:dyDescent="0.25">
      <c r="E3261" t="s">
        <v>2950</v>
      </c>
    </row>
    <row r="3262" spans="5:5" x14ac:dyDescent="0.25">
      <c r="E3262" t="s">
        <v>2951</v>
      </c>
    </row>
    <row r="3263" spans="5:5" x14ac:dyDescent="0.25">
      <c r="E3263" t="s">
        <v>2952</v>
      </c>
    </row>
    <row r="3264" spans="5:5" x14ac:dyDescent="0.25">
      <c r="E3264" t="s">
        <v>2953</v>
      </c>
    </row>
    <row r="3265" spans="5:5" x14ac:dyDescent="0.25">
      <c r="E3265" t="s">
        <v>2954</v>
      </c>
    </row>
    <row r="3266" spans="5:5" x14ac:dyDescent="0.25">
      <c r="E3266" t="s">
        <v>2955</v>
      </c>
    </row>
    <row r="3267" spans="5:5" x14ac:dyDescent="0.25">
      <c r="E3267" t="s">
        <v>2956</v>
      </c>
    </row>
    <row r="3268" spans="5:5" x14ac:dyDescent="0.25">
      <c r="E3268" t="s">
        <v>2957</v>
      </c>
    </row>
    <row r="3269" spans="5:5" x14ac:dyDescent="0.25">
      <c r="E3269" t="s">
        <v>2958</v>
      </c>
    </row>
    <row r="3270" spans="5:5" x14ac:dyDescent="0.25">
      <c r="E3270" t="s">
        <v>2959</v>
      </c>
    </row>
    <row r="3271" spans="5:5" x14ac:dyDescent="0.25">
      <c r="E3271" t="s">
        <v>2960</v>
      </c>
    </row>
    <row r="3272" spans="5:5" x14ac:dyDescent="0.25">
      <c r="E3272" t="s">
        <v>2961</v>
      </c>
    </row>
    <row r="3273" spans="5:5" x14ac:dyDescent="0.25">
      <c r="E3273" t="s">
        <v>2962</v>
      </c>
    </row>
    <row r="3274" spans="5:5" x14ac:dyDescent="0.25">
      <c r="E3274" t="s">
        <v>2963</v>
      </c>
    </row>
    <row r="3275" spans="5:5" x14ac:dyDescent="0.25">
      <c r="E3275" t="s">
        <v>2964</v>
      </c>
    </row>
    <row r="3276" spans="5:5" x14ac:dyDescent="0.25">
      <c r="E3276" t="s">
        <v>2965</v>
      </c>
    </row>
    <row r="3277" spans="5:5" x14ac:dyDescent="0.25">
      <c r="E3277" t="s">
        <v>2966</v>
      </c>
    </row>
    <row r="3278" spans="5:5" x14ac:dyDescent="0.25">
      <c r="E3278" t="s">
        <v>2967</v>
      </c>
    </row>
    <row r="3279" spans="5:5" x14ac:dyDescent="0.25">
      <c r="E3279" t="s">
        <v>2968</v>
      </c>
    </row>
    <row r="3280" spans="5:5" x14ac:dyDescent="0.25">
      <c r="E3280" t="s">
        <v>2969</v>
      </c>
    </row>
    <row r="3281" spans="5:5" x14ac:dyDescent="0.25">
      <c r="E3281" t="s">
        <v>2970</v>
      </c>
    </row>
    <row r="3282" spans="5:5" x14ac:dyDescent="0.25">
      <c r="E3282" t="s">
        <v>2971</v>
      </c>
    </row>
    <row r="3283" spans="5:5" x14ac:dyDescent="0.25">
      <c r="E3283" t="s">
        <v>2972</v>
      </c>
    </row>
    <row r="3284" spans="5:5" x14ac:dyDescent="0.25">
      <c r="E3284" t="s">
        <v>2973</v>
      </c>
    </row>
    <row r="3285" spans="5:5" x14ac:dyDescent="0.25">
      <c r="E3285" t="s">
        <v>2974</v>
      </c>
    </row>
    <row r="3286" spans="5:5" x14ac:dyDescent="0.25">
      <c r="E3286" t="s">
        <v>2975</v>
      </c>
    </row>
    <row r="3287" spans="5:5" x14ac:dyDescent="0.25">
      <c r="E3287" t="s">
        <v>2976</v>
      </c>
    </row>
    <row r="3288" spans="5:5" x14ac:dyDescent="0.25">
      <c r="E3288" t="s">
        <v>2977</v>
      </c>
    </row>
    <row r="3289" spans="5:5" x14ac:dyDescent="0.25">
      <c r="E3289" t="s">
        <v>2978</v>
      </c>
    </row>
    <row r="3290" spans="5:5" x14ac:dyDescent="0.25">
      <c r="E3290" t="s">
        <v>2979</v>
      </c>
    </row>
    <row r="3291" spans="5:5" x14ac:dyDescent="0.25">
      <c r="E3291" t="s">
        <v>2980</v>
      </c>
    </row>
    <row r="3292" spans="5:5" x14ac:dyDescent="0.25">
      <c r="E3292" t="s">
        <v>2981</v>
      </c>
    </row>
    <row r="3293" spans="5:5" x14ac:dyDescent="0.25">
      <c r="E3293" t="s">
        <v>2982</v>
      </c>
    </row>
    <row r="3294" spans="5:5" x14ac:dyDescent="0.25">
      <c r="E3294" t="s">
        <v>2983</v>
      </c>
    </row>
    <row r="3295" spans="5:5" x14ac:dyDescent="0.25">
      <c r="E3295" t="s">
        <v>2984</v>
      </c>
    </row>
    <row r="3296" spans="5:5" x14ac:dyDescent="0.25">
      <c r="E3296" t="s">
        <v>2985</v>
      </c>
    </row>
    <row r="3297" spans="5:5" x14ac:dyDescent="0.25">
      <c r="E3297" t="s">
        <v>2986</v>
      </c>
    </row>
    <row r="3298" spans="5:5" x14ac:dyDescent="0.25">
      <c r="E3298" t="s">
        <v>2987</v>
      </c>
    </row>
    <row r="3299" spans="5:5" x14ac:dyDescent="0.25">
      <c r="E3299" t="s">
        <v>2988</v>
      </c>
    </row>
    <row r="3300" spans="5:5" x14ac:dyDescent="0.25">
      <c r="E3300" t="s">
        <v>2989</v>
      </c>
    </row>
    <row r="3301" spans="5:5" x14ac:dyDescent="0.25">
      <c r="E3301" t="s">
        <v>2990</v>
      </c>
    </row>
    <row r="3302" spans="5:5" x14ac:dyDescent="0.25">
      <c r="E3302" t="s">
        <v>2991</v>
      </c>
    </row>
    <row r="3303" spans="5:5" x14ac:dyDescent="0.25">
      <c r="E3303" t="s">
        <v>2992</v>
      </c>
    </row>
    <row r="3304" spans="5:5" x14ac:dyDescent="0.25">
      <c r="E3304" t="s">
        <v>2993</v>
      </c>
    </row>
    <row r="3305" spans="5:5" x14ac:dyDescent="0.25">
      <c r="E3305" t="s">
        <v>2994</v>
      </c>
    </row>
    <row r="3306" spans="5:5" x14ac:dyDescent="0.25">
      <c r="E3306" t="s">
        <v>2995</v>
      </c>
    </row>
    <row r="3307" spans="5:5" x14ac:dyDescent="0.25">
      <c r="E3307" t="s">
        <v>2996</v>
      </c>
    </row>
    <row r="3308" spans="5:5" x14ac:dyDescent="0.25">
      <c r="E3308" t="s">
        <v>2997</v>
      </c>
    </row>
    <row r="3309" spans="5:5" x14ac:dyDescent="0.25">
      <c r="E3309" t="s">
        <v>2998</v>
      </c>
    </row>
    <row r="3310" spans="5:5" x14ac:dyDescent="0.25">
      <c r="E3310" t="s">
        <v>2999</v>
      </c>
    </row>
    <row r="3311" spans="5:5" x14ac:dyDescent="0.25">
      <c r="E3311" t="s">
        <v>3000</v>
      </c>
    </row>
    <row r="3312" spans="5:5" x14ac:dyDescent="0.25">
      <c r="E3312" t="s">
        <v>3001</v>
      </c>
    </row>
    <row r="3313" spans="5:5" x14ac:dyDescent="0.25">
      <c r="E3313" t="s">
        <v>3002</v>
      </c>
    </row>
    <row r="3314" spans="5:5" x14ac:dyDescent="0.25">
      <c r="E3314" t="s">
        <v>3003</v>
      </c>
    </row>
    <row r="3315" spans="5:5" x14ac:dyDescent="0.25">
      <c r="E3315" t="s">
        <v>3004</v>
      </c>
    </row>
    <row r="3316" spans="5:5" x14ac:dyDescent="0.25">
      <c r="E3316" t="s">
        <v>3005</v>
      </c>
    </row>
    <row r="3317" spans="5:5" x14ac:dyDescent="0.25">
      <c r="E3317" t="s">
        <v>3006</v>
      </c>
    </row>
    <row r="3318" spans="5:5" x14ac:dyDescent="0.25">
      <c r="E3318" t="s">
        <v>3007</v>
      </c>
    </row>
    <row r="3319" spans="5:5" x14ac:dyDescent="0.25">
      <c r="E3319" t="s">
        <v>3008</v>
      </c>
    </row>
    <row r="3320" spans="5:5" x14ac:dyDescent="0.25">
      <c r="E3320" t="s">
        <v>3009</v>
      </c>
    </row>
    <row r="3321" spans="5:5" x14ac:dyDescent="0.25">
      <c r="E3321" t="s">
        <v>3010</v>
      </c>
    </row>
    <row r="3322" spans="5:5" x14ac:dyDescent="0.25">
      <c r="E3322" t="s">
        <v>3011</v>
      </c>
    </row>
    <row r="3323" spans="5:5" x14ac:dyDescent="0.25">
      <c r="E3323" t="s">
        <v>3012</v>
      </c>
    </row>
    <row r="3324" spans="5:5" x14ac:dyDescent="0.25">
      <c r="E3324" t="s">
        <v>3013</v>
      </c>
    </row>
    <row r="3325" spans="5:5" x14ac:dyDescent="0.25">
      <c r="E3325" t="s">
        <v>3014</v>
      </c>
    </row>
    <row r="3326" spans="5:5" x14ac:dyDescent="0.25">
      <c r="E3326" t="s">
        <v>3015</v>
      </c>
    </row>
    <row r="3327" spans="5:5" x14ac:dyDescent="0.25">
      <c r="E3327" t="s">
        <v>3016</v>
      </c>
    </row>
    <row r="3328" spans="5:5" x14ac:dyDescent="0.25">
      <c r="E3328" t="s">
        <v>3017</v>
      </c>
    </row>
    <row r="3329" spans="5:5" x14ac:dyDescent="0.25">
      <c r="E3329" t="s">
        <v>3018</v>
      </c>
    </row>
    <row r="3330" spans="5:5" x14ac:dyDescent="0.25">
      <c r="E3330" t="s">
        <v>3019</v>
      </c>
    </row>
    <row r="3331" spans="5:5" x14ac:dyDescent="0.25">
      <c r="E3331" t="s">
        <v>3020</v>
      </c>
    </row>
    <row r="3332" spans="5:5" x14ac:dyDescent="0.25">
      <c r="E3332" t="s">
        <v>3021</v>
      </c>
    </row>
    <row r="3333" spans="5:5" x14ac:dyDescent="0.25">
      <c r="E3333" t="s">
        <v>3022</v>
      </c>
    </row>
    <row r="3334" spans="5:5" x14ac:dyDescent="0.25">
      <c r="E3334" t="s">
        <v>3023</v>
      </c>
    </row>
    <row r="3335" spans="5:5" x14ac:dyDescent="0.25">
      <c r="E3335" t="s">
        <v>3024</v>
      </c>
    </row>
    <row r="3336" spans="5:5" x14ac:dyDescent="0.25">
      <c r="E3336" t="s">
        <v>3025</v>
      </c>
    </row>
    <row r="3337" spans="5:5" x14ac:dyDescent="0.25">
      <c r="E3337" t="s">
        <v>3026</v>
      </c>
    </row>
    <row r="3338" spans="5:5" x14ac:dyDescent="0.25">
      <c r="E3338" t="s">
        <v>3027</v>
      </c>
    </row>
    <row r="3339" spans="5:5" x14ac:dyDescent="0.25">
      <c r="E3339" t="s">
        <v>3028</v>
      </c>
    </row>
    <row r="3340" spans="5:5" x14ac:dyDescent="0.25">
      <c r="E3340" t="s">
        <v>3029</v>
      </c>
    </row>
    <row r="3341" spans="5:5" x14ac:dyDescent="0.25">
      <c r="E3341" t="s">
        <v>3030</v>
      </c>
    </row>
    <row r="3342" spans="5:5" x14ac:dyDescent="0.25">
      <c r="E3342" t="s">
        <v>3031</v>
      </c>
    </row>
    <row r="3343" spans="5:5" x14ac:dyDescent="0.25">
      <c r="E3343" t="s">
        <v>3032</v>
      </c>
    </row>
    <row r="3344" spans="5:5" x14ac:dyDescent="0.25">
      <c r="E3344" t="s">
        <v>3033</v>
      </c>
    </row>
    <row r="3345" spans="5:5" x14ac:dyDescent="0.25">
      <c r="E3345" t="s">
        <v>3034</v>
      </c>
    </row>
    <row r="3346" spans="5:5" x14ac:dyDescent="0.25">
      <c r="E3346" t="s">
        <v>3035</v>
      </c>
    </row>
    <row r="3347" spans="5:5" x14ac:dyDescent="0.25">
      <c r="E3347" t="s">
        <v>3036</v>
      </c>
    </row>
    <row r="3348" spans="5:5" x14ac:dyDescent="0.25">
      <c r="E3348" t="s">
        <v>3037</v>
      </c>
    </row>
    <row r="3349" spans="5:5" x14ac:dyDescent="0.25">
      <c r="E3349" t="s">
        <v>3038</v>
      </c>
    </row>
    <row r="3350" spans="5:5" x14ac:dyDescent="0.25">
      <c r="E3350" t="s">
        <v>3039</v>
      </c>
    </row>
    <row r="3351" spans="5:5" x14ac:dyDescent="0.25">
      <c r="E3351" t="s">
        <v>3040</v>
      </c>
    </row>
    <row r="3352" spans="5:5" x14ac:dyDescent="0.25">
      <c r="E3352" t="s">
        <v>3041</v>
      </c>
    </row>
    <row r="3353" spans="5:5" x14ac:dyDescent="0.25">
      <c r="E3353" t="s">
        <v>3042</v>
      </c>
    </row>
    <row r="3354" spans="5:5" x14ac:dyDescent="0.25">
      <c r="E3354" t="s">
        <v>3043</v>
      </c>
    </row>
    <row r="3355" spans="5:5" x14ac:dyDescent="0.25">
      <c r="E3355" t="s">
        <v>3044</v>
      </c>
    </row>
    <row r="3356" spans="5:5" x14ac:dyDescent="0.25">
      <c r="E3356" t="s">
        <v>3045</v>
      </c>
    </row>
    <row r="3357" spans="5:5" x14ac:dyDescent="0.25">
      <c r="E3357" t="s">
        <v>3046</v>
      </c>
    </row>
    <row r="3358" spans="5:5" x14ac:dyDescent="0.25">
      <c r="E3358" t="s">
        <v>3047</v>
      </c>
    </row>
    <row r="3359" spans="5:5" x14ac:dyDescent="0.25">
      <c r="E3359" t="s">
        <v>3048</v>
      </c>
    </row>
    <row r="3360" spans="5:5" x14ac:dyDescent="0.25">
      <c r="E3360" t="s">
        <v>3049</v>
      </c>
    </row>
    <row r="3361" spans="5:5" x14ac:dyDescent="0.25">
      <c r="E3361" t="s">
        <v>3050</v>
      </c>
    </row>
    <row r="3362" spans="5:5" x14ac:dyDescent="0.25">
      <c r="E3362" t="s">
        <v>3051</v>
      </c>
    </row>
    <row r="3363" spans="5:5" x14ac:dyDescent="0.25">
      <c r="E3363" t="s">
        <v>3052</v>
      </c>
    </row>
    <row r="3364" spans="5:5" x14ac:dyDescent="0.25">
      <c r="E3364" t="s">
        <v>3053</v>
      </c>
    </row>
    <row r="3365" spans="5:5" x14ac:dyDescent="0.25">
      <c r="E3365" t="s">
        <v>3054</v>
      </c>
    </row>
    <row r="3366" spans="5:5" x14ac:dyDescent="0.25">
      <c r="E3366" t="s">
        <v>3055</v>
      </c>
    </row>
    <row r="3367" spans="5:5" x14ac:dyDescent="0.25">
      <c r="E3367" t="s">
        <v>3056</v>
      </c>
    </row>
    <row r="3368" spans="5:5" x14ac:dyDescent="0.25">
      <c r="E3368" t="s">
        <v>3057</v>
      </c>
    </row>
    <row r="3369" spans="5:5" x14ac:dyDescent="0.25">
      <c r="E3369" t="s">
        <v>3058</v>
      </c>
    </row>
    <row r="3370" spans="5:5" x14ac:dyDescent="0.25">
      <c r="E3370" t="s">
        <v>3059</v>
      </c>
    </row>
    <row r="3371" spans="5:5" x14ac:dyDescent="0.25">
      <c r="E3371" t="s">
        <v>3060</v>
      </c>
    </row>
    <row r="3372" spans="5:5" x14ac:dyDescent="0.25">
      <c r="E3372" t="s">
        <v>3061</v>
      </c>
    </row>
    <row r="3373" spans="5:5" x14ac:dyDescent="0.25">
      <c r="E3373" t="s">
        <v>3062</v>
      </c>
    </row>
    <row r="3374" spans="5:5" x14ac:dyDescent="0.25">
      <c r="E3374" t="s">
        <v>3063</v>
      </c>
    </row>
    <row r="3375" spans="5:5" x14ac:dyDescent="0.25">
      <c r="E3375" t="s">
        <v>3064</v>
      </c>
    </row>
    <row r="3376" spans="5:5" x14ac:dyDescent="0.25">
      <c r="E3376" t="s">
        <v>3065</v>
      </c>
    </row>
    <row r="3377" spans="5:5" x14ac:dyDescent="0.25">
      <c r="E3377" t="s">
        <v>3066</v>
      </c>
    </row>
    <row r="3378" spans="5:5" x14ac:dyDescent="0.25">
      <c r="E3378" t="s">
        <v>3067</v>
      </c>
    </row>
    <row r="3379" spans="5:5" x14ac:dyDescent="0.25">
      <c r="E3379" t="s">
        <v>3068</v>
      </c>
    </row>
    <row r="3380" spans="5:5" x14ac:dyDescent="0.25">
      <c r="E3380" t="s">
        <v>3069</v>
      </c>
    </row>
    <row r="3381" spans="5:5" x14ac:dyDescent="0.25">
      <c r="E3381" t="s">
        <v>3070</v>
      </c>
    </row>
    <row r="3382" spans="5:5" x14ac:dyDescent="0.25">
      <c r="E3382" t="s">
        <v>3071</v>
      </c>
    </row>
    <row r="3383" spans="5:5" x14ac:dyDescent="0.25">
      <c r="E3383" t="s">
        <v>3072</v>
      </c>
    </row>
    <row r="3384" spans="5:5" x14ac:dyDescent="0.25">
      <c r="E3384" t="s">
        <v>3073</v>
      </c>
    </row>
    <row r="3385" spans="5:5" x14ac:dyDescent="0.25">
      <c r="E3385" t="s">
        <v>3074</v>
      </c>
    </row>
    <row r="3386" spans="5:5" x14ac:dyDescent="0.25">
      <c r="E3386" t="s">
        <v>3075</v>
      </c>
    </row>
    <row r="3387" spans="5:5" x14ac:dyDescent="0.25">
      <c r="E3387" t="s">
        <v>3076</v>
      </c>
    </row>
    <row r="3388" spans="5:5" x14ac:dyDescent="0.25">
      <c r="E3388" t="s">
        <v>3077</v>
      </c>
    </row>
    <row r="3389" spans="5:5" x14ac:dyDescent="0.25">
      <c r="E3389" t="s">
        <v>3078</v>
      </c>
    </row>
    <row r="3390" spans="5:5" x14ac:dyDescent="0.25">
      <c r="E3390" t="s">
        <v>3079</v>
      </c>
    </row>
    <row r="3391" spans="5:5" x14ac:dyDescent="0.25">
      <c r="E3391" t="s">
        <v>3080</v>
      </c>
    </row>
    <row r="3392" spans="5:5" x14ac:dyDescent="0.25">
      <c r="E3392" t="s">
        <v>3081</v>
      </c>
    </row>
    <row r="3393" spans="5:5" x14ac:dyDescent="0.25">
      <c r="E3393" t="s">
        <v>3082</v>
      </c>
    </row>
    <row r="3394" spans="5:5" x14ac:dyDescent="0.25">
      <c r="E3394" t="s">
        <v>3083</v>
      </c>
    </row>
    <row r="3395" spans="5:5" x14ac:dyDescent="0.25">
      <c r="E3395" t="s">
        <v>3084</v>
      </c>
    </row>
    <row r="3396" spans="5:5" x14ac:dyDescent="0.25">
      <c r="E3396" t="s">
        <v>3085</v>
      </c>
    </row>
    <row r="3397" spans="5:5" x14ac:dyDescent="0.25">
      <c r="E3397" t="s">
        <v>3086</v>
      </c>
    </row>
    <row r="3398" spans="5:5" x14ac:dyDescent="0.25">
      <c r="E3398" t="s">
        <v>3087</v>
      </c>
    </row>
    <row r="3399" spans="5:5" x14ac:dyDescent="0.25">
      <c r="E3399" t="s">
        <v>3088</v>
      </c>
    </row>
    <row r="3400" spans="5:5" x14ac:dyDescent="0.25">
      <c r="E3400" t="s">
        <v>3089</v>
      </c>
    </row>
    <row r="3401" spans="5:5" x14ac:dyDescent="0.25">
      <c r="E3401" t="s">
        <v>3090</v>
      </c>
    </row>
    <row r="3402" spans="5:5" x14ac:dyDescent="0.25">
      <c r="E3402" t="s">
        <v>3091</v>
      </c>
    </row>
    <row r="3403" spans="5:5" x14ac:dyDescent="0.25">
      <c r="E3403" t="s">
        <v>3092</v>
      </c>
    </row>
    <row r="3404" spans="5:5" x14ac:dyDescent="0.25">
      <c r="E3404" t="s">
        <v>3093</v>
      </c>
    </row>
    <row r="3405" spans="5:5" x14ac:dyDescent="0.25">
      <c r="E3405" t="s">
        <v>3094</v>
      </c>
    </row>
    <row r="3406" spans="5:5" x14ac:dyDescent="0.25">
      <c r="E3406" t="s">
        <v>3095</v>
      </c>
    </row>
    <row r="3407" spans="5:5" x14ac:dyDescent="0.25">
      <c r="E3407" t="s">
        <v>3096</v>
      </c>
    </row>
    <row r="3408" spans="5:5" x14ac:dyDescent="0.25">
      <c r="E3408" t="s">
        <v>3097</v>
      </c>
    </row>
    <row r="3409" spans="5:5" x14ac:dyDescent="0.25">
      <c r="E3409" t="s">
        <v>3098</v>
      </c>
    </row>
    <row r="3410" spans="5:5" x14ac:dyDescent="0.25">
      <c r="E3410" t="s">
        <v>3099</v>
      </c>
    </row>
    <row r="3411" spans="5:5" x14ac:dyDescent="0.25">
      <c r="E3411" t="s">
        <v>3100</v>
      </c>
    </row>
    <row r="3412" spans="5:5" x14ac:dyDescent="0.25">
      <c r="E3412" t="s">
        <v>3101</v>
      </c>
    </row>
    <row r="3413" spans="5:5" x14ac:dyDescent="0.25">
      <c r="E3413" t="s">
        <v>3102</v>
      </c>
    </row>
    <row r="3414" spans="5:5" x14ac:dyDescent="0.25">
      <c r="E3414" t="s">
        <v>3103</v>
      </c>
    </row>
    <row r="3415" spans="5:5" x14ac:dyDescent="0.25">
      <c r="E3415" t="s">
        <v>3104</v>
      </c>
    </row>
    <row r="3416" spans="5:5" x14ac:dyDescent="0.25">
      <c r="E3416" t="s">
        <v>3105</v>
      </c>
    </row>
    <row r="3417" spans="5:5" x14ac:dyDescent="0.25">
      <c r="E3417" t="s">
        <v>3106</v>
      </c>
    </row>
    <row r="3418" spans="5:5" x14ac:dyDescent="0.25">
      <c r="E3418" t="s">
        <v>3107</v>
      </c>
    </row>
    <row r="3419" spans="5:5" x14ac:dyDescent="0.25">
      <c r="E3419" t="s">
        <v>3108</v>
      </c>
    </row>
    <row r="3420" spans="5:5" x14ac:dyDescent="0.25">
      <c r="E3420" t="s">
        <v>3109</v>
      </c>
    </row>
    <row r="3421" spans="5:5" x14ac:dyDescent="0.25">
      <c r="E3421" t="s">
        <v>3110</v>
      </c>
    </row>
    <row r="3422" spans="5:5" x14ac:dyDescent="0.25">
      <c r="E3422" t="s">
        <v>3111</v>
      </c>
    </row>
    <row r="3423" spans="5:5" x14ac:dyDescent="0.25">
      <c r="E3423" t="s">
        <v>3112</v>
      </c>
    </row>
    <row r="3424" spans="5:5" x14ac:dyDescent="0.25">
      <c r="E3424" t="s">
        <v>3113</v>
      </c>
    </row>
    <row r="3425" spans="5:5" x14ac:dyDescent="0.25">
      <c r="E3425" t="s">
        <v>3114</v>
      </c>
    </row>
    <row r="3426" spans="5:5" x14ac:dyDescent="0.25">
      <c r="E3426" t="s">
        <v>3115</v>
      </c>
    </row>
    <row r="3427" spans="5:5" x14ac:dyDescent="0.25">
      <c r="E3427" t="s">
        <v>3116</v>
      </c>
    </row>
    <row r="3428" spans="5:5" x14ac:dyDescent="0.25">
      <c r="E3428" t="s">
        <v>3117</v>
      </c>
    </row>
    <row r="3429" spans="5:5" x14ac:dyDescent="0.25">
      <c r="E3429" t="s">
        <v>3118</v>
      </c>
    </row>
    <row r="3430" spans="5:5" x14ac:dyDescent="0.25">
      <c r="E3430" t="s">
        <v>3119</v>
      </c>
    </row>
    <row r="3431" spans="5:5" x14ac:dyDescent="0.25">
      <c r="E3431" t="s">
        <v>3120</v>
      </c>
    </row>
    <row r="3432" spans="5:5" x14ac:dyDescent="0.25">
      <c r="E3432" t="s">
        <v>3121</v>
      </c>
    </row>
    <row r="3433" spans="5:5" x14ac:dyDescent="0.25">
      <c r="E3433" t="s">
        <v>3122</v>
      </c>
    </row>
    <row r="3434" spans="5:5" x14ac:dyDescent="0.25">
      <c r="E3434" t="s">
        <v>3123</v>
      </c>
    </row>
    <row r="3435" spans="5:5" x14ac:dyDescent="0.25">
      <c r="E3435" t="s">
        <v>3124</v>
      </c>
    </row>
    <row r="3436" spans="5:5" x14ac:dyDescent="0.25">
      <c r="E3436" t="s">
        <v>3125</v>
      </c>
    </row>
    <row r="3437" spans="5:5" x14ac:dyDescent="0.25">
      <c r="E3437" t="s">
        <v>3126</v>
      </c>
    </row>
    <row r="3438" spans="5:5" x14ac:dyDescent="0.25">
      <c r="E3438" t="s">
        <v>3127</v>
      </c>
    </row>
    <row r="3439" spans="5:5" x14ac:dyDescent="0.25">
      <c r="E3439" t="s">
        <v>3128</v>
      </c>
    </row>
    <row r="3440" spans="5:5" x14ac:dyDescent="0.25">
      <c r="E3440" t="s">
        <v>3129</v>
      </c>
    </row>
    <row r="3441" spans="5:5" x14ac:dyDescent="0.25">
      <c r="E3441" t="s">
        <v>3130</v>
      </c>
    </row>
    <row r="3442" spans="5:5" x14ac:dyDescent="0.25">
      <c r="E3442" t="s">
        <v>3131</v>
      </c>
    </row>
    <row r="3443" spans="5:5" x14ac:dyDescent="0.25">
      <c r="E3443" t="s">
        <v>3132</v>
      </c>
    </row>
    <row r="3444" spans="5:5" x14ac:dyDescent="0.25">
      <c r="E3444" t="s">
        <v>3133</v>
      </c>
    </row>
    <row r="3445" spans="5:5" x14ac:dyDescent="0.25">
      <c r="E3445" t="s">
        <v>3134</v>
      </c>
    </row>
    <row r="3446" spans="5:5" x14ac:dyDescent="0.25">
      <c r="E3446" t="s">
        <v>3135</v>
      </c>
    </row>
    <row r="3447" spans="5:5" x14ac:dyDescent="0.25">
      <c r="E3447" t="s">
        <v>3136</v>
      </c>
    </row>
    <row r="3448" spans="5:5" x14ac:dyDescent="0.25">
      <c r="E3448" t="s">
        <v>3137</v>
      </c>
    </row>
    <row r="3449" spans="5:5" x14ac:dyDescent="0.25">
      <c r="E3449" t="s">
        <v>3138</v>
      </c>
    </row>
    <row r="3450" spans="5:5" x14ac:dyDescent="0.25">
      <c r="E3450" t="s">
        <v>3139</v>
      </c>
    </row>
    <row r="3451" spans="5:5" x14ac:dyDescent="0.25">
      <c r="E3451" t="s">
        <v>3140</v>
      </c>
    </row>
    <row r="3452" spans="5:5" x14ac:dyDescent="0.25">
      <c r="E3452" t="s">
        <v>3141</v>
      </c>
    </row>
    <row r="3453" spans="5:5" x14ac:dyDescent="0.25">
      <c r="E3453" t="s">
        <v>3142</v>
      </c>
    </row>
    <row r="3454" spans="5:5" x14ac:dyDescent="0.25">
      <c r="E3454" t="s">
        <v>3143</v>
      </c>
    </row>
    <row r="3455" spans="5:5" x14ac:dyDescent="0.25">
      <c r="E3455" t="s">
        <v>3144</v>
      </c>
    </row>
    <row r="3456" spans="5:5" x14ac:dyDescent="0.25">
      <c r="E3456" t="s">
        <v>3145</v>
      </c>
    </row>
    <row r="3457" spans="5:5" x14ac:dyDescent="0.25">
      <c r="E3457" t="s">
        <v>3146</v>
      </c>
    </row>
    <row r="3458" spans="5:5" x14ac:dyDescent="0.25">
      <c r="E3458" t="s">
        <v>3147</v>
      </c>
    </row>
    <row r="3459" spans="5:5" x14ac:dyDescent="0.25">
      <c r="E3459" t="s">
        <v>3148</v>
      </c>
    </row>
    <row r="3460" spans="5:5" x14ac:dyDescent="0.25">
      <c r="E3460" t="s">
        <v>3149</v>
      </c>
    </row>
    <row r="3461" spans="5:5" x14ac:dyDescent="0.25">
      <c r="E3461" t="s">
        <v>3150</v>
      </c>
    </row>
    <row r="3462" spans="5:5" x14ac:dyDescent="0.25">
      <c r="E3462" t="s">
        <v>3151</v>
      </c>
    </row>
    <row r="3463" spans="5:5" x14ac:dyDescent="0.25">
      <c r="E3463" t="s">
        <v>3152</v>
      </c>
    </row>
    <row r="3464" spans="5:5" x14ac:dyDescent="0.25">
      <c r="E3464" t="s">
        <v>3153</v>
      </c>
    </row>
    <row r="3465" spans="5:5" x14ac:dyDescent="0.25">
      <c r="E3465" t="s">
        <v>3154</v>
      </c>
    </row>
    <row r="3466" spans="5:5" x14ac:dyDescent="0.25">
      <c r="E3466" t="s">
        <v>3155</v>
      </c>
    </row>
    <row r="3467" spans="5:5" x14ac:dyDescent="0.25">
      <c r="E3467" t="s">
        <v>3156</v>
      </c>
    </row>
    <row r="3468" spans="5:5" x14ac:dyDescent="0.25">
      <c r="E3468" t="s">
        <v>3157</v>
      </c>
    </row>
    <row r="3469" spans="5:5" x14ac:dyDescent="0.25">
      <c r="E3469" t="s">
        <v>3158</v>
      </c>
    </row>
    <row r="3470" spans="5:5" x14ac:dyDescent="0.25">
      <c r="E3470" t="s">
        <v>3159</v>
      </c>
    </row>
    <row r="3471" spans="5:5" x14ac:dyDescent="0.25">
      <c r="E3471" t="s">
        <v>3160</v>
      </c>
    </row>
    <row r="3472" spans="5:5" x14ac:dyDescent="0.25">
      <c r="E3472" t="s">
        <v>3161</v>
      </c>
    </row>
    <row r="3473" spans="5:5" x14ac:dyDescent="0.25">
      <c r="E3473" t="s">
        <v>3162</v>
      </c>
    </row>
    <row r="3474" spans="5:5" x14ac:dyDescent="0.25">
      <c r="E3474" t="s">
        <v>3163</v>
      </c>
    </row>
    <row r="3475" spans="5:5" x14ac:dyDescent="0.25">
      <c r="E3475" t="s">
        <v>3164</v>
      </c>
    </row>
    <row r="3476" spans="5:5" x14ac:dyDescent="0.25">
      <c r="E3476" t="s">
        <v>3165</v>
      </c>
    </row>
    <row r="3477" spans="5:5" x14ac:dyDescent="0.25">
      <c r="E3477" t="s">
        <v>3166</v>
      </c>
    </row>
    <row r="3478" spans="5:5" x14ac:dyDescent="0.25">
      <c r="E3478" t="s">
        <v>3167</v>
      </c>
    </row>
    <row r="3479" spans="5:5" x14ac:dyDescent="0.25">
      <c r="E3479" t="s">
        <v>3168</v>
      </c>
    </row>
    <row r="3480" spans="5:5" x14ac:dyDescent="0.25">
      <c r="E3480" t="s">
        <v>3169</v>
      </c>
    </row>
    <row r="3481" spans="5:5" x14ac:dyDescent="0.25">
      <c r="E3481" t="s">
        <v>3170</v>
      </c>
    </row>
    <row r="3482" spans="5:5" x14ac:dyDescent="0.25">
      <c r="E3482" t="s">
        <v>3171</v>
      </c>
    </row>
    <row r="3483" spans="5:5" x14ac:dyDescent="0.25">
      <c r="E3483" t="s">
        <v>3172</v>
      </c>
    </row>
    <row r="3484" spans="5:5" x14ac:dyDescent="0.25">
      <c r="E3484" t="s">
        <v>3173</v>
      </c>
    </row>
    <row r="3485" spans="5:5" x14ac:dyDescent="0.25">
      <c r="E3485" t="s">
        <v>3174</v>
      </c>
    </row>
    <row r="3486" spans="5:5" x14ac:dyDescent="0.25">
      <c r="E3486" t="s">
        <v>3175</v>
      </c>
    </row>
    <row r="3487" spans="5:5" x14ac:dyDescent="0.25">
      <c r="E3487" t="s">
        <v>3176</v>
      </c>
    </row>
    <row r="3488" spans="5:5" x14ac:dyDescent="0.25">
      <c r="E3488" t="s">
        <v>3177</v>
      </c>
    </row>
    <row r="3489" spans="5:5" x14ac:dyDescent="0.25">
      <c r="E3489" t="s">
        <v>3178</v>
      </c>
    </row>
    <row r="3490" spans="5:5" x14ac:dyDescent="0.25">
      <c r="E3490" t="s">
        <v>3179</v>
      </c>
    </row>
    <row r="3491" spans="5:5" x14ac:dyDescent="0.25">
      <c r="E3491" t="s">
        <v>3180</v>
      </c>
    </row>
    <row r="3492" spans="5:5" x14ac:dyDescent="0.25">
      <c r="E3492" t="s">
        <v>3181</v>
      </c>
    </row>
    <row r="3493" spans="5:5" x14ac:dyDescent="0.25">
      <c r="E3493" t="s">
        <v>3182</v>
      </c>
    </row>
    <row r="3494" spans="5:5" x14ac:dyDescent="0.25">
      <c r="E3494" t="s">
        <v>3183</v>
      </c>
    </row>
    <row r="3495" spans="5:5" x14ac:dyDescent="0.25">
      <c r="E3495" t="s">
        <v>3184</v>
      </c>
    </row>
    <row r="3496" spans="5:5" x14ac:dyDescent="0.25">
      <c r="E3496" t="s">
        <v>3185</v>
      </c>
    </row>
    <row r="3497" spans="5:5" x14ac:dyDescent="0.25">
      <c r="E3497" t="s">
        <v>3186</v>
      </c>
    </row>
    <row r="3498" spans="5:5" x14ac:dyDescent="0.25">
      <c r="E3498" t="s">
        <v>3187</v>
      </c>
    </row>
    <row r="3499" spans="5:5" x14ac:dyDescent="0.25">
      <c r="E3499" t="s">
        <v>3188</v>
      </c>
    </row>
    <row r="3500" spans="5:5" x14ac:dyDescent="0.25">
      <c r="E3500" t="s">
        <v>3189</v>
      </c>
    </row>
    <row r="3501" spans="5:5" x14ac:dyDescent="0.25">
      <c r="E3501" t="s">
        <v>3190</v>
      </c>
    </row>
    <row r="3502" spans="5:5" x14ac:dyDescent="0.25">
      <c r="E3502" t="s">
        <v>3191</v>
      </c>
    </row>
    <row r="3503" spans="5:5" x14ac:dyDescent="0.25">
      <c r="E3503" t="s">
        <v>3192</v>
      </c>
    </row>
    <row r="3504" spans="5:5" x14ac:dyDescent="0.25">
      <c r="E3504" t="s">
        <v>3193</v>
      </c>
    </row>
    <row r="3505" spans="5:5" x14ac:dyDescent="0.25">
      <c r="E3505" t="s">
        <v>3194</v>
      </c>
    </row>
    <row r="3506" spans="5:5" x14ac:dyDescent="0.25">
      <c r="E3506" t="s">
        <v>3195</v>
      </c>
    </row>
    <row r="3508" spans="5:5" x14ac:dyDescent="0.25">
      <c r="E3508" t="s">
        <v>3196</v>
      </c>
    </row>
    <row r="3512" spans="5:5" x14ac:dyDescent="0.25">
      <c r="E3512" t="s">
        <v>3197</v>
      </c>
    </row>
    <row r="3513" spans="5:5" x14ac:dyDescent="0.25">
      <c r="E3513" t="s">
        <v>3198</v>
      </c>
    </row>
    <row r="3514" spans="5:5" x14ac:dyDescent="0.25">
      <c r="E3514" t="s">
        <v>3199</v>
      </c>
    </row>
    <row r="3515" spans="5:5" x14ac:dyDescent="0.25">
      <c r="E3515" t="s">
        <v>3200</v>
      </c>
    </row>
    <row r="3516" spans="5:5" x14ac:dyDescent="0.25">
      <c r="E3516" t="s">
        <v>3201</v>
      </c>
    </row>
    <row r="3517" spans="5:5" x14ac:dyDescent="0.25">
      <c r="E3517" t="s">
        <v>3202</v>
      </c>
    </row>
    <row r="3518" spans="5:5" x14ac:dyDescent="0.25">
      <c r="E3518" t="s">
        <v>3203</v>
      </c>
    </row>
    <row r="3519" spans="5:5" x14ac:dyDescent="0.25">
      <c r="E3519" t="s">
        <v>3204</v>
      </c>
    </row>
    <row r="3520" spans="5:5" x14ac:dyDescent="0.25">
      <c r="E3520" t="s">
        <v>3205</v>
      </c>
    </row>
    <row r="3521" spans="5:5" x14ac:dyDescent="0.25">
      <c r="E3521" t="s">
        <v>3206</v>
      </c>
    </row>
    <row r="3522" spans="5:5" x14ac:dyDescent="0.25">
      <c r="E3522" t="s">
        <v>3207</v>
      </c>
    </row>
    <row r="3523" spans="5:5" x14ac:dyDescent="0.25">
      <c r="E3523" t="s">
        <v>3208</v>
      </c>
    </row>
    <row r="3524" spans="5:5" x14ac:dyDescent="0.25">
      <c r="E3524" t="s">
        <v>3209</v>
      </c>
    </row>
    <row r="3525" spans="5:5" x14ac:dyDescent="0.25">
      <c r="E3525" t="s">
        <v>3210</v>
      </c>
    </row>
    <row r="3526" spans="5:5" x14ac:dyDescent="0.25">
      <c r="E3526" t="s">
        <v>3211</v>
      </c>
    </row>
    <row r="3527" spans="5:5" x14ac:dyDescent="0.25">
      <c r="E3527" t="s">
        <v>3212</v>
      </c>
    </row>
    <row r="3528" spans="5:5" x14ac:dyDescent="0.25">
      <c r="E3528" t="s">
        <v>3213</v>
      </c>
    </row>
    <row r="3529" spans="5:5" x14ac:dyDescent="0.25">
      <c r="E3529" t="s">
        <v>3214</v>
      </c>
    </row>
    <row r="3530" spans="5:5" x14ac:dyDescent="0.25">
      <c r="E3530" t="s">
        <v>3215</v>
      </c>
    </row>
    <row r="3531" spans="5:5" x14ac:dyDescent="0.25">
      <c r="E3531" t="s">
        <v>3216</v>
      </c>
    </row>
    <row r="3532" spans="5:5" x14ac:dyDescent="0.25">
      <c r="E3532" t="s">
        <v>3217</v>
      </c>
    </row>
    <row r="3533" spans="5:5" x14ac:dyDescent="0.25">
      <c r="E3533" t="s">
        <v>3218</v>
      </c>
    </row>
    <row r="3534" spans="5:5" x14ac:dyDescent="0.25">
      <c r="E3534" t="s">
        <v>3219</v>
      </c>
    </row>
    <row r="3535" spans="5:5" x14ac:dyDescent="0.25">
      <c r="E3535" t="s">
        <v>3220</v>
      </c>
    </row>
    <row r="3536" spans="5:5" x14ac:dyDescent="0.25">
      <c r="E3536" t="s">
        <v>3221</v>
      </c>
    </row>
    <row r="3537" spans="5:5" x14ac:dyDescent="0.25">
      <c r="E3537" t="s">
        <v>3222</v>
      </c>
    </row>
    <row r="3538" spans="5:5" x14ac:dyDescent="0.25">
      <c r="E3538" t="s">
        <v>3223</v>
      </c>
    </row>
    <row r="3539" spans="5:5" x14ac:dyDescent="0.25">
      <c r="E3539" t="s">
        <v>3224</v>
      </c>
    </row>
    <row r="3540" spans="5:5" x14ac:dyDescent="0.25">
      <c r="E3540" t="s">
        <v>3225</v>
      </c>
    </row>
    <row r="3541" spans="5:5" x14ac:dyDescent="0.25">
      <c r="E3541" t="s">
        <v>3226</v>
      </c>
    </row>
    <row r="3542" spans="5:5" x14ac:dyDescent="0.25">
      <c r="E3542" t="s">
        <v>3227</v>
      </c>
    </row>
    <row r="3543" spans="5:5" x14ac:dyDescent="0.25">
      <c r="E3543" t="s">
        <v>3228</v>
      </c>
    </row>
    <row r="3544" spans="5:5" x14ac:dyDescent="0.25">
      <c r="E3544" t="s">
        <v>3229</v>
      </c>
    </row>
    <row r="3545" spans="5:5" x14ac:dyDescent="0.25">
      <c r="E3545" t="s">
        <v>3230</v>
      </c>
    </row>
    <row r="3546" spans="5:5" x14ac:dyDescent="0.25">
      <c r="E3546" t="s">
        <v>3231</v>
      </c>
    </row>
    <row r="3547" spans="5:5" x14ac:dyDescent="0.25">
      <c r="E3547" t="s">
        <v>3232</v>
      </c>
    </row>
    <row r="3548" spans="5:5" x14ac:dyDescent="0.25">
      <c r="E3548" t="s">
        <v>3233</v>
      </c>
    </row>
    <row r="3549" spans="5:5" x14ac:dyDescent="0.25">
      <c r="E3549" t="s">
        <v>3234</v>
      </c>
    </row>
    <row r="3550" spans="5:5" x14ac:dyDescent="0.25">
      <c r="E3550" t="s">
        <v>3235</v>
      </c>
    </row>
    <row r="3551" spans="5:5" x14ac:dyDescent="0.25">
      <c r="E3551" t="s">
        <v>3236</v>
      </c>
    </row>
    <row r="3552" spans="5:5" x14ac:dyDescent="0.25">
      <c r="E3552" t="s">
        <v>3237</v>
      </c>
    </row>
    <row r="3553" spans="5:5" x14ac:dyDescent="0.25">
      <c r="E3553" t="s">
        <v>3238</v>
      </c>
    </row>
    <row r="3554" spans="5:5" x14ac:dyDescent="0.25">
      <c r="E3554" t="s">
        <v>3239</v>
      </c>
    </row>
    <row r="3555" spans="5:5" x14ac:dyDescent="0.25">
      <c r="E3555" t="s">
        <v>3240</v>
      </c>
    </row>
    <row r="3556" spans="5:5" x14ac:dyDescent="0.25">
      <c r="E3556" t="s">
        <v>3241</v>
      </c>
    </row>
    <row r="3557" spans="5:5" x14ac:dyDescent="0.25">
      <c r="E3557" t="s">
        <v>3242</v>
      </c>
    </row>
    <row r="3558" spans="5:5" x14ac:dyDescent="0.25">
      <c r="E3558" t="s">
        <v>3243</v>
      </c>
    </row>
    <row r="3559" spans="5:5" x14ac:dyDescent="0.25">
      <c r="E3559" t="s">
        <v>3244</v>
      </c>
    </row>
    <row r="3560" spans="5:5" x14ac:dyDescent="0.25">
      <c r="E3560" t="s">
        <v>3245</v>
      </c>
    </row>
    <row r="3561" spans="5:5" x14ac:dyDescent="0.25">
      <c r="E3561" t="s">
        <v>3246</v>
      </c>
    </row>
    <row r="3562" spans="5:5" x14ac:dyDescent="0.25">
      <c r="E3562" t="s">
        <v>3247</v>
      </c>
    </row>
    <row r="3563" spans="5:5" x14ac:dyDescent="0.25">
      <c r="E3563" t="s">
        <v>3248</v>
      </c>
    </row>
    <row r="3564" spans="5:5" x14ac:dyDescent="0.25">
      <c r="E3564" t="s">
        <v>3249</v>
      </c>
    </row>
    <row r="3565" spans="5:5" x14ac:dyDescent="0.25">
      <c r="E3565" t="s">
        <v>3250</v>
      </c>
    </row>
    <row r="3566" spans="5:5" x14ac:dyDescent="0.25">
      <c r="E3566" t="s">
        <v>3251</v>
      </c>
    </row>
    <row r="3567" spans="5:5" x14ac:dyDescent="0.25">
      <c r="E3567" t="s">
        <v>3252</v>
      </c>
    </row>
    <row r="3568" spans="5:5" x14ac:dyDescent="0.25">
      <c r="E3568" t="s">
        <v>3253</v>
      </c>
    </row>
    <row r="3569" spans="5:5" x14ac:dyDescent="0.25">
      <c r="E3569" t="s">
        <v>3254</v>
      </c>
    </row>
    <row r="3570" spans="5:5" x14ac:dyDescent="0.25">
      <c r="E3570" t="s">
        <v>3255</v>
      </c>
    </row>
    <row r="3571" spans="5:5" x14ac:dyDescent="0.25">
      <c r="E3571" t="s">
        <v>3256</v>
      </c>
    </row>
    <row r="3572" spans="5:5" x14ac:dyDescent="0.25">
      <c r="E3572" t="s">
        <v>3257</v>
      </c>
    </row>
    <row r="3573" spans="5:5" x14ac:dyDescent="0.25">
      <c r="E3573" t="s">
        <v>3258</v>
      </c>
    </row>
    <row r="3574" spans="5:5" x14ac:dyDescent="0.25">
      <c r="E3574" t="s">
        <v>3259</v>
      </c>
    </row>
    <row r="3575" spans="5:5" x14ac:dyDescent="0.25">
      <c r="E3575" t="s">
        <v>3260</v>
      </c>
    </row>
    <row r="3576" spans="5:5" x14ac:dyDescent="0.25">
      <c r="E3576" t="s">
        <v>3261</v>
      </c>
    </row>
    <row r="3577" spans="5:5" x14ac:dyDescent="0.25">
      <c r="E3577" t="s">
        <v>3262</v>
      </c>
    </row>
    <row r="3578" spans="5:5" x14ac:dyDescent="0.25">
      <c r="E3578" t="s">
        <v>3263</v>
      </c>
    </row>
    <row r="3579" spans="5:5" x14ac:dyDescent="0.25">
      <c r="E3579" t="s">
        <v>3264</v>
      </c>
    </row>
    <row r="3580" spans="5:5" x14ac:dyDescent="0.25">
      <c r="E3580" t="s">
        <v>3265</v>
      </c>
    </row>
    <row r="3581" spans="5:5" x14ac:dyDescent="0.25">
      <c r="E3581" t="s">
        <v>3266</v>
      </c>
    </row>
    <row r="3582" spans="5:5" x14ac:dyDescent="0.25">
      <c r="E3582" t="s">
        <v>3267</v>
      </c>
    </row>
    <row r="3583" spans="5:5" x14ac:dyDescent="0.25">
      <c r="E3583" t="s">
        <v>3268</v>
      </c>
    </row>
    <row r="3584" spans="5:5" x14ac:dyDescent="0.25">
      <c r="E3584" t="s">
        <v>3269</v>
      </c>
    </row>
    <row r="3585" spans="5:5" x14ac:dyDescent="0.25">
      <c r="E3585" t="s">
        <v>3270</v>
      </c>
    </row>
    <row r="3586" spans="5:5" x14ac:dyDescent="0.25">
      <c r="E3586" t="s">
        <v>3271</v>
      </c>
    </row>
    <row r="3587" spans="5:5" x14ac:dyDescent="0.25">
      <c r="E3587" t="s">
        <v>3272</v>
      </c>
    </row>
    <row r="3588" spans="5:5" x14ac:dyDescent="0.25">
      <c r="E3588" t="s">
        <v>3273</v>
      </c>
    </row>
    <row r="3589" spans="5:5" x14ac:dyDescent="0.25">
      <c r="E3589" t="s">
        <v>3274</v>
      </c>
    </row>
    <row r="3590" spans="5:5" x14ac:dyDescent="0.25">
      <c r="E3590" t="s">
        <v>3275</v>
      </c>
    </row>
    <row r="3591" spans="5:5" x14ac:dyDescent="0.25">
      <c r="E3591" t="s">
        <v>3276</v>
      </c>
    </row>
    <row r="3592" spans="5:5" x14ac:dyDescent="0.25">
      <c r="E3592" t="s">
        <v>3277</v>
      </c>
    </row>
    <row r="3593" spans="5:5" x14ac:dyDescent="0.25">
      <c r="E3593" t="s">
        <v>3278</v>
      </c>
    </row>
    <row r="3594" spans="5:5" x14ac:dyDescent="0.25">
      <c r="E3594" t="s">
        <v>3279</v>
      </c>
    </row>
    <row r="3595" spans="5:5" x14ac:dyDescent="0.25">
      <c r="E3595" t="s">
        <v>3280</v>
      </c>
    </row>
    <row r="3596" spans="5:5" x14ac:dyDescent="0.25">
      <c r="E3596" t="s">
        <v>3281</v>
      </c>
    </row>
    <row r="3597" spans="5:5" x14ac:dyDescent="0.25">
      <c r="E3597" t="s">
        <v>3282</v>
      </c>
    </row>
    <row r="3598" spans="5:5" x14ac:dyDescent="0.25">
      <c r="E3598" t="s">
        <v>3283</v>
      </c>
    </row>
    <row r="3599" spans="5:5" x14ac:dyDescent="0.25">
      <c r="E3599" t="s">
        <v>3284</v>
      </c>
    </row>
    <row r="3600" spans="5:5" x14ac:dyDescent="0.25">
      <c r="E3600" t="s">
        <v>3285</v>
      </c>
    </row>
    <row r="3601" spans="5:5" x14ac:dyDescent="0.25">
      <c r="E3601" t="s">
        <v>3286</v>
      </c>
    </row>
    <row r="3602" spans="5:5" x14ac:dyDescent="0.25">
      <c r="E3602" t="s">
        <v>3287</v>
      </c>
    </row>
    <row r="3603" spans="5:5" x14ac:dyDescent="0.25">
      <c r="E3603" t="s">
        <v>3288</v>
      </c>
    </row>
    <row r="3604" spans="5:5" x14ac:dyDescent="0.25">
      <c r="E3604" t="s">
        <v>3289</v>
      </c>
    </row>
    <row r="3605" spans="5:5" x14ac:dyDescent="0.25">
      <c r="E3605" t="s">
        <v>3290</v>
      </c>
    </row>
    <row r="3606" spans="5:5" x14ac:dyDescent="0.25">
      <c r="E3606" t="s">
        <v>3291</v>
      </c>
    </row>
    <row r="3607" spans="5:5" x14ac:dyDescent="0.25">
      <c r="E3607" t="s">
        <v>3292</v>
      </c>
    </row>
    <row r="3608" spans="5:5" x14ac:dyDescent="0.25">
      <c r="E3608" t="s">
        <v>3293</v>
      </c>
    </row>
    <row r="3609" spans="5:5" x14ac:dyDescent="0.25">
      <c r="E3609" t="s">
        <v>3294</v>
      </c>
    </row>
    <row r="3610" spans="5:5" x14ac:dyDescent="0.25">
      <c r="E3610" t="s">
        <v>3295</v>
      </c>
    </row>
    <row r="3611" spans="5:5" x14ac:dyDescent="0.25">
      <c r="E3611" t="s">
        <v>3296</v>
      </c>
    </row>
    <row r="3612" spans="5:5" x14ac:dyDescent="0.25">
      <c r="E3612" t="s">
        <v>3297</v>
      </c>
    </row>
    <row r="3613" spans="5:5" x14ac:dyDescent="0.25">
      <c r="E3613" t="s">
        <v>3298</v>
      </c>
    </row>
    <row r="3614" spans="5:5" x14ac:dyDescent="0.25">
      <c r="E3614" t="s">
        <v>3299</v>
      </c>
    </row>
    <row r="3615" spans="5:5" x14ac:dyDescent="0.25">
      <c r="E3615" t="s">
        <v>3300</v>
      </c>
    </row>
    <row r="3616" spans="5:5" x14ac:dyDescent="0.25">
      <c r="E3616" t="s">
        <v>3301</v>
      </c>
    </row>
    <row r="3617" spans="5:5" x14ac:dyDescent="0.25">
      <c r="E3617" t="s">
        <v>3302</v>
      </c>
    </row>
    <row r="3618" spans="5:5" x14ac:dyDescent="0.25">
      <c r="E3618" t="s">
        <v>3303</v>
      </c>
    </row>
    <row r="3619" spans="5:5" x14ac:dyDescent="0.25">
      <c r="E3619" t="s">
        <v>3304</v>
      </c>
    </row>
    <row r="3620" spans="5:5" x14ac:dyDescent="0.25">
      <c r="E3620" t="s">
        <v>3305</v>
      </c>
    </row>
    <row r="3621" spans="5:5" x14ac:dyDescent="0.25">
      <c r="E3621" t="s">
        <v>3306</v>
      </c>
    </row>
    <row r="3622" spans="5:5" x14ac:dyDescent="0.25">
      <c r="E3622" t="s">
        <v>3307</v>
      </c>
    </row>
    <row r="3623" spans="5:5" x14ac:dyDescent="0.25">
      <c r="E3623" t="s">
        <v>3308</v>
      </c>
    </row>
    <row r="3624" spans="5:5" x14ac:dyDescent="0.25">
      <c r="E3624" t="s">
        <v>3309</v>
      </c>
    </row>
    <row r="3625" spans="5:5" x14ac:dyDescent="0.25">
      <c r="E3625" t="s">
        <v>3310</v>
      </c>
    </row>
    <row r="3626" spans="5:5" x14ac:dyDescent="0.25">
      <c r="E3626" t="s">
        <v>3311</v>
      </c>
    </row>
    <row r="3627" spans="5:5" x14ac:dyDescent="0.25">
      <c r="E3627" t="s">
        <v>3312</v>
      </c>
    </row>
    <row r="3628" spans="5:5" x14ac:dyDescent="0.25">
      <c r="E3628" t="s">
        <v>3313</v>
      </c>
    </row>
    <row r="3629" spans="5:5" x14ac:dyDescent="0.25">
      <c r="E3629" t="s">
        <v>3314</v>
      </c>
    </row>
    <row r="3630" spans="5:5" x14ac:dyDescent="0.25">
      <c r="E3630" t="s">
        <v>3315</v>
      </c>
    </row>
    <row r="3631" spans="5:5" x14ac:dyDescent="0.25">
      <c r="E3631" t="s">
        <v>3316</v>
      </c>
    </row>
    <row r="3632" spans="5:5" x14ac:dyDescent="0.25">
      <c r="E3632" t="s">
        <v>3317</v>
      </c>
    </row>
    <row r="3633" spans="5:5" x14ac:dyDescent="0.25">
      <c r="E3633" t="s">
        <v>3318</v>
      </c>
    </row>
    <row r="3634" spans="5:5" x14ac:dyDescent="0.25">
      <c r="E3634" t="s">
        <v>3319</v>
      </c>
    </row>
    <row r="3635" spans="5:5" x14ac:dyDescent="0.25">
      <c r="E3635" t="s">
        <v>3320</v>
      </c>
    </row>
    <row r="3636" spans="5:5" x14ac:dyDescent="0.25">
      <c r="E3636" t="s">
        <v>3321</v>
      </c>
    </row>
    <row r="3637" spans="5:5" x14ac:dyDescent="0.25">
      <c r="E3637" t="s">
        <v>3322</v>
      </c>
    </row>
    <row r="3638" spans="5:5" x14ac:dyDescent="0.25">
      <c r="E3638" t="s">
        <v>3323</v>
      </c>
    </row>
    <row r="3639" spans="5:5" x14ac:dyDescent="0.25">
      <c r="E3639" t="s">
        <v>3324</v>
      </c>
    </row>
    <row r="3640" spans="5:5" x14ac:dyDescent="0.25">
      <c r="E3640" t="s">
        <v>3325</v>
      </c>
    </row>
    <row r="3641" spans="5:5" x14ac:dyDescent="0.25">
      <c r="E3641" t="s">
        <v>3326</v>
      </c>
    </row>
    <row r="3642" spans="5:5" x14ac:dyDescent="0.25">
      <c r="E3642" t="s">
        <v>3327</v>
      </c>
    </row>
    <row r="3643" spans="5:5" x14ac:dyDescent="0.25">
      <c r="E3643" t="s">
        <v>3328</v>
      </c>
    </row>
    <row r="3644" spans="5:5" x14ac:dyDescent="0.25">
      <c r="E3644" t="s">
        <v>3329</v>
      </c>
    </row>
    <row r="3645" spans="5:5" x14ac:dyDescent="0.25">
      <c r="E3645" t="s">
        <v>3330</v>
      </c>
    </row>
    <row r="3646" spans="5:5" x14ac:dyDescent="0.25">
      <c r="E3646" t="s">
        <v>3331</v>
      </c>
    </row>
    <row r="3647" spans="5:5" x14ac:dyDescent="0.25">
      <c r="E3647" t="s">
        <v>3332</v>
      </c>
    </row>
    <row r="3648" spans="5:5" x14ac:dyDescent="0.25">
      <c r="E3648" t="s">
        <v>3333</v>
      </c>
    </row>
    <row r="3649" spans="5:5" x14ac:dyDescent="0.25">
      <c r="E3649" t="s">
        <v>3334</v>
      </c>
    </row>
    <row r="3650" spans="5:5" x14ac:dyDescent="0.25">
      <c r="E3650" t="s">
        <v>3335</v>
      </c>
    </row>
    <row r="3651" spans="5:5" x14ac:dyDescent="0.25">
      <c r="E3651" t="s">
        <v>3336</v>
      </c>
    </row>
    <row r="3652" spans="5:5" x14ac:dyDescent="0.25">
      <c r="E3652" t="s">
        <v>3337</v>
      </c>
    </row>
    <row r="3653" spans="5:5" x14ac:dyDescent="0.25">
      <c r="E3653" t="s">
        <v>3338</v>
      </c>
    </row>
    <row r="3654" spans="5:5" x14ac:dyDescent="0.25">
      <c r="E3654" t="s">
        <v>3339</v>
      </c>
    </row>
    <row r="3655" spans="5:5" x14ac:dyDescent="0.25">
      <c r="E3655" t="s">
        <v>3340</v>
      </c>
    </row>
    <row r="3656" spans="5:5" x14ac:dyDescent="0.25">
      <c r="E3656" t="s">
        <v>3341</v>
      </c>
    </row>
    <row r="3657" spans="5:5" x14ac:dyDescent="0.25">
      <c r="E3657" t="s">
        <v>3342</v>
      </c>
    </row>
    <row r="3658" spans="5:5" x14ac:dyDescent="0.25">
      <c r="E3658" t="s">
        <v>3343</v>
      </c>
    </row>
    <row r="3659" spans="5:5" x14ac:dyDescent="0.25">
      <c r="E3659" t="s">
        <v>3344</v>
      </c>
    </row>
    <row r="3660" spans="5:5" x14ac:dyDescent="0.25">
      <c r="E3660" t="s">
        <v>3345</v>
      </c>
    </row>
    <row r="3661" spans="5:5" x14ac:dyDescent="0.25">
      <c r="E3661" t="s">
        <v>3346</v>
      </c>
    </row>
    <row r="3662" spans="5:5" x14ac:dyDescent="0.25">
      <c r="E3662" t="s">
        <v>3347</v>
      </c>
    </row>
    <row r="3663" spans="5:5" x14ac:dyDescent="0.25">
      <c r="E3663" t="s">
        <v>3348</v>
      </c>
    </row>
    <row r="3664" spans="5:5" x14ac:dyDescent="0.25">
      <c r="E3664" t="s">
        <v>3349</v>
      </c>
    </row>
    <row r="3665" spans="5:5" x14ac:dyDescent="0.25">
      <c r="E3665" t="s">
        <v>3350</v>
      </c>
    </row>
    <row r="3666" spans="5:5" x14ac:dyDescent="0.25">
      <c r="E3666" t="s">
        <v>3351</v>
      </c>
    </row>
    <row r="3667" spans="5:5" x14ac:dyDescent="0.25">
      <c r="E3667" t="s">
        <v>3352</v>
      </c>
    </row>
    <row r="3668" spans="5:5" x14ac:dyDescent="0.25">
      <c r="E3668" t="s">
        <v>3353</v>
      </c>
    </row>
    <row r="3669" spans="5:5" x14ac:dyDescent="0.25">
      <c r="E3669" t="s">
        <v>3354</v>
      </c>
    </row>
    <row r="3670" spans="5:5" x14ac:dyDescent="0.25">
      <c r="E3670" t="s">
        <v>3355</v>
      </c>
    </row>
    <row r="3671" spans="5:5" x14ac:dyDescent="0.25">
      <c r="E3671" t="s">
        <v>3356</v>
      </c>
    </row>
    <row r="3672" spans="5:5" x14ac:dyDescent="0.25">
      <c r="E3672" t="s">
        <v>3357</v>
      </c>
    </row>
    <row r="3673" spans="5:5" x14ac:dyDescent="0.25">
      <c r="E3673" t="s">
        <v>3358</v>
      </c>
    </row>
    <row r="3674" spans="5:5" x14ac:dyDescent="0.25">
      <c r="E3674" t="s">
        <v>3359</v>
      </c>
    </row>
    <row r="3675" spans="5:5" x14ac:dyDescent="0.25">
      <c r="E3675" t="s">
        <v>3360</v>
      </c>
    </row>
    <row r="3676" spans="5:5" x14ac:dyDescent="0.25">
      <c r="E3676" t="s">
        <v>3361</v>
      </c>
    </row>
    <row r="3677" spans="5:5" x14ac:dyDescent="0.25">
      <c r="E3677" t="s">
        <v>3362</v>
      </c>
    </row>
    <row r="3678" spans="5:5" x14ac:dyDescent="0.25">
      <c r="E3678" t="s">
        <v>3363</v>
      </c>
    </row>
    <row r="3679" spans="5:5" x14ac:dyDescent="0.25">
      <c r="E3679" t="s">
        <v>3364</v>
      </c>
    </row>
    <row r="3680" spans="5:5" x14ac:dyDescent="0.25">
      <c r="E3680" t="s">
        <v>3365</v>
      </c>
    </row>
    <row r="3681" spans="5:5" x14ac:dyDescent="0.25">
      <c r="E3681" t="s">
        <v>3366</v>
      </c>
    </row>
    <row r="3682" spans="5:5" x14ac:dyDescent="0.25">
      <c r="E3682" t="s">
        <v>3367</v>
      </c>
    </row>
    <row r="3683" spans="5:5" x14ac:dyDescent="0.25">
      <c r="E3683" t="s">
        <v>3368</v>
      </c>
    </row>
    <row r="3684" spans="5:5" x14ac:dyDescent="0.25">
      <c r="E3684" t="s">
        <v>3369</v>
      </c>
    </row>
    <row r="3685" spans="5:5" x14ac:dyDescent="0.25">
      <c r="E3685" t="s">
        <v>3370</v>
      </c>
    </row>
    <row r="3687" spans="5:5" x14ac:dyDescent="0.25">
      <c r="E3687" t="s">
        <v>3371</v>
      </c>
    </row>
    <row r="3688" spans="5:5" x14ac:dyDescent="0.25">
      <c r="E3688" t="s">
        <v>3372</v>
      </c>
    </row>
    <row r="3690" spans="5:5" x14ac:dyDescent="0.25">
      <c r="E3690" t="s">
        <v>3373</v>
      </c>
    </row>
    <row r="3691" spans="5:5" x14ac:dyDescent="0.25">
      <c r="E3691" t="s">
        <v>3374</v>
      </c>
    </row>
    <row r="3692" spans="5:5" x14ac:dyDescent="0.25">
      <c r="E3692" t="s">
        <v>3375</v>
      </c>
    </row>
    <row r="3693" spans="5:5" x14ac:dyDescent="0.25">
      <c r="E3693" t="s">
        <v>3376</v>
      </c>
    </row>
    <row r="3694" spans="5:5" x14ac:dyDescent="0.25">
      <c r="E3694" t="s">
        <v>3377</v>
      </c>
    </row>
    <row r="3695" spans="5:5" x14ac:dyDescent="0.25">
      <c r="E3695" t="s">
        <v>3378</v>
      </c>
    </row>
    <row r="3696" spans="5:5" x14ac:dyDescent="0.25">
      <c r="E3696" t="s">
        <v>3379</v>
      </c>
    </row>
    <row r="3697" spans="5:5" x14ac:dyDescent="0.25">
      <c r="E3697" t="s">
        <v>3380</v>
      </c>
    </row>
    <row r="3698" spans="5:5" x14ac:dyDescent="0.25">
      <c r="E3698" t="s">
        <v>3381</v>
      </c>
    </row>
    <row r="3699" spans="5:5" x14ac:dyDescent="0.25">
      <c r="E3699" t="s">
        <v>3382</v>
      </c>
    </row>
    <row r="3700" spans="5:5" x14ac:dyDescent="0.25">
      <c r="E3700" t="s">
        <v>3383</v>
      </c>
    </row>
    <row r="3701" spans="5:5" x14ac:dyDescent="0.25">
      <c r="E3701" t="s">
        <v>3384</v>
      </c>
    </row>
    <row r="3702" spans="5:5" x14ac:dyDescent="0.25">
      <c r="E3702" t="s">
        <v>3385</v>
      </c>
    </row>
    <row r="3703" spans="5:5" x14ac:dyDescent="0.25">
      <c r="E3703" t="s">
        <v>3386</v>
      </c>
    </row>
    <row r="3704" spans="5:5" x14ac:dyDescent="0.25">
      <c r="E3704" t="s">
        <v>3387</v>
      </c>
    </row>
    <row r="3705" spans="5:5" x14ac:dyDescent="0.25">
      <c r="E3705" t="s">
        <v>3388</v>
      </c>
    </row>
    <row r="3706" spans="5:5" x14ac:dyDescent="0.25">
      <c r="E3706" t="s">
        <v>3389</v>
      </c>
    </row>
    <row r="3707" spans="5:5" x14ac:dyDescent="0.25">
      <c r="E3707" t="s">
        <v>3390</v>
      </c>
    </row>
    <row r="3708" spans="5:5" x14ac:dyDescent="0.25">
      <c r="E3708" t="s">
        <v>3391</v>
      </c>
    </row>
    <row r="3709" spans="5:5" x14ac:dyDescent="0.25">
      <c r="E3709" t="s">
        <v>3392</v>
      </c>
    </row>
    <row r="3710" spans="5:5" x14ac:dyDescent="0.25">
      <c r="E3710" t="s">
        <v>3393</v>
      </c>
    </row>
    <row r="3711" spans="5:5" x14ac:dyDescent="0.25">
      <c r="E3711" t="s">
        <v>3394</v>
      </c>
    </row>
    <row r="3712" spans="5:5" x14ac:dyDescent="0.25">
      <c r="E3712" t="s">
        <v>3395</v>
      </c>
    </row>
    <row r="3713" spans="5:5" x14ac:dyDescent="0.25">
      <c r="E3713" t="s">
        <v>3396</v>
      </c>
    </row>
    <row r="3714" spans="5:5" x14ac:dyDescent="0.25">
      <c r="E3714" t="s">
        <v>3397</v>
      </c>
    </row>
    <row r="3715" spans="5:5" x14ac:dyDescent="0.25">
      <c r="E3715" t="s">
        <v>3398</v>
      </c>
    </row>
    <row r="3716" spans="5:5" x14ac:dyDescent="0.25">
      <c r="E3716" t="s">
        <v>3399</v>
      </c>
    </row>
    <row r="3717" spans="5:5" x14ac:dyDescent="0.25">
      <c r="E3717" t="s">
        <v>3400</v>
      </c>
    </row>
    <row r="3718" spans="5:5" x14ac:dyDescent="0.25">
      <c r="E3718" t="s">
        <v>3401</v>
      </c>
    </row>
    <row r="3719" spans="5:5" x14ac:dyDescent="0.25">
      <c r="E3719" t="s">
        <v>3402</v>
      </c>
    </row>
    <row r="3720" spans="5:5" x14ac:dyDescent="0.25">
      <c r="E3720" t="s">
        <v>3403</v>
      </c>
    </row>
    <row r="3721" spans="5:5" x14ac:dyDescent="0.25">
      <c r="E3721" t="s">
        <v>3404</v>
      </c>
    </row>
    <row r="3722" spans="5:5" x14ac:dyDescent="0.25">
      <c r="E3722" t="s">
        <v>3405</v>
      </c>
    </row>
    <row r="3723" spans="5:5" x14ac:dyDescent="0.25">
      <c r="E3723" t="s">
        <v>3406</v>
      </c>
    </row>
    <row r="3724" spans="5:5" x14ac:dyDescent="0.25">
      <c r="E3724" t="s">
        <v>3407</v>
      </c>
    </row>
    <row r="3725" spans="5:5" x14ac:dyDescent="0.25">
      <c r="E3725" t="s">
        <v>3408</v>
      </c>
    </row>
    <row r="3726" spans="5:5" x14ac:dyDescent="0.25">
      <c r="E3726" t="s">
        <v>3409</v>
      </c>
    </row>
    <row r="3727" spans="5:5" x14ac:dyDescent="0.25">
      <c r="E3727" t="s">
        <v>3410</v>
      </c>
    </row>
    <row r="3728" spans="5:5" x14ac:dyDescent="0.25">
      <c r="E3728" t="s">
        <v>3411</v>
      </c>
    </row>
    <row r="3729" spans="5:5" x14ac:dyDescent="0.25">
      <c r="E3729" t="s">
        <v>3412</v>
      </c>
    </row>
    <row r="3730" spans="5:5" x14ac:dyDescent="0.25">
      <c r="E3730" t="s">
        <v>3413</v>
      </c>
    </row>
    <row r="3731" spans="5:5" x14ac:dyDescent="0.25">
      <c r="E3731" t="s">
        <v>3414</v>
      </c>
    </row>
    <row r="3732" spans="5:5" x14ac:dyDescent="0.25">
      <c r="E3732" t="s">
        <v>3415</v>
      </c>
    </row>
    <row r="3733" spans="5:5" x14ac:dyDescent="0.25">
      <c r="E3733" t="s">
        <v>3416</v>
      </c>
    </row>
    <row r="3734" spans="5:5" x14ac:dyDescent="0.25">
      <c r="E3734" t="s">
        <v>3417</v>
      </c>
    </row>
    <row r="3735" spans="5:5" x14ac:dyDescent="0.25">
      <c r="E3735" t="s">
        <v>3418</v>
      </c>
    </row>
    <row r="3736" spans="5:5" x14ac:dyDescent="0.25">
      <c r="E3736" t="s">
        <v>3419</v>
      </c>
    </row>
    <row r="3737" spans="5:5" x14ac:dyDescent="0.25">
      <c r="E3737" t="s">
        <v>3420</v>
      </c>
    </row>
    <row r="3738" spans="5:5" x14ac:dyDescent="0.25">
      <c r="E3738" t="s">
        <v>3421</v>
      </c>
    </row>
    <row r="3739" spans="5:5" x14ac:dyDescent="0.25">
      <c r="E3739" t="s">
        <v>3422</v>
      </c>
    </row>
    <row r="3740" spans="5:5" x14ac:dyDescent="0.25">
      <c r="E3740" t="s">
        <v>3423</v>
      </c>
    </row>
    <row r="3741" spans="5:5" x14ac:dyDescent="0.25">
      <c r="E3741" t="s">
        <v>3424</v>
      </c>
    </row>
    <row r="3742" spans="5:5" x14ac:dyDescent="0.25">
      <c r="E3742" t="s">
        <v>3425</v>
      </c>
    </row>
    <row r="3743" spans="5:5" x14ac:dyDescent="0.25">
      <c r="E3743" t="s">
        <v>3426</v>
      </c>
    </row>
    <row r="3744" spans="5:5" x14ac:dyDescent="0.25">
      <c r="E3744" t="s">
        <v>3427</v>
      </c>
    </row>
    <row r="3745" spans="5:5" x14ac:dyDescent="0.25">
      <c r="E3745" t="s">
        <v>3428</v>
      </c>
    </row>
    <row r="3746" spans="5:5" x14ac:dyDescent="0.25">
      <c r="E3746" t="s">
        <v>3429</v>
      </c>
    </row>
    <row r="3747" spans="5:5" x14ac:dyDescent="0.25">
      <c r="E3747" t="s">
        <v>3430</v>
      </c>
    </row>
    <row r="3748" spans="5:5" x14ac:dyDescent="0.25">
      <c r="E3748" t="s">
        <v>3431</v>
      </c>
    </row>
    <row r="3749" spans="5:5" x14ac:dyDescent="0.25">
      <c r="E3749" t="s">
        <v>3432</v>
      </c>
    </row>
    <row r="3750" spans="5:5" x14ac:dyDescent="0.25">
      <c r="E3750" t="s">
        <v>3433</v>
      </c>
    </row>
    <row r="3751" spans="5:5" x14ac:dyDescent="0.25">
      <c r="E3751" t="s">
        <v>3434</v>
      </c>
    </row>
    <row r="3752" spans="5:5" x14ac:dyDescent="0.25">
      <c r="E3752" t="s">
        <v>3435</v>
      </c>
    </row>
    <row r="3753" spans="5:5" x14ac:dyDescent="0.25">
      <c r="E3753" t="s">
        <v>3436</v>
      </c>
    </row>
    <row r="3754" spans="5:5" x14ac:dyDescent="0.25">
      <c r="E3754" t="s">
        <v>3437</v>
      </c>
    </row>
    <row r="3755" spans="5:5" x14ac:dyDescent="0.25">
      <c r="E3755" t="s">
        <v>3438</v>
      </c>
    </row>
    <row r="3756" spans="5:5" x14ac:dyDescent="0.25">
      <c r="E3756" t="s">
        <v>3439</v>
      </c>
    </row>
    <row r="3757" spans="5:5" x14ac:dyDescent="0.25">
      <c r="E3757" t="s">
        <v>3440</v>
      </c>
    </row>
    <row r="3758" spans="5:5" x14ac:dyDescent="0.25">
      <c r="E3758" t="s">
        <v>3441</v>
      </c>
    </row>
    <row r="3759" spans="5:5" x14ac:dyDescent="0.25">
      <c r="E3759" t="s">
        <v>3442</v>
      </c>
    </row>
    <row r="3760" spans="5:5" x14ac:dyDescent="0.25">
      <c r="E3760" t="s">
        <v>3443</v>
      </c>
    </row>
    <row r="3761" spans="5:5" x14ac:dyDescent="0.25">
      <c r="E3761" t="s">
        <v>3444</v>
      </c>
    </row>
    <row r="3762" spans="5:5" x14ac:dyDescent="0.25">
      <c r="E3762" t="s">
        <v>3445</v>
      </c>
    </row>
    <row r="3763" spans="5:5" x14ac:dyDescent="0.25">
      <c r="E3763" t="s">
        <v>3446</v>
      </c>
    </row>
    <row r="3764" spans="5:5" x14ac:dyDescent="0.25">
      <c r="E3764" t="s">
        <v>3447</v>
      </c>
    </row>
    <row r="3765" spans="5:5" x14ac:dyDescent="0.25">
      <c r="E3765" t="s">
        <v>3448</v>
      </c>
    </row>
    <row r="3766" spans="5:5" x14ac:dyDescent="0.25">
      <c r="E3766" t="s">
        <v>3449</v>
      </c>
    </row>
    <row r="3767" spans="5:5" x14ac:dyDescent="0.25">
      <c r="E3767" t="s">
        <v>3450</v>
      </c>
    </row>
    <row r="3768" spans="5:5" x14ac:dyDescent="0.25">
      <c r="E3768" t="s">
        <v>3451</v>
      </c>
    </row>
    <row r="3769" spans="5:5" x14ac:dyDescent="0.25">
      <c r="E3769" t="s">
        <v>3452</v>
      </c>
    </row>
    <row r="3770" spans="5:5" x14ac:dyDescent="0.25">
      <c r="E3770" t="s">
        <v>3453</v>
      </c>
    </row>
    <row r="3771" spans="5:5" x14ac:dyDescent="0.25">
      <c r="E3771" t="s">
        <v>3454</v>
      </c>
    </row>
    <row r="3772" spans="5:5" x14ac:dyDescent="0.25">
      <c r="E3772" t="s">
        <v>3455</v>
      </c>
    </row>
    <row r="3773" spans="5:5" x14ac:dyDescent="0.25">
      <c r="E3773" t="s">
        <v>3456</v>
      </c>
    </row>
    <row r="3774" spans="5:5" x14ac:dyDescent="0.25">
      <c r="E3774" t="s">
        <v>3457</v>
      </c>
    </row>
    <row r="3775" spans="5:5" x14ac:dyDescent="0.25">
      <c r="E3775" t="s">
        <v>3458</v>
      </c>
    </row>
    <row r="3776" spans="5:5" x14ac:dyDescent="0.25">
      <c r="E3776" t="s">
        <v>3459</v>
      </c>
    </row>
    <row r="3777" spans="5:5" x14ac:dyDescent="0.25">
      <c r="E3777" t="s">
        <v>3460</v>
      </c>
    </row>
    <row r="3778" spans="5:5" x14ac:dyDescent="0.25">
      <c r="E3778" t="s">
        <v>3461</v>
      </c>
    </row>
    <row r="3779" spans="5:5" x14ac:dyDescent="0.25">
      <c r="E3779" t="s">
        <v>3462</v>
      </c>
    </row>
    <row r="3780" spans="5:5" x14ac:dyDescent="0.25">
      <c r="E3780" t="s">
        <v>3463</v>
      </c>
    </row>
    <row r="3781" spans="5:5" x14ac:dyDescent="0.25">
      <c r="E3781" t="s">
        <v>3464</v>
      </c>
    </row>
    <row r="3782" spans="5:5" x14ac:dyDescent="0.25">
      <c r="E3782" t="s">
        <v>3465</v>
      </c>
    </row>
    <row r="3783" spans="5:5" x14ac:dyDescent="0.25">
      <c r="E3783" t="s">
        <v>3466</v>
      </c>
    </row>
    <row r="3784" spans="5:5" x14ac:dyDescent="0.25">
      <c r="E3784" t="s">
        <v>3467</v>
      </c>
    </row>
    <row r="3785" spans="5:5" x14ac:dyDescent="0.25">
      <c r="E3785" t="s">
        <v>3468</v>
      </c>
    </row>
    <row r="3786" spans="5:5" x14ac:dyDescent="0.25">
      <c r="E3786" t="s">
        <v>3469</v>
      </c>
    </row>
    <row r="3787" spans="5:5" x14ac:dyDescent="0.25">
      <c r="E3787" t="s">
        <v>3470</v>
      </c>
    </row>
    <row r="3788" spans="5:5" x14ac:dyDescent="0.25">
      <c r="E3788" t="s">
        <v>3471</v>
      </c>
    </row>
    <row r="3789" spans="5:5" x14ac:dyDescent="0.25">
      <c r="E3789" t="s">
        <v>3472</v>
      </c>
    </row>
    <row r="3790" spans="5:5" x14ac:dyDescent="0.25">
      <c r="E3790" t="s">
        <v>3473</v>
      </c>
    </row>
    <row r="3791" spans="5:5" x14ac:dyDescent="0.25">
      <c r="E3791" t="s">
        <v>3474</v>
      </c>
    </row>
    <row r="3792" spans="5:5" x14ac:dyDescent="0.25">
      <c r="E3792" t="s">
        <v>3475</v>
      </c>
    </row>
    <row r="3793" spans="5:5" x14ac:dyDescent="0.25">
      <c r="E3793" t="s">
        <v>3476</v>
      </c>
    </row>
    <row r="3794" spans="5:5" x14ac:dyDescent="0.25">
      <c r="E3794" t="s">
        <v>3477</v>
      </c>
    </row>
    <row r="3795" spans="5:5" x14ac:dyDescent="0.25">
      <c r="E3795" t="s">
        <v>3478</v>
      </c>
    </row>
    <row r="3796" spans="5:5" x14ac:dyDescent="0.25">
      <c r="E3796" t="s">
        <v>3479</v>
      </c>
    </row>
    <row r="3797" spans="5:5" x14ac:dyDescent="0.25">
      <c r="E3797" t="s">
        <v>3480</v>
      </c>
    </row>
    <row r="3798" spans="5:5" x14ac:dyDescent="0.25">
      <c r="E3798" t="s">
        <v>3481</v>
      </c>
    </row>
    <row r="3799" spans="5:5" x14ac:dyDescent="0.25">
      <c r="E3799" t="s">
        <v>3482</v>
      </c>
    </row>
    <row r="3800" spans="5:5" x14ac:dyDescent="0.25">
      <c r="E3800" t="s">
        <v>3483</v>
      </c>
    </row>
    <row r="3801" spans="5:5" x14ac:dyDescent="0.25">
      <c r="E3801" t="s">
        <v>3484</v>
      </c>
    </row>
    <row r="3802" spans="5:5" x14ac:dyDescent="0.25">
      <c r="E3802" t="s">
        <v>3485</v>
      </c>
    </row>
    <row r="3803" spans="5:5" x14ac:dyDescent="0.25">
      <c r="E3803" t="s">
        <v>3486</v>
      </c>
    </row>
    <row r="3804" spans="5:5" x14ac:dyDescent="0.25">
      <c r="E3804" t="s">
        <v>3487</v>
      </c>
    </row>
    <row r="3805" spans="5:5" x14ac:dyDescent="0.25">
      <c r="E3805" t="s">
        <v>3488</v>
      </c>
    </row>
    <row r="3806" spans="5:5" x14ac:dyDescent="0.25">
      <c r="E3806" t="s">
        <v>3489</v>
      </c>
    </row>
    <row r="3807" spans="5:5" x14ac:dyDescent="0.25">
      <c r="E3807" t="s">
        <v>3490</v>
      </c>
    </row>
    <row r="3808" spans="5:5" x14ac:dyDescent="0.25">
      <c r="E3808" t="s">
        <v>3491</v>
      </c>
    </row>
    <row r="3809" spans="5:5" x14ac:dyDescent="0.25">
      <c r="E3809" t="s">
        <v>3492</v>
      </c>
    </row>
    <row r="3810" spans="5:5" x14ac:dyDescent="0.25">
      <c r="E3810" t="s">
        <v>3493</v>
      </c>
    </row>
    <row r="3811" spans="5:5" x14ac:dyDescent="0.25">
      <c r="E3811" t="s">
        <v>3494</v>
      </c>
    </row>
    <row r="3812" spans="5:5" x14ac:dyDescent="0.25">
      <c r="E3812" t="s">
        <v>3495</v>
      </c>
    </row>
    <row r="3813" spans="5:5" x14ac:dyDescent="0.25">
      <c r="E3813" t="s">
        <v>3496</v>
      </c>
    </row>
    <row r="3814" spans="5:5" x14ac:dyDescent="0.25">
      <c r="E3814" t="s">
        <v>3497</v>
      </c>
    </row>
    <row r="3815" spans="5:5" x14ac:dyDescent="0.25">
      <c r="E3815" t="s">
        <v>3498</v>
      </c>
    </row>
    <row r="3816" spans="5:5" x14ac:dyDescent="0.25">
      <c r="E3816" t="s">
        <v>3499</v>
      </c>
    </row>
    <row r="3817" spans="5:5" x14ac:dyDescent="0.25">
      <c r="E3817" t="s">
        <v>3500</v>
      </c>
    </row>
    <row r="3818" spans="5:5" x14ac:dyDescent="0.25">
      <c r="E3818" t="s">
        <v>3501</v>
      </c>
    </row>
    <row r="3819" spans="5:5" x14ac:dyDescent="0.25">
      <c r="E3819" t="s">
        <v>3502</v>
      </c>
    </row>
    <row r="3820" spans="5:5" x14ac:dyDescent="0.25">
      <c r="E3820" t="s">
        <v>3503</v>
      </c>
    </row>
    <row r="3821" spans="5:5" x14ac:dyDescent="0.25">
      <c r="E3821" t="s">
        <v>3504</v>
      </c>
    </row>
    <row r="3822" spans="5:5" x14ac:dyDescent="0.25">
      <c r="E3822" t="s">
        <v>3505</v>
      </c>
    </row>
    <row r="3823" spans="5:5" x14ac:dyDescent="0.25">
      <c r="E3823" t="s">
        <v>3506</v>
      </c>
    </row>
    <row r="3824" spans="5:5" x14ac:dyDescent="0.25">
      <c r="E3824" t="s">
        <v>3507</v>
      </c>
    </row>
    <row r="3825" spans="5:5" x14ac:dyDescent="0.25">
      <c r="E3825" t="s">
        <v>3508</v>
      </c>
    </row>
    <row r="3826" spans="5:5" x14ac:dyDescent="0.25">
      <c r="E3826" t="s">
        <v>3509</v>
      </c>
    </row>
    <row r="3827" spans="5:5" x14ac:dyDescent="0.25">
      <c r="E3827" t="s">
        <v>3510</v>
      </c>
    </row>
    <row r="3828" spans="5:5" x14ac:dyDescent="0.25">
      <c r="E3828" t="s">
        <v>3511</v>
      </c>
    </row>
    <row r="3829" spans="5:5" x14ac:dyDescent="0.25">
      <c r="E3829" t="s">
        <v>3512</v>
      </c>
    </row>
    <row r="3830" spans="5:5" x14ac:dyDescent="0.25">
      <c r="E3830" t="s">
        <v>3513</v>
      </c>
    </row>
    <row r="3831" spans="5:5" x14ac:dyDescent="0.25">
      <c r="E3831" t="s">
        <v>3514</v>
      </c>
    </row>
    <row r="3832" spans="5:5" x14ac:dyDescent="0.25">
      <c r="E3832" t="s">
        <v>3515</v>
      </c>
    </row>
    <row r="3833" spans="5:5" x14ac:dyDescent="0.25">
      <c r="E3833" t="s">
        <v>3516</v>
      </c>
    </row>
    <row r="3834" spans="5:5" x14ac:dyDescent="0.25">
      <c r="E3834" t="s">
        <v>3517</v>
      </c>
    </row>
    <row r="3835" spans="5:5" x14ac:dyDescent="0.25">
      <c r="E3835" t="s">
        <v>3518</v>
      </c>
    </row>
    <row r="3836" spans="5:5" x14ac:dyDescent="0.25">
      <c r="E3836" t="s">
        <v>3519</v>
      </c>
    </row>
    <row r="3837" spans="5:5" x14ac:dyDescent="0.25">
      <c r="E3837" t="s">
        <v>3520</v>
      </c>
    </row>
    <row r="3838" spans="5:5" x14ac:dyDescent="0.25">
      <c r="E3838" t="s">
        <v>3521</v>
      </c>
    </row>
    <row r="3839" spans="5:5" x14ac:dyDescent="0.25">
      <c r="E3839" t="s">
        <v>3522</v>
      </c>
    </row>
    <row r="3840" spans="5:5" x14ac:dyDescent="0.25">
      <c r="E3840" t="s">
        <v>3523</v>
      </c>
    </row>
    <row r="3841" spans="5:5" x14ac:dyDescent="0.25">
      <c r="E3841" t="s">
        <v>3524</v>
      </c>
    </row>
    <row r="3842" spans="5:5" x14ac:dyDescent="0.25">
      <c r="E3842" t="s">
        <v>3525</v>
      </c>
    </row>
    <row r="3843" spans="5:5" x14ac:dyDescent="0.25">
      <c r="E3843" t="s">
        <v>3526</v>
      </c>
    </row>
    <row r="3844" spans="5:5" x14ac:dyDescent="0.25">
      <c r="E3844" t="s">
        <v>3527</v>
      </c>
    </row>
    <row r="3845" spans="5:5" x14ac:dyDescent="0.25">
      <c r="E3845" t="s">
        <v>3528</v>
      </c>
    </row>
    <row r="3846" spans="5:5" x14ac:dyDescent="0.25">
      <c r="E3846" t="s">
        <v>3529</v>
      </c>
    </row>
    <row r="3847" spans="5:5" x14ac:dyDescent="0.25">
      <c r="E3847" t="s">
        <v>3530</v>
      </c>
    </row>
    <row r="3848" spans="5:5" x14ac:dyDescent="0.25">
      <c r="E3848" t="s">
        <v>3531</v>
      </c>
    </row>
    <row r="3849" spans="5:5" x14ac:dyDescent="0.25">
      <c r="E3849" t="s">
        <v>3532</v>
      </c>
    </row>
    <row r="3850" spans="5:5" x14ac:dyDescent="0.25">
      <c r="E3850" t="s">
        <v>3533</v>
      </c>
    </row>
    <row r="3851" spans="5:5" x14ac:dyDescent="0.25">
      <c r="E3851" t="s">
        <v>3534</v>
      </c>
    </row>
    <row r="3852" spans="5:5" x14ac:dyDescent="0.25">
      <c r="E3852" t="s">
        <v>3535</v>
      </c>
    </row>
    <row r="3853" spans="5:5" x14ac:dyDescent="0.25">
      <c r="E3853" t="s">
        <v>3536</v>
      </c>
    </row>
    <row r="3854" spans="5:5" x14ac:dyDescent="0.25">
      <c r="E3854" t="s">
        <v>3537</v>
      </c>
    </row>
    <row r="3855" spans="5:5" x14ac:dyDescent="0.25">
      <c r="E3855" t="s">
        <v>3538</v>
      </c>
    </row>
    <row r="3856" spans="5:5" x14ac:dyDescent="0.25">
      <c r="E3856" t="s">
        <v>3539</v>
      </c>
    </row>
    <row r="3857" spans="5:5" x14ac:dyDescent="0.25">
      <c r="E3857" t="s">
        <v>3540</v>
      </c>
    </row>
    <row r="3858" spans="5:5" x14ac:dyDescent="0.25">
      <c r="E3858" t="s">
        <v>3541</v>
      </c>
    </row>
    <row r="3859" spans="5:5" x14ac:dyDescent="0.25">
      <c r="E3859" t="s">
        <v>3542</v>
      </c>
    </row>
    <row r="3860" spans="5:5" x14ac:dyDescent="0.25">
      <c r="E3860" t="s">
        <v>3543</v>
      </c>
    </row>
    <row r="3861" spans="5:5" x14ac:dyDescent="0.25">
      <c r="E3861" t="s">
        <v>3544</v>
      </c>
    </row>
    <row r="3862" spans="5:5" x14ac:dyDescent="0.25">
      <c r="E3862" t="s">
        <v>3545</v>
      </c>
    </row>
    <row r="3863" spans="5:5" x14ac:dyDescent="0.25">
      <c r="E3863" t="s">
        <v>3546</v>
      </c>
    </row>
    <row r="3864" spans="5:5" x14ac:dyDescent="0.25">
      <c r="E3864" t="s">
        <v>3547</v>
      </c>
    </row>
    <row r="3865" spans="5:5" x14ac:dyDescent="0.25">
      <c r="E3865" t="s">
        <v>3548</v>
      </c>
    </row>
    <row r="3866" spans="5:5" x14ac:dyDescent="0.25">
      <c r="E3866" t="s">
        <v>3549</v>
      </c>
    </row>
    <row r="3867" spans="5:5" x14ac:dyDescent="0.25">
      <c r="E3867" t="s">
        <v>3550</v>
      </c>
    </row>
    <row r="3868" spans="5:5" x14ac:dyDescent="0.25">
      <c r="E3868" t="s">
        <v>3551</v>
      </c>
    </row>
    <row r="3869" spans="5:5" x14ac:dyDescent="0.25">
      <c r="E3869" t="s">
        <v>3552</v>
      </c>
    </row>
    <row r="3870" spans="5:5" x14ac:dyDescent="0.25">
      <c r="E3870" t="s">
        <v>3553</v>
      </c>
    </row>
    <row r="3871" spans="5:5" x14ac:dyDescent="0.25">
      <c r="E3871" t="s">
        <v>3554</v>
      </c>
    </row>
    <row r="3872" spans="5:5" x14ac:dyDescent="0.25">
      <c r="E3872" t="s">
        <v>3555</v>
      </c>
    </row>
    <row r="3873" spans="5:5" x14ac:dyDescent="0.25">
      <c r="E3873" t="s">
        <v>3556</v>
      </c>
    </row>
    <row r="3874" spans="5:5" x14ac:dyDescent="0.25">
      <c r="E3874" t="s">
        <v>3557</v>
      </c>
    </row>
    <row r="3875" spans="5:5" x14ac:dyDescent="0.25">
      <c r="E3875" t="s">
        <v>3558</v>
      </c>
    </row>
    <row r="3876" spans="5:5" x14ac:dyDescent="0.25">
      <c r="E3876" t="s">
        <v>3559</v>
      </c>
    </row>
    <row r="3877" spans="5:5" x14ac:dyDescent="0.25">
      <c r="E3877" t="s">
        <v>3560</v>
      </c>
    </row>
    <row r="3878" spans="5:5" x14ac:dyDescent="0.25">
      <c r="E3878" t="s">
        <v>3561</v>
      </c>
    </row>
    <row r="3879" spans="5:5" x14ac:dyDescent="0.25">
      <c r="E3879" t="s">
        <v>3562</v>
      </c>
    </row>
    <row r="3880" spans="5:5" x14ac:dyDescent="0.25">
      <c r="E3880" t="s">
        <v>3563</v>
      </c>
    </row>
    <row r="3881" spans="5:5" x14ac:dyDescent="0.25">
      <c r="E3881" t="s">
        <v>3564</v>
      </c>
    </row>
    <row r="3882" spans="5:5" x14ac:dyDescent="0.25">
      <c r="E3882" t="s">
        <v>3565</v>
      </c>
    </row>
    <row r="3883" spans="5:5" x14ac:dyDescent="0.25">
      <c r="E3883" t="s">
        <v>3566</v>
      </c>
    </row>
    <row r="3884" spans="5:5" x14ac:dyDescent="0.25">
      <c r="E3884" t="s">
        <v>3567</v>
      </c>
    </row>
    <row r="3885" spans="5:5" x14ac:dyDescent="0.25">
      <c r="E3885" t="s">
        <v>3568</v>
      </c>
    </row>
    <row r="3886" spans="5:5" x14ac:dyDescent="0.25">
      <c r="E3886" t="s">
        <v>3569</v>
      </c>
    </row>
    <row r="3887" spans="5:5" x14ac:dyDescent="0.25">
      <c r="E3887" t="s">
        <v>3570</v>
      </c>
    </row>
    <row r="3888" spans="5:5" x14ac:dyDescent="0.25">
      <c r="E3888" t="s">
        <v>3571</v>
      </c>
    </row>
    <row r="3889" spans="5:5" x14ac:dyDescent="0.25">
      <c r="E3889" t="s">
        <v>3572</v>
      </c>
    </row>
    <row r="3890" spans="5:5" x14ac:dyDescent="0.25">
      <c r="E3890" t="s">
        <v>3573</v>
      </c>
    </row>
    <row r="3891" spans="5:5" x14ac:dyDescent="0.25">
      <c r="E3891" t="s">
        <v>3574</v>
      </c>
    </row>
    <row r="3892" spans="5:5" x14ac:dyDescent="0.25">
      <c r="E3892" t="s">
        <v>3575</v>
      </c>
    </row>
    <row r="3893" spans="5:5" x14ac:dyDescent="0.25">
      <c r="E3893" t="s">
        <v>3576</v>
      </c>
    </row>
    <row r="3894" spans="5:5" x14ac:dyDescent="0.25">
      <c r="E3894" t="s">
        <v>3577</v>
      </c>
    </row>
    <row r="3895" spans="5:5" x14ac:dyDescent="0.25">
      <c r="E3895" t="s">
        <v>3578</v>
      </c>
    </row>
    <row r="3896" spans="5:5" x14ac:dyDescent="0.25">
      <c r="E3896" t="s">
        <v>3579</v>
      </c>
    </row>
    <row r="3897" spans="5:5" x14ac:dyDescent="0.25">
      <c r="E3897" t="s">
        <v>3580</v>
      </c>
    </row>
    <row r="3898" spans="5:5" x14ac:dyDescent="0.25">
      <c r="E3898" t="s">
        <v>3581</v>
      </c>
    </row>
    <row r="3899" spans="5:5" x14ac:dyDescent="0.25">
      <c r="E3899" t="s">
        <v>3582</v>
      </c>
    </row>
    <row r="3900" spans="5:5" x14ac:dyDescent="0.25">
      <c r="E3900" t="s">
        <v>3583</v>
      </c>
    </row>
    <row r="3901" spans="5:5" x14ac:dyDescent="0.25">
      <c r="E3901" t="s">
        <v>3584</v>
      </c>
    </row>
    <row r="3902" spans="5:5" x14ac:dyDescent="0.25">
      <c r="E3902" t="s">
        <v>3585</v>
      </c>
    </row>
    <row r="3903" spans="5:5" x14ac:dyDescent="0.25">
      <c r="E3903" t="s">
        <v>3586</v>
      </c>
    </row>
    <row r="3904" spans="5:5" x14ac:dyDescent="0.25">
      <c r="E3904" t="s">
        <v>3587</v>
      </c>
    </row>
    <row r="3905" spans="5:5" x14ac:dyDescent="0.25">
      <c r="E3905" t="s">
        <v>3588</v>
      </c>
    </row>
    <row r="3906" spans="5:5" x14ac:dyDescent="0.25">
      <c r="E3906" t="s">
        <v>3589</v>
      </c>
    </row>
    <row r="3907" spans="5:5" x14ac:dyDescent="0.25">
      <c r="E3907" t="s">
        <v>3590</v>
      </c>
    </row>
    <row r="3908" spans="5:5" x14ac:dyDescent="0.25">
      <c r="E3908" t="s">
        <v>3591</v>
      </c>
    </row>
    <row r="3909" spans="5:5" x14ac:dyDescent="0.25">
      <c r="E3909" t="s">
        <v>3592</v>
      </c>
    </row>
    <row r="3910" spans="5:5" x14ac:dyDescent="0.25">
      <c r="E3910" t="s">
        <v>3593</v>
      </c>
    </row>
    <row r="3911" spans="5:5" x14ac:dyDescent="0.25">
      <c r="E3911" t="s">
        <v>3594</v>
      </c>
    </row>
    <row r="3912" spans="5:5" x14ac:dyDescent="0.25">
      <c r="E3912" t="s">
        <v>3595</v>
      </c>
    </row>
    <row r="3913" spans="5:5" x14ac:dyDescent="0.25">
      <c r="E3913" t="s">
        <v>3596</v>
      </c>
    </row>
    <row r="3914" spans="5:5" x14ac:dyDescent="0.25">
      <c r="E3914" t="s">
        <v>3597</v>
      </c>
    </row>
    <row r="3915" spans="5:5" x14ac:dyDescent="0.25">
      <c r="E3915" t="s">
        <v>3598</v>
      </c>
    </row>
    <row r="3916" spans="5:5" x14ac:dyDescent="0.25">
      <c r="E3916" t="s">
        <v>3599</v>
      </c>
    </row>
    <row r="3917" spans="5:5" x14ac:dyDescent="0.25">
      <c r="E3917" t="s">
        <v>3600</v>
      </c>
    </row>
    <row r="3918" spans="5:5" x14ac:dyDescent="0.25">
      <c r="E3918" t="s">
        <v>3601</v>
      </c>
    </row>
    <row r="3919" spans="5:5" x14ac:dyDescent="0.25">
      <c r="E3919" t="s">
        <v>3602</v>
      </c>
    </row>
    <row r="3920" spans="5:5" x14ac:dyDescent="0.25">
      <c r="E3920" t="s">
        <v>3603</v>
      </c>
    </row>
    <row r="3921" spans="5:5" x14ac:dyDescent="0.25">
      <c r="E3921" t="s">
        <v>3604</v>
      </c>
    </row>
    <row r="3922" spans="5:5" x14ac:dyDescent="0.25">
      <c r="E3922" t="s">
        <v>3605</v>
      </c>
    </row>
    <row r="3923" spans="5:5" x14ac:dyDescent="0.25">
      <c r="E3923" t="s">
        <v>3606</v>
      </c>
    </row>
    <row r="3924" spans="5:5" x14ac:dyDescent="0.25">
      <c r="E3924" t="s">
        <v>3607</v>
      </c>
    </row>
    <row r="3925" spans="5:5" x14ac:dyDescent="0.25">
      <c r="E3925" t="s">
        <v>3608</v>
      </c>
    </row>
    <row r="3926" spans="5:5" x14ac:dyDescent="0.25">
      <c r="E3926" t="s">
        <v>3609</v>
      </c>
    </row>
    <row r="3927" spans="5:5" x14ac:dyDescent="0.25">
      <c r="E3927" t="s">
        <v>3610</v>
      </c>
    </row>
    <row r="3928" spans="5:5" x14ac:dyDescent="0.25">
      <c r="E3928" t="s">
        <v>3611</v>
      </c>
    </row>
    <row r="3929" spans="5:5" x14ac:dyDescent="0.25">
      <c r="E3929" t="s">
        <v>3612</v>
      </c>
    </row>
    <row r="3930" spans="5:5" x14ac:dyDescent="0.25">
      <c r="E3930" t="s">
        <v>3613</v>
      </c>
    </row>
    <row r="3931" spans="5:5" x14ac:dyDescent="0.25">
      <c r="E3931" t="s">
        <v>3614</v>
      </c>
    </row>
    <row r="3932" spans="5:5" x14ac:dyDescent="0.25">
      <c r="E3932" t="s">
        <v>3615</v>
      </c>
    </row>
    <row r="3933" spans="5:5" x14ac:dyDescent="0.25">
      <c r="E3933" t="s">
        <v>3616</v>
      </c>
    </row>
    <row r="3934" spans="5:5" x14ac:dyDescent="0.25">
      <c r="E3934" t="s">
        <v>3617</v>
      </c>
    </row>
    <row r="3935" spans="5:5" x14ac:dyDescent="0.25">
      <c r="E3935" t="s">
        <v>3618</v>
      </c>
    </row>
    <row r="3936" spans="5:5" x14ac:dyDescent="0.25">
      <c r="E3936" t="s">
        <v>3619</v>
      </c>
    </row>
    <row r="3937" spans="5:5" x14ac:dyDescent="0.25">
      <c r="E3937" t="s">
        <v>3620</v>
      </c>
    </row>
    <row r="3938" spans="5:5" x14ac:dyDescent="0.25">
      <c r="E3938" t="s">
        <v>3621</v>
      </c>
    </row>
    <row r="3939" spans="5:5" x14ac:dyDescent="0.25">
      <c r="E3939" t="s">
        <v>3622</v>
      </c>
    </row>
    <row r="3940" spans="5:5" x14ac:dyDescent="0.25">
      <c r="E3940" t="s">
        <v>3623</v>
      </c>
    </row>
    <row r="3941" spans="5:5" x14ac:dyDescent="0.25">
      <c r="E3941" t="s">
        <v>3624</v>
      </c>
    </row>
    <row r="3942" spans="5:5" x14ac:dyDescent="0.25">
      <c r="E3942" t="s">
        <v>3625</v>
      </c>
    </row>
    <row r="3943" spans="5:5" x14ac:dyDescent="0.25">
      <c r="E3943" t="s">
        <v>3626</v>
      </c>
    </row>
    <row r="3944" spans="5:5" x14ac:dyDescent="0.25">
      <c r="E3944" t="s">
        <v>3627</v>
      </c>
    </row>
    <row r="3945" spans="5:5" x14ac:dyDescent="0.25">
      <c r="E3945" t="s">
        <v>3628</v>
      </c>
    </row>
    <row r="3946" spans="5:5" x14ac:dyDescent="0.25">
      <c r="E3946" t="s">
        <v>3629</v>
      </c>
    </row>
    <row r="3947" spans="5:5" x14ac:dyDescent="0.25">
      <c r="E3947" t="s">
        <v>3630</v>
      </c>
    </row>
    <row r="3948" spans="5:5" x14ac:dyDescent="0.25">
      <c r="E3948" t="s">
        <v>3631</v>
      </c>
    </row>
    <row r="3949" spans="5:5" x14ac:dyDescent="0.25">
      <c r="E3949" t="s">
        <v>3632</v>
      </c>
    </row>
    <row r="3950" spans="5:5" x14ac:dyDescent="0.25">
      <c r="E3950" t="s">
        <v>3633</v>
      </c>
    </row>
    <row r="3951" spans="5:5" x14ac:dyDescent="0.25">
      <c r="E3951" t="s">
        <v>3634</v>
      </c>
    </row>
    <row r="3952" spans="5:5" x14ac:dyDescent="0.25">
      <c r="E3952" t="s">
        <v>3635</v>
      </c>
    </row>
    <row r="3953" spans="5:5" x14ac:dyDescent="0.25">
      <c r="E3953" t="s">
        <v>3636</v>
      </c>
    </row>
    <row r="3954" spans="5:5" x14ac:dyDescent="0.25">
      <c r="E3954" t="s">
        <v>3637</v>
      </c>
    </row>
    <row r="3955" spans="5:5" x14ac:dyDescent="0.25">
      <c r="E3955" t="s">
        <v>3638</v>
      </c>
    </row>
    <row r="3956" spans="5:5" x14ac:dyDescent="0.25">
      <c r="E3956" t="s">
        <v>3639</v>
      </c>
    </row>
    <row r="3957" spans="5:5" x14ac:dyDescent="0.25">
      <c r="E3957" t="s">
        <v>3640</v>
      </c>
    </row>
    <row r="3958" spans="5:5" x14ac:dyDescent="0.25">
      <c r="E3958" t="s">
        <v>3641</v>
      </c>
    </row>
    <row r="3959" spans="5:5" x14ac:dyDescent="0.25">
      <c r="E3959" t="s">
        <v>3642</v>
      </c>
    </row>
    <row r="3960" spans="5:5" x14ac:dyDescent="0.25">
      <c r="E3960" t="s">
        <v>3643</v>
      </c>
    </row>
    <row r="3961" spans="5:5" x14ac:dyDescent="0.25">
      <c r="E3961" t="s">
        <v>3644</v>
      </c>
    </row>
    <row r="3962" spans="5:5" x14ac:dyDescent="0.25">
      <c r="E3962" t="s">
        <v>3645</v>
      </c>
    </row>
    <row r="3963" spans="5:5" x14ac:dyDescent="0.25">
      <c r="E3963" t="s">
        <v>3646</v>
      </c>
    </row>
    <row r="3964" spans="5:5" x14ac:dyDescent="0.25">
      <c r="E3964" t="s">
        <v>3647</v>
      </c>
    </row>
    <row r="3965" spans="5:5" x14ac:dyDescent="0.25">
      <c r="E3965" t="s">
        <v>3648</v>
      </c>
    </row>
    <row r="3966" spans="5:5" x14ac:dyDescent="0.25">
      <c r="E3966" t="s">
        <v>3649</v>
      </c>
    </row>
    <row r="3967" spans="5:5" x14ac:dyDescent="0.25">
      <c r="E3967" t="s">
        <v>3650</v>
      </c>
    </row>
    <row r="3968" spans="5:5" x14ac:dyDescent="0.25">
      <c r="E3968" t="s">
        <v>3651</v>
      </c>
    </row>
    <row r="3969" spans="5:5" x14ac:dyDescent="0.25">
      <c r="E3969" t="s">
        <v>3652</v>
      </c>
    </row>
    <row r="3970" spans="5:5" x14ac:dyDescent="0.25">
      <c r="E3970" t="s">
        <v>3653</v>
      </c>
    </row>
    <row r="3971" spans="5:5" x14ac:dyDescent="0.25">
      <c r="E3971" t="s">
        <v>3654</v>
      </c>
    </row>
    <row r="3972" spans="5:5" x14ac:dyDescent="0.25">
      <c r="E3972" t="s">
        <v>3655</v>
      </c>
    </row>
    <row r="3973" spans="5:5" x14ac:dyDescent="0.25">
      <c r="E3973" t="s">
        <v>3656</v>
      </c>
    </row>
    <row r="3974" spans="5:5" x14ac:dyDescent="0.25">
      <c r="E3974" t="s">
        <v>3657</v>
      </c>
    </row>
    <row r="3975" spans="5:5" x14ac:dyDescent="0.25">
      <c r="E3975" t="s">
        <v>3658</v>
      </c>
    </row>
    <row r="3976" spans="5:5" x14ac:dyDescent="0.25">
      <c r="E3976" t="s">
        <v>3659</v>
      </c>
    </row>
    <row r="3977" spans="5:5" x14ac:dyDescent="0.25">
      <c r="E3977" t="s">
        <v>3660</v>
      </c>
    </row>
    <row r="3978" spans="5:5" x14ac:dyDescent="0.25">
      <c r="E3978" t="s">
        <v>3661</v>
      </c>
    </row>
    <row r="3979" spans="5:5" x14ac:dyDescent="0.25">
      <c r="E3979" t="s">
        <v>3662</v>
      </c>
    </row>
    <row r="3980" spans="5:5" x14ac:dyDescent="0.25">
      <c r="E3980" t="s">
        <v>3663</v>
      </c>
    </row>
    <row r="3981" spans="5:5" x14ac:dyDescent="0.25">
      <c r="E3981" t="s">
        <v>3664</v>
      </c>
    </row>
    <row r="3982" spans="5:5" x14ac:dyDescent="0.25">
      <c r="E3982" t="s">
        <v>3665</v>
      </c>
    </row>
    <row r="3983" spans="5:5" x14ac:dyDescent="0.25">
      <c r="E3983" t="s">
        <v>3666</v>
      </c>
    </row>
    <row r="3984" spans="5:5" x14ac:dyDescent="0.25">
      <c r="E3984" t="s">
        <v>3667</v>
      </c>
    </row>
    <row r="3985" spans="5:5" x14ac:dyDescent="0.25">
      <c r="E3985" t="s">
        <v>3668</v>
      </c>
    </row>
    <row r="3986" spans="5:5" x14ac:dyDescent="0.25">
      <c r="E3986" t="s">
        <v>3669</v>
      </c>
    </row>
    <row r="3987" spans="5:5" x14ac:dyDescent="0.25">
      <c r="E3987" t="s">
        <v>3670</v>
      </c>
    </row>
    <row r="3988" spans="5:5" x14ac:dyDescent="0.25">
      <c r="E3988" t="s">
        <v>3671</v>
      </c>
    </row>
    <row r="3989" spans="5:5" x14ac:dyDescent="0.25">
      <c r="E3989" t="s">
        <v>3672</v>
      </c>
    </row>
    <row r="3990" spans="5:5" x14ac:dyDescent="0.25">
      <c r="E3990" t="s">
        <v>3673</v>
      </c>
    </row>
    <row r="3991" spans="5:5" x14ac:dyDescent="0.25">
      <c r="E3991" t="s">
        <v>3674</v>
      </c>
    </row>
    <row r="3992" spans="5:5" x14ac:dyDescent="0.25">
      <c r="E3992" t="s">
        <v>3675</v>
      </c>
    </row>
    <row r="3993" spans="5:5" x14ac:dyDescent="0.25">
      <c r="E3993" t="s">
        <v>3676</v>
      </c>
    </row>
    <row r="3994" spans="5:5" x14ac:dyDescent="0.25">
      <c r="E3994" t="s">
        <v>3677</v>
      </c>
    </row>
    <row r="3995" spans="5:5" x14ac:dyDescent="0.25">
      <c r="E3995" t="s">
        <v>3678</v>
      </c>
    </row>
    <row r="3996" spans="5:5" x14ac:dyDescent="0.25">
      <c r="E3996" t="s">
        <v>3679</v>
      </c>
    </row>
    <row r="3997" spans="5:5" x14ac:dyDescent="0.25">
      <c r="E3997" t="s">
        <v>3680</v>
      </c>
    </row>
    <row r="3998" spans="5:5" x14ac:dyDescent="0.25">
      <c r="E3998" t="s">
        <v>3681</v>
      </c>
    </row>
    <row r="3999" spans="5:5" x14ac:dyDescent="0.25">
      <c r="E3999" t="s">
        <v>3682</v>
      </c>
    </row>
    <row r="4000" spans="5:5" x14ac:dyDescent="0.25">
      <c r="E4000" t="s">
        <v>3683</v>
      </c>
    </row>
    <row r="4001" spans="5:5" x14ac:dyDescent="0.25">
      <c r="E4001" t="s">
        <v>3684</v>
      </c>
    </row>
    <row r="4002" spans="5:5" x14ac:dyDescent="0.25">
      <c r="E4002" t="s">
        <v>3685</v>
      </c>
    </row>
    <row r="4003" spans="5:5" x14ac:dyDescent="0.25">
      <c r="E4003" t="s">
        <v>3686</v>
      </c>
    </row>
    <row r="4004" spans="5:5" x14ac:dyDescent="0.25">
      <c r="E4004" t="s">
        <v>3687</v>
      </c>
    </row>
    <row r="4005" spans="5:5" x14ac:dyDescent="0.25">
      <c r="E4005" t="s">
        <v>3688</v>
      </c>
    </row>
    <row r="4006" spans="5:5" x14ac:dyDescent="0.25">
      <c r="E4006" t="s">
        <v>3689</v>
      </c>
    </row>
    <row r="4007" spans="5:5" x14ac:dyDescent="0.25">
      <c r="E4007" t="s">
        <v>3690</v>
      </c>
    </row>
    <row r="4008" spans="5:5" x14ac:dyDescent="0.25">
      <c r="E4008" t="s">
        <v>3691</v>
      </c>
    </row>
    <row r="4009" spans="5:5" x14ac:dyDescent="0.25">
      <c r="E4009" t="s">
        <v>3692</v>
      </c>
    </row>
    <row r="4010" spans="5:5" x14ac:dyDescent="0.25">
      <c r="E4010" t="s">
        <v>3693</v>
      </c>
    </row>
    <row r="4011" spans="5:5" x14ac:dyDescent="0.25">
      <c r="E4011" t="s">
        <v>3694</v>
      </c>
    </row>
    <row r="4012" spans="5:5" x14ac:dyDescent="0.25">
      <c r="E4012" t="s">
        <v>3695</v>
      </c>
    </row>
    <row r="4013" spans="5:5" x14ac:dyDescent="0.25">
      <c r="E4013" t="s">
        <v>3696</v>
      </c>
    </row>
    <row r="4014" spans="5:5" x14ac:dyDescent="0.25">
      <c r="E4014" t="s">
        <v>3697</v>
      </c>
    </row>
    <row r="4015" spans="5:5" x14ac:dyDescent="0.25">
      <c r="E4015" t="s">
        <v>3698</v>
      </c>
    </row>
    <row r="4016" spans="5:5" x14ac:dyDescent="0.25">
      <c r="E4016" t="s">
        <v>3699</v>
      </c>
    </row>
    <row r="4017" spans="5:5" x14ac:dyDescent="0.25">
      <c r="E4017" t="s">
        <v>3700</v>
      </c>
    </row>
    <row r="4018" spans="5:5" x14ac:dyDescent="0.25">
      <c r="E4018" t="s">
        <v>3701</v>
      </c>
    </row>
    <row r="4019" spans="5:5" x14ac:dyDescent="0.25">
      <c r="E4019" t="s">
        <v>3702</v>
      </c>
    </row>
    <row r="4020" spans="5:5" x14ac:dyDescent="0.25">
      <c r="E4020" t="s">
        <v>3703</v>
      </c>
    </row>
    <row r="4021" spans="5:5" x14ac:dyDescent="0.25">
      <c r="E4021" t="s">
        <v>3704</v>
      </c>
    </row>
    <row r="4022" spans="5:5" x14ac:dyDescent="0.25">
      <c r="E4022" t="s">
        <v>3705</v>
      </c>
    </row>
    <row r="4023" spans="5:5" x14ac:dyDescent="0.25">
      <c r="E4023" t="s">
        <v>3706</v>
      </c>
    </row>
    <row r="4024" spans="5:5" x14ac:dyDescent="0.25">
      <c r="E4024" t="s">
        <v>3707</v>
      </c>
    </row>
    <row r="4025" spans="5:5" x14ac:dyDescent="0.25">
      <c r="E4025" t="s">
        <v>3708</v>
      </c>
    </row>
    <row r="4026" spans="5:5" x14ac:dyDescent="0.25">
      <c r="E4026" t="s">
        <v>3709</v>
      </c>
    </row>
    <row r="4027" spans="5:5" x14ac:dyDescent="0.25">
      <c r="E4027" t="s">
        <v>3710</v>
      </c>
    </row>
    <row r="4028" spans="5:5" x14ac:dyDescent="0.25">
      <c r="E4028" t="s">
        <v>3711</v>
      </c>
    </row>
    <row r="4029" spans="5:5" x14ac:dyDescent="0.25">
      <c r="E4029" t="s">
        <v>3712</v>
      </c>
    </row>
    <row r="4030" spans="5:5" x14ac:dyDescent="0.25">
      <c r="E4030" t="s">
        <v>3713</v>
      </c>
    </row>
    <row r="4031" spans="5:5" x14ac:dyDescent="0.25">
      <c r="E4031" t="s">
        <v>3714</v>
      </c>
    </row>
    <row r="4032" spans="5:5" x14ac:dyDescent="0.25">
      <c r="E4032" t="s">
        <v>3715</v>
      </c>
    </row>
    <row r="4033" spans="5:5" x14ac:dyDescent="0.25">
      <c r="E4033" t="s">
        <v>3716</v>
      </c>
    </row>
    <row r="4034" spans="5:5" x14ac:dyDescent="0.25">
      <c r="E4034" t="s">
        <v>3717</v>
      </c>
    </row>
    <row r="4035" spans="5:5" x14ac:dyDescent="0.25">
      <c r="E4035" t="s">
        <v>3718</v>
      </c>
    </row>
    <row r="4036" spans="5:5" x14ac:dyDescent="0.25">
      <c r="E4036" t="s">
        <v>3719</v>
      </c>
    </row>
    <row r="4037" spans="5:5" x14ac:dyDescent="0.25">
      <c r="E4037" t="s">
        <v>3720</v>
      </c>
    </row>
    <row r="4038" spans="5:5" x14ac:dyDescent="0.25">
      <c r="E4038" t="s">
        <v>3721</v>
      </c>
    </row>
    <row r="4039" spans="5:5" x14ac:dyDescent="0.25">
      <c r="E4039" t="s">
        <v>3722</v>
      </c>
    </row>
    <row r="4040" spans="5:5" x14ac:dyDescent="0.25">
      <c r="E4040" t="s">
        <v>3723</v>
      </c>
    </row>
    <row r="4041" spans="5:5" x14ac:dyDescent="0.25">
      <c r="E4041" t="s">
        <v>3724</v>
      </c>
    </row>
    <row r="4042" spans="5:5" x14ac:dyDescent="0.25">
      <c r="E4042" t="s">
        <v>3725</v>
      </c>
    </row>
    <row r="4043" spans="5:5" x14ac:dyDescent="0.25">
      <c r="E4043" t="s">
        <v>3726</v>
      </c>
    </row>
    <row r="4044" spans="5:5" x14ac:dyDescent="0.25">
      <c r="E4044" t="s">
        <v>3727</v>
      </c>
    </row>
    <row r="4045" spans="5:5" x14ac:dyDescent="0.25">
      <c r="E4045" t="s">
        <v>117</v>
      </c>
    </row>
    <row r="4046" spans="5:5" x14ac:dyDescent="0.25">
      <c r="E4046" t="s">
        <v>3728</v>
      </c>
    </row>
    <row r="4047" spans="5:5" x14ac:dyDescent="0.25">
      <c r="E4047" t="s">
        <v>3729</v>
      </c>
    </row>
    <row r="4048" spans="5:5" x14ac:dyDescent="0.25">
      <c r="E4048" t="s">
        <v>3730</v>
      </c>
    </row>
    <row r="4049" spans="5:5" x14ac:dyDescent="0.25">
      <c r="E4049" t="s">
        <v>3731</v>
      </c>
    </row>
    <row r="4050" spans="5:5" x14ac:dyDescent="0.25">
      <c r="E4050" t="s">
        <v>3732</v>
      </c>
    </row>
    <row r="4051" spans="5:5" x14ac:dyDescent="0.25">
      <c r="E4051" t="s">
        <v>3733</v>
      </c>
    </row>
    <row r="4052" spans="5:5" x14ac:dyDescent="0.25">
      <c r="E4052" t="s">
        <v>3734</v>
      </c>
    </row>
    <row r="4053" spans="5:5" x14ac:dyDescent="0.25">
      <c r="E4053" t="s">
        <v>3735</v>
      </c>
    </row>
    <row r="4054" spans="5:5" x14ac:dyDescent="0.25">
      <c r="E4054" t="s">
        <v>3736</v>
      </c>
    </row>
    <row r="4055" spans="5:5" x14ac:dyDescent="0.25">
      <c r="E4055" t="s">
        <v>3737</v>
      </c>
    </row>
    <row r="4056" spans="5:5" x14ac:dyDescent="0.25">
      <c r="E4056" t="s">
        <v>3738</v>
      </c>
    </row>
    <row r="4057" spans="5:5" x14ac:dyDescent="0.25">
      <c r="E4057" t="s">
        <v>3739</v>
      </c>
    </row>
    <row r="4058" spans="5:5" x14ac:dyDescent="0.25">
      <c r="E4058" t="s">
        <v>3740</v>
      </c>
    </row>
    <row r="4059" spans="5:5" x14ac:dyDescent="0.25">
      <c r="E4059" t="s">
        <v>3741</v>
      </c>
    </row>
    <row r="4060" spans="5:5" x14ac:dyDescent="0.25">
      <c r="E4060" t="s">
        <v>3742</v>
      </c>
    </row>
    <row r="4061" spans="5:5" x14ac:dyDescent="0.25">
      <c r="E4061" t="s">
        <v>3743</v>
      </c>
    </row>
    <row r="4062" spans="5:5" x14ac:dyDescent="0.25">
      <c r="E4062" t="s">
        <v>3744</v>
      </c>
    </row>
    <row r="4063" spans="5:5" x14ac:dyDescent="0.25">
      <c r="E4063" t="s">
        <v>3745</v>
      </c>
    </row>
    <row r="4064" spans="5:5" x14ac:dyDescent="0.25">
      <c r="E4064" t="s">
        <v>3746</v>
      </c>
    </row>
    <row r="4065" spans="5:5" x14ac:dyDescent="0.25">
      <c r="E4065" t="s">
        <v>3747</v>
      </c>
    </row>
    <row r="4066" spans="5:5" x14ac:dyDescent="0.25">
      <c r="E4066" t="s">
        <v>3748</v>
      </c>
    </row>
    <row r="4067" spans="5:5" x14ac:dyDescent="0.25">
      <c r="E4067" t="s">
        <v>3749</v>
      </c>
    </row>
    <row r="4068" spans="5:5" x14ac:dyDescent="0.25">
      <c r="E4068" t="s">
        <v>3750</v>
      </c>
    </row>
    <row r="4069" spans="5:5" x14ac:dyDescent="0.25">
      <c r="E4069" t="s">
        <v>3751</v>
      </c>
    </row>
    <row r="4070" spans="5:5" x14ac:dyDescent="0.25">
      <c r="E4070" t="s">
        <v>3752</v>
      </c>
    </row>
    <row r="4071" spans="5:5" x14ac:dyDescent="0.25">
      <c r="E4071" t="s">
        <v>3753</v>
      </c>
    </row>
    <row r="4072" spans="5:5" x14ac:dyDescent="0.25">
      <c r="E4072" t="s">
        <v>3754</v>
      </c>
    </row>
    <row r="4073" spans="5:5" x14ac:dyDescent="0.25">
      <c r="E4073" t="s">
        <v>3755</v>
      </c>
    </row>
    <row r="4074" spans="5:5" x14ac:dyDescent="0.25">
      <c r="E4074" t="s">
        <v>3756</v>
      </c>
    </row>
    <row r="4075" spans="5:5" x14ac:dyDescent="0.25">
      <c r="E4075" t="s">
        <v>3757</v>
      </c>
    </row>
    <row r="4076" spans="5:5" x14ac:dyDescent="0.25">
      <c r="E4076" t="s">
        <v>3758</v>
      </c>
    </row>
    <row r="4077" spans="5:5" x14ac:dyDescent="0.25">
      <c r="E4077" t="s">
        <v>3759</v>
      </c>
    </row>
    <row r="4078" spans="5:5" x14ac:dyDescent="0.25">
      <c r="E4078" t="s">
        <v>3760</v>
      </c>
    </row>
    <row r="4079" spans="5:5" x14ac:dyDescent="0.25">
      <c r="E4079" t="s">
        <v>3761</v>
      </c>
    </row>
    <row r="4080" spans="5:5" x14ac:dyDescent="0.25">
      <c r="E4080" t="s">
        <v>3762</v>
      </c>
    </row>
    <row r="4081" spans="5:5" x14ac:dyDescent="0.25">
      <c r="E4081" t="s">
        <v>3763</v>
      </c>
    </row>
    <row r="4082" spans="5:5" x14ac:dyDescent="0.25">
      <c r="E4082" t="s">
        <v>3764</v>
      </c>
    </row>
    <row r="4083" spans="5:5" x14ac:dyDescent="0.25">
      <c r="E4083" t="s">
        <v>3765</v>
      </c>
    </row>
    <row r="4084" spans="5:5" x14ac:dyDescent="0.25">
      <c r="E4084" t="s">
        <v>3766</v>
      </c>
    </row>
    <row r="4085" spans="5:5" x14ac:dyDescent="0.25">
      <c r="E4085" t="s">
        <v>3767</v>
      </c>
    </row>
    <row r="4086" spans="5:5" x14ac:dyDescent="0.25">
      <c r="E4086" t="s">
        <v>3768</v>
      </c>
    </row>
    <row r="4087" spans="5:5" x14ac:dyDescent="0.25">
      <c r="E4087" t="s">
        <v>3769</v>
      </c>
    </row>
    <row r="4088" spans="5:5" x14ac:dyDescent="0.25">
      <c r="E4088" t="s">
        <v>3770</v>
      </c>
    </row>
    <row r="4089" spans="5:5" x14ac:dyDescent="0.25">
      <c r="E4089" t="s">
        <v>3771</v>
      </c>
    </row>
    <row r="4090" spans="5:5" x14ac:dyDescent="0.25">
      <c r="E4090" t="s">
        <v>3772</v>
      </c>
    </row>
    <row r="4091" spans="5:5" x14ac:dyDescent="0.25">
      <c r="E4091" t="s">
        <v>3773</v>
      </c>
    </row>
    <row r="4092" spans="5:5" x14ac:dyDescent="0.25">
      <c r="E4092" t="s">
        <v>3774</v>
      </c>
    </row>
    <row r="4093" spans="5:5" x14ac:dyDescent="0.25">
      <c r="E4093" t="s">
        <v>3775</v>
      </c>
    </row>
    <row r="4094" spans="5:5" x14ac:dyDescent="0.25">
      <c r="E4094" t="s">
        <v>3776</v>
      </c>
    </row>
    <row r="4095" spans="5:5" x14ac:dyDescent="0.25">
      <c r="E4095" t="s">
        <v>3777</v>
      </c>
    </row>
    <row r="4096" spans="5:5" x14ac:dyDescent="0.25">
      <c r="E4096" t="s">
        <v>3778</v>
      </c>
    </row>
    <row r="4097" spans="5:5" x14ac:dyDescent="0.25">
      <c r="E4097" t="s">
        <v>3779</v>
      </c>
    </row>
    <row r="4098" spans="5:5" x14ac:dyDescent="0.25">
      <c r="E4098" t="s">
        <v>3780</v>
      </c>
    </row>
    <row r="4099" spans="5:5" x14ac:dyDescent="0.25">
      <c r="E4099" t="s">
        <v>3781</v>
      </c>
    </row>
    <row r="4100" spans="5:5" x14ac:dyDescent="0.25">
      <c r="E4100" t="s">
        <v>3782</v>
      </c>
    </row>
    <row r="4101" spans="5:5" x14ac:dyDescent="0.25">
      <c r="E4101" t="s">
        <v>3783</v>
      </c>
    </row>
    <row r="4102" spans="5:5" x14ac:dyDescent="0.25">
      <c r="E4102" t="s">
        <v>3784</v>
      </c>
    </row>
    <row r="4103" spans="5:5" x14ac:dyDescent="0.25">
      <c r="E4103" t="s">
        <v>3785</v>
      </c>
    </row>
    <row r="4104" spans="5:5" x14ac:dyDescent="0.25">
      <c r="E4104" t="s">
        <v>3786</v>
      </c>
    </row>
    <row r="4105" spans="5:5" x14ac:dyDescent="0.25">
      <c r="E4105" t="s">
        <v>3787</v>
      </c>
    </row>
    <row r="4106" spans="5:5" x14ac:dyDescent="0.25">
      <c r="E4106" t="s">
        <v>3788</v>
      </c>
    </row>
    <row r="4107" spans="5:5" x14ac:dyDescent="0.25">
      <c r="E4107" t="s">
        <v>3789</v>
      </c>
    </row>
    <row r="4108" spans="5:5" x14ac:dyDescent="0.25">
      <c r="E4108" t="s">
        <v>3790</v>
      </c>
    </row>
    <row r="4109" spans="5:5" x14ac:dyDescent="0.25">
      <c r="E4109" t="s">
        <v>3791</v>
      </c>
    </row>
    <row r="4110" spans="5:5" x14ac:dyDescent="0.25">
      <c r="E4110" t="s">
        <v>3792</v>
      </c>
    </row>
    <row r="4111" spans="5:5" x14ac:dyDescent="0.25">
      <c r="E4111" t="s">
        <v>3793</v>
      </c>
    </row>
    <row r="4112" spans="5:5" x14ac:dyDescent="0.25">
      <c r="E4112" t="s">
        <v>3794</v>
      </c>
    </row>
    <row r="4113" spans="5:5" x14ac:dyDescent="0.25">
      <c r="E4113" t="s">
        <v>3795</v>
      </c>
    </row>
    <row r="4114" spans="5:5" x14ac:dyDescent="0.25">
      <c r="E4114" t="s">
        <v>3796</v>
      </c>
    </row>
    <row r="4115" spans="5:5" x14ac:dyDescent="0.25">
      <c r="E4115" t="s">
        <v>3797</v>
      </c>
    </row>
    <row r="4116" spans="5:5" x14ac:dyDescent="0.25">
      <c r="E4116" t="s">
        <v>3798</v>
      </c>
    </row>
    <row r="4117" spans="5:5" x14ac:dyDescent="0.25">
      <c r="E4117" t="s">
        <v>3799</v>
      </c>
    </row>
    <row r="4118" spans="5:5" x14ac:dyDescent="0.25">
      <c r="E4118" t="s">
        <v>3800</v>
      </c>
    </row>
    <row r="4119" spans="5:5" x14ac:dyDescent="0.25">
      <c r="E4119" t="s">
        <v>3801</v>
      </c>
    </row>
    <row r="4120" spans="5:5" x14ac:dyDescent="0.25">
      <c r="E4120" t="s">
        <v>3802</v>
      </c>
    </row>
    <row r="4121" spans="5:5" x14ac:dyDescent="0.25">
      <c r="E4121" t="s">
        <v>3803</v>
      </c>
    </row>
    <row r="4122" spans="5:5" x14ac:dyDescent="0.25">
      <c r="E4122" t="s">
        <v>3804</v>
      </c>
    </row>
    <row r="4123" spans="5:5" x14ac:dyDescent="0.25">
      <c r="E4123" t="s">
        <v>3805</v>
      </c>
    </row>
    <row r="4124" spans="5:5" x14ac:dyDescent="0.25">
      <c r="E4124" t="s">
        <v>3806</v>
      </c>
    </row>
    <row r="4125" spans="5:5" x14ac:dyDescent="0.25">
      <c r="E4125" t="s">
        <v>3807</v>
      </c>
    </row>
    <row r="4126" spans="5:5" x14ac:dyDescent="0.25">
      <c r="E4126" t="s">
        <v>3808</v>
      </c>
    </row>
    <row r="4127" spans="5:5" x14ac:dyDescent="0.25">
      <c r="E4127" t="s">
        <v>3809</v>
      </c>
    </row>
    <row r="4128" spans="5:5" x14ac:dyDescent="0.25">
      <c r="E4128" t="s">
        <v>3810</v>
      </c>
    </row>
    <row r="4129" spans="5:5" x14ac:dyDescent="0.25">
      <c r="E4129" t="s">
        <v>3811</v>
      </c>
    </row>
    <row r="4130" spans="5:5" x14ac:dyDescent="0.25">
      <c r="E4130" t="s">
        <v>3812</v>
      </c>
    </row>
    <row r="4131" spans="5:5" x14ac:dyDescent="0.25">
      <c r="E4131" t="s">
        <v>3813</v>
      </c>
    </row>
    <row r="4132" spans="5:5" x14ac:dyDescent="0.25">
      <c r="E4132" t="s">
        <v>3814</v>
      </c>
    </row>
    <row r="4133" spans="5:5" x14ac:dyDescent="0.25">
      <c r="E4133" t="s">
        <v>3815</v>
      </c>
    </row>
    <row r="4134" spans="5:5" x14ac:dyDescent="0.25">
      <c r="E4134" t="s">
        <v>3816</v>
      </c>
    </row>
    <row r="4135" spans="5:5" x14ac:dyDescent="0.25">
      <c r="E4135" t="s">
        <v>3817</v>
      </c>
    </row>
    <row r="4136" spans="5:5" x14ac:dyDescent="0.25">
      <c r="E4136" t="s">
        <v>3818</v>
      </c>
    </row>
    <row r="4137" spans="5:5" x14ac:dyDescent="0.25">
      <c r="E4137" t="s">
        <v>3819</v>
      </c>
    </row>
    <row r="4138" spans="5:5" x14ac:dyDescent="0.25">
      <c r="E4138" t="s">
        <v>3820</v>
      </c>
    </row>
    <row r="4139" spans="5:5" x14ac:dyDescent="0.25">
      <c r="E4139" t="s">
        <v>3821</v>
      </c>
    </row>
    <row r="4140" spans="5:5" x14ac:dyDescent="0.25">
      <c r="E4140" t="s">
        <v>3822</v>
      </c>
    </row>
    <row r="4141" spans="5:5" x14ac:dyDescent="0.25">
      <c r="E4141" t="s">
        <v>3823</v>
      </c>
    </row>
    <row r="4142" spans="5:5" x14ac:dyDescent="0.25">
      <c r="E4142" t="s">
        <v>3824</v>
      </c>
    </row>
    <row r="4143" spans="5:5" x14ac:dyDescent="0.25">
      <c r="E4143" t="s">
        <v>3825</v>
      </c>
    </row>
    <row r="4144" spans="5:5" x14ac:dyDescent="0.25">
      <c r="E4144" t="s">
        <v>3826</v>
      </c>
    </row>
    <row r="4145" spans="5:5" x14ac:dyDescent="0.25">
      <c r="E4145" t="s">
        <v>3827</v>
      </c>
    </row>
    <row r="4146" spans="5:5" x14ac:dyDescent="0.25">
      <c r="E4146" t="s">
        <v>3828</v>
      </c>
    </row>
    <row r="4147" spans="5:5" x14ac:dyDescent="0.25">
      <c r="E4147" t="s">
        <v>3829</v>
      </c>
    </row>
    <row r="4148" spans="5:5" x14ac:dyDescent="0.25">
      <c r="E4148" t="s">
        <v>3830</v>
      </c>
    </row>
    <row r="4149" spans="5:5" x14ac:dyDescent="0.25">
      <c r="E4149" t="s">
        <v>3831</v>
      </c>
    </row>
    <row r="4150" spans="5:5" x14ac:dyDescent="0.25">
      <c r="E4150" t="s">
        <v>3832</v>
      </c>
    </row>
    <row r="4151" spans="5:5" x14ac:dyDescent="0.25">
      <c r="E4151" t="s">
        <v>3833</v>
      </c>
    </row>
    <row r="4153" spans="5:5" x14ac:dyDescent="0.25">
      <c r="E4153" t="s">
        <v>3834</v>
      </c>
    </row>
    <row r="4154" spans="5:5" x14ac:dyDescent="0.25">
      <c r="E4154" t="s">
        <v>3835</v>
      </c>
    </row>
    <row r="4155" spans="5:5" x14ac:dyDescent="0.25">
      <c r="E4155" t="s">
        <v>3836</v>
      </c>
    </row>
    <row r="4156" spans="5:5" x14ac:dyDescent="0.25">
      <c r="E4156" t="s">
        <v>3837</v>
      </c>
    </row>
    <row r="4157" spans="5:5" x14ac:dyDescent="0.25">
      <c r="E4157" t="s">
        <v>3838</v>
      </c>
    </row>
    <row r="4158" spans="5:5" x14ac:dyDescent="0.25">
      <c r="E4158" t="s">
        <v>3839</v>
      </c>
    </row>
    <row r="4159" spans="5:5" x14ac:dyDescent="0.25">
      <c r="E4159" t="s">
        <v>3840</v>
      </c>
    </row>
    <row r="4160" spans="5:5" x14ac:dyDescent="0.25">
      <c r="E4160" t="s">
        <v>3841</v>
      </c>
    </row>
    <row r="4161" spans="5:5" x14ac:dyDescent="0.25">
      <c r="E4161" t="s">
        <v>3842</v>
      </c>
    </row>
    <row r="4162" spans="5:5" x14ac:dyDescent="0.25">
      <c r="E4162" t="s">
        <v>3843</v>
      </c>
    </row>
    <row r="4163" spans="5:5" x14ac:dyDescent="0.25">
      <c r="E4163" t="s">
        <v>3844</v>
      </c>
    </row>
    <row r="4164" spans="5:5" x14ac:dyDescent="0.25">
      <c r="E4164" t="s">
        <v>3845</v>
      </c>
    </row>
    <row r="4165" spans="5:5" x14ac:dyDescent="0.25">
      <c r="E4165" t="s">
        <v>3846</v>
      </c>
    </row>
    <row r="4166" spans="5:5" x14ac:dyDescent="0.25">
      <c r="E4166" t="s">
        <v>3847</v>
      </c>
    </row>
    <row r="4167" spans="5:5" x14ac:dyDescent="0.25">
      <c r="E4167" t="s">
        <v>3848</v>
      </c>
    </row>
    <row r="4168" spans="5:5" x14ac:dyDescent="0.25">
      <c r="E4168" t="s">
        <v>3849</v>
      </c>
    </row>
    <row r="4169" spans="5:5" x14ac:dyDescent="0.25">
      <c r="E4169" t="s">
        <v>3850</v>
      </c>
    </row>
    <row r="4170" spans="5:5" x14ac:dyDescent="0.25">
      <c r="E4170" t="s">
        <v>3851</v>
      </c>
    </row>
    <row r="4171" spans="5:5" x14ac:dyDescent="0.25">
      <c r="E4171" t="s">
        <v>3852</v>
      </c>
    </row>
    <row r="4172" spans="5:5" x14ac:dyDescent="0.25">
      <c r="E4172" t="s">
        <v>3853</v>
      </c>
    </row>
    <row r="4173" spans="5:5" x14ac:dyDescent="0.25">
      <c r="E4173" t="s">
        <v>3854</v>
      </c>
    </row>
    <row r="4174" spans="5:5" x14ac:dyDescent="0.25">
      <c r="E4174" t="s">
        <v>3855</v>
      </c>
    </row>
    <row r="4175" spans="5:5" x14ac:dyDescent="0.25">
      <c r="E4175" t="s">
        <v>3856</v>
      </c>
    </row>
    <row r="4176" spans="5:5" x14ac:dyDescent="0.25">
      <c r="E4176" t="s">
        <v>3857</v>
      </c>
    </row>
    <row r="4177" spans="5:5" x14ac:dyDescent="0.25">
      <c r="E4177" t="s">
        <v>3858</v>
      </c>
    </row>
    <row r="4178" spans="5:5" x14ac:dyDescent="0.25">
      <c r="E4178" t="s">
        <v>3859</v>
      </c>
    </row>
    <row r="4179" spans="5:5" x14ac:dyDescent="0.25">
      <c r="E4179" t="s">
        <v>3860</v>
      </c>
    </row>
    <row r="4180" spans="5:5" x14ac:dyDescent="0.25">
      <c r="E4180" t="s">
        <v>3861</v>
      </c>
    </row>
    <row r="4181" spans="5:5" x14ac:dyDescent="0.25">
      <c r="E4181" t="s">
        <v>3862</v>
      </c>
    </row>
    <row r="4182" spans="5:5" x14ac:dyDescent="0.25">
      <c r="E4182" t="s">
        <v>3863</v>
      </c>
    </row>
    <row r="4183" spans="5:5" x14ac:dyDescent="0.25">
      <c r="E4183" t="s">
        <v>3864</v>
      </c>
    </row>
    <row r="4184" spans="5:5" x14ac:dyDescent="0.25">
      <c r="E4184" t="s">
        <v>3865</v>
      </c>
    </row>
    <row r="4185" spans="5:5" x14ac:dyDescent="0.25">
      <c r="E4185" t="s">
        <v>3866</v>
      </c>
    </row>
    <row r="4186" spans="5:5" x14ac:dyDescent="0.25">
      <c r="E4186" t="s">
        <v>3867</v>
      </c>
    </row>
    <row r="4187" spans="5:5" x14ac:dyDescent="0.25">
      <c r="E4187" t="s">
        <v>3868</v>
      </c>
    </row>
    <row r="4188" spans="5:5" x14ac:dyDescent="0.25">
      <c r="E4188" t="s">
        <v>3869</v>
      </c>
    </row>
    <row r="4190" spans="5:5" x14ac:dyDescent="0.25">
      <c r="E4190" t="s">
        <v>3870</v>
      </c>
    </row>
    <row r="4191" spans="5:5" x14ac:dyDescent="0.25">
      <c r="E4191" t="s">
        <v>3871</v>
      </c>
    </row>
    <row r="4192" spans="5:5" x14ac:dyDescent="0.25">
      <c r="E4192" t="s">
        <v>3872</v>
      </c>
    </row>
    <row r="4193" spans="5:5" x14ac:dyDescent="0.25">
      <c r="E4193" t="s">
        <v>3873</v>
      </c>
    </row>
    <row r="4194" spans="5:5" x14ac:dyDescent="0.25">
      <c r="E4194" t="s">
        <v>3874</v>
      </c>
    </row>
    <row r="4195" spans="5:5" x14ac:dyDescent="0.25">
      <c r="E4195" t="s">
        <v>3875</v>
      </c>
    </row>
    <row r="4196" spans="5:5" x14ac:dyDescent="0.25">
      <c r="E4196" t="s">
        <v>3876</v>
      </c>
    </row>
    <row r="4197" spans="5:5" x14ac:dyDescent="0.25">
      <c r="E4197" t="s">
        <v>3877</v>
      </c>
    </row>
    <row r="4198" spans="5:5" x14ac:dyDescent="0.25">
      <c r="E4198" t="s">
        <v>3878</v>
      </c>
    </row>
    <row r="4199" spans="5:5" x14ac:dyDescent="0.25">
      <c r="E4199" t="s">
        <v>3879</v>
      </c>
    </row>
    <row r="4200" spans="5:5" x14ac:dyDescent="0.25">
      <c r="E4200" t="s">
        <v>3880</v>
      </c>
    </row>
    <row r="4201" spans="5:5" x14ac:dyDescent="0.25">
      <c r="E4201" t="s">
        <v>3881</v>
      </c>
    </row>
    <row r="4202" spans="5:5" x14ac:dyDescent="0.25">
      <c r="E4202" t="s">
        <v>3882</v>
      </c>
    </row>
    <row r="4203" spans="5:5" x14ac:dyDescent="0.25">
      <c r="E4203" t="s">
        <v>3883</v>
      </c>
    </row>
    <row r="4204" spans="5:5" x14ac:dyDescent="0.25">
      <c r="E4204" t="s">
        <v>3884</v>
      </c>
    </row>
    <row r="4205" spans="5:5" x14ac:dyDescent="0.25">
      <c r="E4205" t="s">
        <v>3885</v>
      </c>
    </row>
    <row r="4206" spans="5:5" x14ac:dyDescent="0.25">
      <c r="E4206" t="s">
        <v>3886</v>
      </c>
    </row>
    <row r="4207" spans="5:5" x14ac:dyDescent="0.25">
      <c r="E4207" t="s">
        <v>3887</v>
      </c>
    </row>
    <row r="4208" spans="5:5" x14ac:dyDescent="0.25">
      <c r="E4208" t="s">
        <v>3888</v>
      </c>
    </row>
    <row r="4209" spans="5:5" x14ac:dyDescent="0.25">
      <c r="E4209" t="s">
        <v>3889</v>
      </c>
    </row>
    <row r="4210" spans="5:5" x14ac:dyDescent="0.25">
      <c r="E4210" t="s">
        <v>3890</v>
      </c>
    </row>
    <row r="4211" spans="5:5" x14ac:dyDescent="0.25">
      <c r="E4211" t="s">
        <v>3891</v>
      </c>
    </row>
    <row r="4212" spans="5:5" x14ac:dyDescent="0.25">
      <c r="E4212" t="s">
        <v>3892</v>
      </c>
    </row>
    <row r="4213" spans="5:5" x14ac:dyDescent="0.25">
      <c r="E4213" t="s">
        <v>3893</v>
      </c>
    </row>
    <row r="4214" spans="5:5" x14ac:dyDescent="0.25">
      <c r="E4214" t="s">
        <v>3894</v>
      </c>
    </row>
    <row r="4215" spans="5:5" x14ac:dyDescent="0.25">
      <c r="E4215" t="s">
        <v>3895</v>
      </c>
    </row>
    <row r="4217" spans="5:5" x14ac:dyDescent="0.25">
      <c r="E4217" t="s">
        <v>3896</v>
      </c>
    </row>
    <row r="4218" spans="5:5" x14ac:dyDescent="0.25">
      <c r="E4218" t="s">
        <v>3897</v>
      </c>
    </row>
    <row r="4219" spans="5:5" x14ac:dyDescent="0.25">
      <c r="E4219" t="s">
        <v>3898</v>
      </c>
    </row>
    <row r="4220" spans="5:5" x14ac:dyDescent="0.25">
      <c r="E4220" t="s">
        <v>3899</v>
      </c>
    </row>
    <row r="4221" spans="5:5" x14ac:dyDescent="0.25">
      <c r="E4221" t="s">
        <v>3900</v>
      </c>
    </row>
    <row r="4222" spans="5:5" x14ac:dyDescent="0.25">
      <c r="E4222" t="s">
        <v>3901</v>
      </c>
    </row>
    <row r="4223" spans="5:5" x14ac:dyDescent="0.25">
      <c r="E4223" t="s">
        <v>3902</v>
      </c>
    </row>
    <row r="4224" spans="5:5" x14ac:dyDescent="0.25">
      <c r="E4224" t="s">
        <v>3903</v>
      </c>
    </row>
    <row r="4225" spans="5:5" x14ac:dyDescent="0.25">
      <c r="E4225" t="s">
        <v>3904</v>
      </c>
    </row>
    <row r="4226" spans="5:5" x14ac:dyDescent="0.25">
      <c r="E4226" t="s">
        <v>3905</v>
      </c>
    </row>
    <row r="4227" spans="5:5" x14ac:dyDescent="0.25">
      <c r="E4227" t="s">
        <v>3906</v>
      </c>
    </row>
    <row r="4228" spans="5:5" x14ac:dyDescent="0.25">
      <c r="E4228" t="s">
        <v>3907</v>
      </c>
    </row>
    <row r="4229" spans="5:5" x14ac:dyDescent="0.25">
      <c r="E4229" t="s">
        <v>3908</v>
      </c>
    </row>
    <row r="4230" spans="5:5" x14ac:dyDescent="0.25">
      <c r="E4230" t="s">
        <v>3909</v>
      </c>
    </row>
    <row r="4231" spans="5:5" x14ac:dyDescent="0.25">
      <c r="E4231" t="s">
        <v>3910</v>
      </c>
    </row>
    <row r="4232" spans="5:5" x14ac:dyDescent="0.25">
      <c r="E4232" t="s">
        <v>3911</v>
      </c>
    </row>
    <row r="4233" spans="5:5" x14ac:dyDescent="0.25">
      <c r="E4233" t="s">
        <v>3912</v>
      </c>
    </row>
    <row r="4234" spans="5:5" x14ac:dyDescent="0.25">
      <c r="E4234" t="s">
        <v>3913</v>
      </c>
    </row>
    <row r="4235" spans="5:5" x14ac:dyDescent="0.25">
      <c r="E4235" t="s">
        <v>3914</v>
      </c>
    </row>
    <row r="4236" spans="5:5" x14ac:dyDescent="0.25">
      <c r="E4236" t="s">
        <v>3915</v>
      </c>
    </row>
    <row r="4237" spans="5:5" x14ac:dyDescent="0.25">
      <c r="E4237" t="s">
        <v>3916</v>
      </c>
    </row>
    <row r="4238" spans="5:5" x14ac:dyDescent="0.25">
      <c r="E4238" t="s">
        <v>3917</v>
      </c>
    </row>
    <row r="4239" spans="5:5" x14ac:dyDescent="0.25">
      <c r="E4239" t="s">
        <v>3918</v>
      </c>
    </row>
    <row r="4240" spans="5:5" x14ac:dyDescent="0.25">
      <c r="E4240" t="s">
        <v>3919</v>
      </c>
    </row>
    <row r="4241" spans="5:5" x14ac:dyDescent="0.25">
      <c r="E4241" t="s">
        <v>3920</v>
      </c>
    </row>
    <row r="4242" spans="5:5" x14ac:dyDescent="0.25">
      <c r="E4242" t="s">
        <v>3921</v>
      </c>
    </row>
    <row r="4243" spans="5:5" x14ac:dyDescent="0.25">
      <c r="E4243" t="s">
        <v>3922</v>
      </c>
    </row>
    <row r="4244" spans="5:5" x14ac:dyDescent="0.25">
      <c r="E4244" t="s">
        <v>3923</v>
      </c>
    </row>
    <row r="4245" spans="5:5" x14ac:dyDescent="0.25">
      <c r="E4245" t="s">
        <v>3924</v>
      </c>
    </row>
    <row r="4246" spans="5:5" x14ac:dyDescent="0.25">
      <c r="E4246" t="s">
        <v>3925</v>
      </c>
    </row>
    <row r="4247" spans="5:5" x14ac:dyDescent="0.25">
      <c r="E4247" t="s">
        <v>3926</v>
      </c>
    </row>
    <row r="4248" spans="5:5" x14ac:dyDescent="0.25">
      <c r="E4248" t="s">
        <v>3927</v>
      </c>
    </row>
    <row r="4249" spans="5:5" x14ac:dyDescent="0.25">
      <c r="E4249" t="s">
        <v>3928</v>
      </c>
    </row>
    <row r="4250" spans="5:5" x14ac:dyDescent="0.25">
      <c r="E4250" t="s">
        <v>3929</v>
      </c>
    </row>
    <row r="4251" spans="5:5" x14ac:dyDescent="0.25">
      <c r="E4251" t="s">
        <v>3930</v>
      </c>
    </row>
    <row r="4252" spans="5:5" x14ac:dyDescent="0.25">
      <c r="E4252" t="s">
        <v>3931</v>
      </c>
    </row>
    <row r="4253" spans="5:5" x14ac:dyDescent="0.25">
      <c r="E4253" t="s">
        <v>3932</v>
      </c>
    </row>
    <row r="4254" spans="5:5" x14ac:dyDescent="0.25">
      <c r="E4254" t="s">
        <v>3933</v>
      </c>
    </row>
    <row r="4255" spans="5:5" x14ac:dyDescent="0.25">
      <c r="E4255" t="s">
        <v>3934</v>
      </c>
    </row>
    <row r="4256" spans="5:5" x14ac:dyDescent="0.25">
      <c r="E4256" t="s">
        <v>3935</v>
      </c>
    </row>
    <row r="4257" spans="5:5" x14ac:dyDescent="0.25">
      <c r="E4257" t="s">
        <v>3936</v>
      </c>
    </row>
    <row r="4258" spans="5:5" x14ac:dyDescent="0.25">
      <c r="E4258" t="s">
        <v>3937</v>
      </c>
    </row>
    <row r="4259" spans="5:5" x14ac:dyDescent="0.25">
      <c r="E4259" t="s">
        <v>3938</v>
      </c>
    </row>
    <row r="4260" spans="5:5" x14ac:dyDescent="0.25">
      <c r="E4260" t="s">
        <v>3939</v>
      </c>
    </row>
    <row r="4261" spans="5:5" x14ac:dyDescent="0.25">
      <c r="E4261" t="s">
        <v>3940</v>
      </c>
    </row>
    <row r="4262" spans="5:5" x14ac:dyDescent="0.25">
      <c r="E4262" t="s">
        <v>3941</v>
      </c>
    </row>
    <row r="4263" spans="5:5" x14ac:dyDescent="0.25">
      <c r="E4263" t="s">
        <v>3942</v>
      </c>
    </row>
    <row r="4264" spans="5:5" x14ac:dyDescent="0.25">
      <c r="E4264" t="s">
        <v>3943</v>
      </c>
    </row>
    <row r="4265" spans="5:5" x14ac:dyDescent="0.25">
      <c r="E4265" t="s">
        <v>3944</v>
      </c>
    </row>
    <row r="4266" spans="5:5" x14ac:dyDescent="0.25">
      <c r="E4266" t="s">
        <v>3945</v>
      </c>
    </row>
    <row r="4267" spans="5:5" x14ac:dyDescent="0.25">
      <c r="E4267" t="s">
        <v>3946</v>
      </c>
    </row>
    <row r="4268" spans="5:5" x14ac:dyDescent="0.25">
      <c r="E4268" t="s">
        <v>3947</v>
      </c>
    </row>
    <row r="4269" spans="5:5" x14ac:dyDescent="0.25">
      <c r="E4269" t="s">
        <v>3948</v>
      </c>
    </row>
    <row r="4270" spans="5:5" x14ac:dyDescent="0.25">
      <c r="E4270" t="s">
        <v>3949</v>
      </c>
    </row>
    <row r="4271" spans="5:5" x14ac:dyDescent="0.25">
      <c r="E4271" t="s">
        <v>3950</v>
      </c>
    </row>
    <row r="4272" spans="5:5" x14ac:dyDescent="0.25">
      <c r="E4272" t="s">
        <v>3951</v>
      </c>
    </row>
    <row r="4273" spans="5:5" x14ac:dyDescent="0.25">
      <c r="E4273" t="s">
        <v>3952</v>
      </c>
    </row>
    <row r="4274" spans="5:5" x14ac:dyDescent="0.25">
      <c r="E4274" t="s">
        <v>3953</v>
      </c>
    </row>
    <row r="4275" spans="5:5" x14ac:dyDescent="0.25">
      <c r="E4275" t="s">
        <v>3954</v>
      </c>
    </row>
    <row r="4276" spans="5:5" x14ac:dyDescent="0.25">
      <c r="E4276" t="s">
        <v>3955</v>
      </c>
    </row>
    <row r="4277" spans="5:5" x14ac:dyDescent="0.25">
      <c r="E4277" t="s">
        <v>3956</v>
      </c>
    </row>
    <row r="4278" spans="5:5" x14ac:dyDescent="0.25">
      <c r="E4278" t="s">
        <v>3957</v>
      </c>
    </row>
    <row r="4279" spans="5:5" x14ac:dyDescent="0.25">
      <c r="E4279" t="s">
        <v>3958</v>
      </c>
    </row>
    <row r="4280" spans="5:5" x14ac:dyDescent="0.25">
      <c r="E4280" t="s">
        <v>3959</v>
      </c>
    </row>
    <row r="4281" spans="5:5" x14ac:dyDescent="0.25">
      <c r="E4281" t="s">
        <v>3960</v>
      </c>
    </row>
    <row r="4282" spans="5:5" x14ac:dyDescent="0.25">
      <c r="E4282" t="s">
        <v>3961</v>
      </c>
    </row>
    <row r="4283" spans="5:5" x14ac:dyDescent="0.25">
      <c r="E4283" t="s">
        <v>3962</v>
      </c>
    </row>
    <row r="4284" spans="5:5" x14ac:dyDescent="0.25">
      <c r="E4284" t="s">
        <v>3963</v>
      </c>
    </row>
    <row r="4285" spans="5:5" x14ac:dyDescent="0.25">
      <c r="E4285" t="s">
        <v>3964</v>
      </c>
    </row>
    <row r="4286" spans="5:5" x14ac:dyDescent="0.25">
      <c r="E4286" t="s">
        <v>3965</v>
      </c>
    </row>
    <row r="4287" spans="5:5" x14ac:dyDescent="0.25">
      <c r="E4287" t="s">
        <v>3966</v>
      </c>
    </row>
    <row r="4288" spans="5:5" x14ac:dyDescent="0.25">
      <c r="E4288" t="s">
        <v>3967</v>
      </c>
    </row>
    <row r="4289" spans="5:5" x14ac:dyDescent="0.25">
      <c r="E4289" t="s">
        <v>3968</v>
      </c>
    </row>
    <row r="4290" spans="5:5" x14ac:dyDescent="0.25">
      <c r="E4290" t="s">
        <v>3969</v>
      </c>
    </row>
    <row r="4291" spans="5:5" x14ac:dyDescent="0.25">
      <c r="E4291" t="s">
        <v>3970</v>
      </c>
    </row>
    <row r="4292" spans="5:5" x14ac:dyDescent="0.25">
      <c r="E4292" t="s">
        <v>3971</v>
      </c>
    </row>
    <row r="4293" spans="5:5" x14ac:dyDescent="0.25">
      <c r="E4293" t="s">
        <v>3972</v>
      </c>
    </row>
    <row r="4296" spans="5:5" x14ac:dyDescent="0.25">
      <c r="E4296" t="s">
        <v>3973</v>
      </c>
    </row>
    <row r="4297" spans="5:5" x14ac:dyDescent="0.25">
      <c r="E4297" t="s">
        <v>3974</v>
      </c>
    </row>
    <row r="4298" spans="5:5" x14ac:dyDescent="0.25">
      <c r="E4298" t="s">
        <v>3975</v>
      </c>
    </row>
    <row r="4299" spans="5:5" x14ac:dyDescent="0.25">
      <c r="E4299" t="s">
        <v>3976</v>
      </c>
    </row>
    <row r="4300" spans="5:5" x14ac:dyDescent="0.25">
      <c r="E4300" t="s">
        <v>3977</v>
      </c>
    </row>
    <row r="4301" spans="5:5" x14ac:dyDescent="0.25">
      <c r="E4301" t="s">
        <v>3978</v>
      </c>
    </row>
    <row r="4302" spans="5:5" x14ac:dyDescent="0.25">
      <c r="E4302" t="s">
        <v>3979</v>
      </c>
    </row>
    <row r="4303" spans="5:5" x14ac:dyDescent="0.25">
      <c r="E4303" t="s">
        <v>3980</v>
      </c>
    </row>
    <row r="4304" spans="5:5" x14ac:dyDescent="0.25">
      <c r="E4304" t="s">
        <v>3981</v>
      </c>
    </row>
    <row r="4305" spans="5:5" x14ac:dyDescent="0.25">
      <c r="E4305" t="s">
        <v>3982</v>
      </c>
    </row>
    <row r="4306" spans="5:5" x14ac:dyDescent="0.25">
      <c r="E4306" t="s">
        <v>3983</v>
      </c>
    </row>
    <row r="4307" spans="5:5" x14ac:dyDescent="0.25">
      <c r="E4307" t="s">
        <v>3984</v>
      </c>
    </row>
    <row r="4308" spans="5:5" x14ac:dyDescent="0.25">
      <c r="E4308" t="s">
        <v>3985</v>
      </c>
    </row>
    <row r="4309" spans="5:5" x14ac:dyDescent="0.25">
      <c r="E4309" t="s">
        <v>3986</v>
      </c>
    </row>
    <row r="4310" spans="5:5" x14ac:dyDescent="0.25">
      <c r="E4310" t="s">
        <v>3987</v>
      </c>
    </row>
    <row r="4311" spans="5:5" x14ac:dyDescent="0.25">
      <c r="E4311" t="s">
        <v>3988</v>
      </c>
    </row>
    <row r="4312" spans="5:5" x14ac:dyDescent="0.25">
      <c r="E4312" t="s">
        <v>3989</v>
      </c>
    </row>
    <row r="4313" spans="5:5" x14ac:dyDescent="0.25">
      <c r="E4313" t="s">
        <v>3990</v>
      </c>
    </row>
    <row r="4314" spans="5:5" x14ac:dyDescent="0.25">
      <c r="E4314" t="s">
        <v>3991</v>
      </c>
    </row>
    <row r="4315" spans="5:5" x14ac:dyDescent="0.25">
      <c r="E4315" t="s">
        <v>3992</v>
      </c>
    </row>
    <row r="4316" spans="5:5" x14ac:dyDescent="0.25">
      <c r="E4316" t="s">
        <v>3993</v>
      </c>
    </row>
    <row r="4317" spans="5:5" x14ac:dyDescent="0.25">
      <c r="E4317" t="s">
        <v>3994</v>
      </c>
    </row>
    <row r="4318" spans="5:5" x14ac:dyDescent="0.25">
      <c r="E4318" t="s">
        <v>3995</v>
      </c>
    </row>
    <row r="4319" spans="5:5" x14ac:dyDescent="0.25">
      <c r="E4319" t="s">
        <v>3996</v>
      </c>
    </row>
    <row r="4320" spans="5:5" x14ac:dyDescent="0.25">
      <c r="E4320" t="s">
        <v>3997</v>
      </c>
    </row>
    <row r="4321" spans="5:5" x14ac:dyDescent="0.25">
      <c r="E4321" t="s">
        <v>3998</v>
      </c>
    </row>
    <row r="4322" spans="5:5" x14ac:dyDescent="0.25">
      <c r="E4322" t="s">
        <v>3999</v>
      </c>
    </row>
    <row r="4323" spans="5:5" x14ac:dyDescent="0.25">
      <c r="E4323" t="s">
        <v>4000</v>
      </c>
    </row>
    <row r="4324" spans="5:5" x14ac:dyDescent="0.25">
      <c r="E4324" t="s">
        <v>4001</v>
      </c>
    </row>
    <row r="4325" spans="5:5" x14ac:dyDescent="0.25">
      <c r="E4325" t="s">
        <v>4002</v>
      </c>
    </row>
    <row r="4326" spans="5:5" x14ac:dyDescent="0.25">
      <c r="E4326" t="s">
        <v>4003</v>
      </c>
    </row>
    <row r="4327" spans="5:5" x14ac:dyDescent="0.25">
      <c r="E4327" t="s">
        <v>4004</v>
      </c>
    </row>
    <row r="4328" spans="5:5" x14ac:dyDescent="0.25">
      <c r="E4328" t="s">
        <v>4005</v>
      </c>
    </row>
    <row r="4329" spans="5:5" x14ac:dyDescent="0.25">
      <c r="E4329" t="s">
        <v>4006</v>
      </c>
    </row>
    <row r="4330" spans="5:5" x14ac:dyDescent="0.25">
      <c r="E4330" t="s">
        <v>4007</v>
      </c>
    </row>
    <row r="4331" spans="5:5" x14ac:dyDescent="0.25">
      <c r="E4331" t="s">
        <v>4008</v>
      </c>
    </row>
    <row r="4332" spans="5:5" x14ac:dyDescent="0.25">
      <c r="E4332" t="s">
        <v>4009</v>
      </c>
    </row>
    <row r="4333" spans="5:5" x14ac:dyDescent="0.25">
      <c r="E4333" t="s">
        <v>4010</v>
      </c>
    </row>
    <row r="4334" spans="5:5" x14ac:dyDescent="0.25">
      <c r="E4334" t="s">
        <v>4011</v>
      </c>
    </row>
    <row r="4335" spans="5:5" x14ac:dyDescent="0.25">
      <c r="E4335" t="s">
        <v>4012</v>
      </c>
    </row>
    <row r="4336" spans="5:5" x14ac:dyDescent="0.25">
      <c r="E4336" t="s">
        <v>4013</v>
      </c>
    </row>
    <row r="4337" spans="5:5" x14ac:dyDescent="0.25">
      <c r="E4337" t="s">
        <v>4014</v>
      </c>
    </row>
    <row r="4338" spans="5:5" x14ac:dyDescent="0.25">
      <c r="E4338" t="s">
        <v>4015</v>
      </c>
    </row>
    <row r="4339" spans="5:5" x14ac:dyDescent="0.25">
      <c r="E4339" t="s">
        <v>4016</v>
      </c>
    </row>
    <row r="4340" spans="5:5" x14ac:dyDescent="0.25">
      <c r="E4340" t="s">
        <v>4017</v>
      </c>
    </row>
    <row r="4341" spans="5:5" x14ac:dyDescent="0.25">
      <c r="E4341" t="s">
        <v>4018</v>
      </c>
    </row>
    <row r="4342" spans="5:5" x14ac:dyDescent="0.25">
      <c r="E4342" t="s">
        <v>4019</v>
      </c>
    </row>
    <row r="4343" spans="5:5" x14ac:dyDescent="0.25">
      <c r="E4343" t="s">
        <v>4020</v>
      </c>
    </row>
    <row r="4344" spans="5:5" x14ac:dyDescent="0.25">
      <c r="E4344" t="s">
        <v>4021</v>
      </c>
    </row>
    <row r="4345" spans="5:5" x14ac:dyDescent="0.25">
      <c r="E4345" t="s">
        <v>4022</v>
      </c>
    </row>
    <row r="4346" spans="5:5" x14ac:dyDescent="0.25">
      <c r="E4346" t="s">
        <v>4023</v>
      </c>
    </row>
    <row r="4347" spans="5:5" x14ac:dyDescent="0.25">
      <c r="E4347" t="s">
        <v>4024</v>
      </c>
    </row>
    <row r="4348" spans="5:5" x14ac:dyDescent="0.25">
      <c r="E4348" t="s">
        <v>4025</v>
      </c>
    </row>
    <row r="4349" spans="5:5" x14ac:dyDescent="0.25">
      <c r="E4349" t="s">
        <v>4026</v>
      </c>
    </row>
    <row r="4350" spans="5:5" x14ac:dyDescent="0.25">
      <c r="E4350" t="s">
        <v>4027</v>
      </c>
    </row>
    <row r="4351" spans="5:5" x14ac:dyDescent="0.25">
      <c r="E4351" t="s">
        <v>4028</v>
      </c>
    </row>
    <row r="4352" spans="5:5" x14ac:dyDescent="0.25">
      <c r="E4352" t="s">
        <v>4029</v>
      </c>
    </row>
    <row r="4353" spans="5:5" x14ac:dyDescent="0.25">
      <c r="E4353" t="s">
        <v>4030</v>
      </c>
    </row>
    <row r="4354" spans="5:5" x14ac:dyDescent="0.25">
      <c r="E4354" t="s">
        <v>4031</v>
      </c>
    </row>
    <row r="4355" spans="5:5" x14ac:dyDescent="0.25">
      <c r="E4355" t="s">
        <v>4032</v>
      </c>
    </row>
    <row r="4356" spans="5:5" x14ac:dyDescent="0.25">
      <c r="E4356" t="s">
        <v>4033</v>
      </c>
    </row>
    <row r="4357" spans="5:5" x14ac:dyDescent="0.25">
      <c r="E4357" t="s">
        <v>4034</v>
      </c>
    </row>
    <row r="4358" spans="5:5" x14ac:dyDescent="0.25">
      <c r="E4358" t="s">
        <v>4035</v>
      </c>
    </row>
    <row r="4359" spans="5:5" x14ac:dyDescent="0.25">
      <c r="E4359" t="s">
        <v>4036</v>
      </c>
    </row>
    <row r="4360" spans="5:5" x14ac:dyDescent="0.25">
      <c r="E4360" t="s">
        <v>4037</v>
      </c>
    </row>
    <row r="4361" spans="5:5" x14ac:dyDescent="0.25">
      <c r="E4361" t="s">
        <v>4038</v>
      </c>
    </row>
    <row r="4367" spans="5:5" x14ac:dyDescent="0.25">
      <c r="E4367" t="s">
        <v>4039</v>
      </c>
    </row>
    <row r="4369" spans="5:5" x14ac:dyDescent="0.25">
      <c r="E4369" t="s">
        <v>4040</v>
      </c>
    </row>
    <row r="4371" spans="5:5" x14ac:dyDescent="0.25">
      <c r="E4371" t="s">
        <v>4041</v>
      </c>
    </row>
    <row r="4373" spans="5:5" x14ac:dyDescent="0.25">
      <c r="E4373" t="s">
        <v>4042</v>
      </c>
    </row>
    <row r="4374" spans="5:5" x14ac:dyDescent="0.25">
      <c r="E4374" t="s">
        <v>4043</v>
      </c>
    </row>
    <row r="4375" spans="5:5" x14ac:dyDescent="0.25">
      <c r="E4375" t="s">
        <v>4044</v>
      </c>
    </row>
    <row r="4376" spans="5:5" x14ac:dyDescent="0.25">
      <c r="E4376" t="s">
        <v>4045</v>
      </c>
    </row>
    <row r="4377" spans="5:5" x14ac:dyDescent="0.25">
      <c r="E4377" t="s">
        <v>4046</v>
      </c>
    </row>
    <row r="4378" spans="5:5" x14ac:dyDescent="0.25">
      <c r="E4378" t="s">
        <v>4047</v>
      </c>
    </row>
    <row r="4379" spans="5:5" x14ac:dyDescent="0.25">
      <c r="E4379" t="s">
        <v>4048</v>
      </c>
    </row>
    <row r="4380" spans="5:5" x14ac:dyDescent="0.25">
      <c r="E4380" t="s">
        <v>4049</v>
      </c>
    </row>
    <row r="4381" spans="5:5" x14ac:dyDescent="0.25">
      <c r="E4381" t="s">
        <v>4050</v>
      </c>
    </row>
    <row r="4382" spans="5:5" x14ac:dyDescent="0.25">
      <c r="E4382" t="s">
        <v>4051</v>
      </c>
    </row>
    <row r="4383" spans="5:5" x14ac:dyDescent="0.25">
      <c r="E4383" t="s">
        <v>4052</v>
      </c>
    </row>
    <row r="4384" spans="5:5" x14ac:dyDescent="0.25">
      <c r="E4384" t="s">
        <v>4053</v>
      </c>
    </row>
    <row r="4385" spans="5:5" x14ac:dyDescent="0.25">
      <c r="E4385" t="s">
        <v>4054</v>
      </c>
    </row>
    <row r="4386" spans="5:5" x14ac:dyDescent="0.25">
      <c r="E4386" t="s">
        <v>4055</v>
      </c>
    </row>
    <row r="4387" spans="5:5" x14ac:dyDescent="0.25">
      <c r="E4387" t="s">
        <v>4056</v>
      </c>
    </row>
    <row r="4388" spans="5:5" x14ac:dyDescent="0.25">
      <c r="E4388" t="s">
        <v>4057</v>
      </c>
    </row>
    <row r="4389" spans="5:5" x14ac:dyDescent="0.25">
      <c r="E4389" t="s">
        <v>4058</v>
      </c>
    </row>
    <row r="4390" spans="5:5" x14ac:dyDescent="0.25">
      <c r="E4390" t="s">
        <v>4059</v>
      </c>
    </row>
    <row r="4391" spans="5:5" x14ac:dyDescent="0.25">
      <c r="E4391" t="s">
        <v>4060</v>
      </c>
    </row>
    <row r="4392" spans="5:5" x14ac:dyDescent="0.25">
      <c r="E4392" t="s">
        <v>4061</v>
      </c>
    </row>
    <row r="4393" spans="5:5" x14ac:dyDescent="0.25">
      <c r="E4393" t="s">
        <v>4062</v>
      </c>
    </row>
    <row r="4394" spans="5:5" x14ac:dyDescent="0.25">
      <c r="E4394" t="s">
        <v>4063</v>
      </c>
    </row>
    <row r="4395" spans="5:5" x14ac:dyDescent="0.25">
      <c r="E4395" t="s">
        <v>4064</v>
      </c>
    </row>
    <row r="4396" spans="5:5" x14ac:dyDescent="0.25">
      <c r="E4396" t="s">
        <v>4065</v>
      </c>
    </row>
    <row r="4397" spans="5:5" x14ac:dyDescent="0.25">
      <c r="E4397" t="s">
        <v>4066</v>
      </c>
    </row>
    <row r="4398" spans="5:5" x14ac:dyDescent="0.25">
      <c r="E4398" t="s">
        <v>4067</v>
      </c>
    </row>
    <row r="4399" spans="5:5" x14ac:dyDescent="0.25">
      <c r="E4399" t="s">
        <v>4068</v>
      </c>
    </row>
    <row r="4400" spans="5:5" x14ac:dyDescent="0.25">
      <c r="E4400" t="s">
        <v>4069</v>
      </c>
    </row>
    <row r="4401" spans="5:5" x14ac:dyDescent="0.25">
      <c r="E4401" t="s">
        <v>4070</v>
      </c>
    </row>
    <row r="4402" spans="5:5" x14ac:dyDescent="0.25">
      <c r="E4402" t="s">
        <v>4071</v>
      </c>
    </row>
    <row r="4403" spans="5:5" x14ac:dyDescent="0.25">
      <c r="E4403" t="s">
        <v>4072</v>
      </c>
    </row>
    <row r="4404" spans="5:5" x14ac:dyDescent="0.25">
      <c r="E4404" t="s">
        <v>4073</v>
      </c>
    </row>
    <row r="4405" spans="5:5" x14ac:dyDescent="0.25">
      <c r="E4405" t="s">
        <v>4074</v>
      </c>
    </row>
    <row r="4406" spans="5:5" x14ac:dyDescent="0.25">
      <c r="E4406" t="s">
        <v>4075</v>
      </c>
    </row>
    <row r="4407" spans="5:5" x14ac:dyDescent="0.25">
      <c r="E4407" t="s">
        <v>4076</v>
      </c>
    </row>
    <row r="4408" spans="5:5" x14ac:dyDescent="0.25">
      <c r="E4408" t="s">
        <v>4077</v>
      </c>
    </row>
    <row r="4409" spans="5:5" x14ac:dyDescent="0.25">
      <c r="E4409" t="s">
        <v>4078</v>
      </c>
    </row>
    <row r="4410" spans="5:5" x14ac:dyDescent="0.25">
      <c r="E4410" t="s">
        <v>4079</v>
      </c>
    </row>
    <row r="4411" spans="5:5" x14ac:dyDescent="0.25">
      <c r="E4411" t="s">
        <v>4080</v>
      </c>
    </row>
    <row r="4412" spans="5:5" x14ac:dyDescent="0.25">
      <c r="E4412" t="s">
        <v>4081</v>
      </c>
    </row>
    <row r="4413" spans="5:5" x14ac:dyDescent="0.25">
      <c r="E4413" t="s">
        <v>4082</v>
      </c>
    </row>
    <row r="4414" spans="5:5" x14ac:dyDescent="0.25">
      <c r="E4414" t="s">
        <v>4083</v>
      </c>
    </row>
    <row r="4415" spans="5:5" x14ac:dyDescent="0.25">
      <c r="E4415" t="s">
        <v>4084</v>
      </c>
    </row>
    <row r="4416" spans="5:5" x14ac:dyDescent="0.25">
      <c r="E4416" t="s">
        <v>4085</v>
      </c>
    </row>
    <row r="4417" spans="5:5" x14ac:dyDescent="0.25">
      <c r="E4417" t="s">
        <v>4086</v>
      </c>
    </row>
    <row r="4418" spans="5:5" x14ac:dyDescent="0.25">
      <c r="E4418" t="s">
        <v>4087</v>
      </c>
    </row>
    <row r="4419" spans="5:5" x14ac:dyDescent="0.25">
      <c r="E4419" t="s">
        <v>4088</v>
      </c>
    </row>
    <row r="4420" spans="5:5" x14ac:dyDescent="0.25">
      <c r="E4420" t="s">
        <v>4089</v>
      </c>
    </row>
    <row r="4421" spans="5:5" x14ac:dyDescent="0.25">
      <c r="E4421" t="s">
        <v>4090</v>
      </c>
    </row>
    <row r="4422" spans="5:5" x14ac:dyDescent="0.25">
      <c r="E4422" t="s">
        <v>4091</v>
      </c>
    </row>
    <row r="4423" spans="5:5" x14ac:dyDescent="0.25">
      <c r="E4423" t="s">
        <v>4092</v>
      </c>
    </row>
    <row r="4424" spans="5:5" x14ac:dyDescent="0.25">
      <c r="E4424" t="s">
        <v>4093</v>
      </c>
    </row>
    <row r="4425" spans="5:5" x14ac:dyDescent="0.25">
      <c r="E4425" t="s">
        <v>4094</v>
      </c>
    </row>
    <row r="4426" spans="5:5" x14ac:dyDescent="0.25">
      <c r="E4426" t="s">
        <v>4095</v>
      </c>
    </row>
    <row r="4427" spans="5:5" x14ac:dyDescent="0.25">
      <c r="E4427" t="s">
        <v>4096</v>
      </c>
    </row>
    <row r="4428" spans="5:5" x14ac:dyDescent="0.25">
      <c r="E4428" t="s">
        <v>4097</v>
      </c>
    </row>
    <row r="4429" spans="5:5" x14ac:dyDescent="0.25">
      <c r="E4429" t="s">
        <v>4098</v>
      </c>
    </row>
    <row r="4430" spans="5:5" x14ac:dyDescent="0.25">
      <c r="E4430" t="s">
        <v>4099</v>
      </c>
    </row>
    <row r="4431" spans="5:5" x14ac:dyDescent="0.25">
      <c r="E4431" t="s">
        <v>4100</v>
      </c>
    </row>
    <row r="4432" spans="5:5" x14ac:dyDescent="0.25">
      <c r="E4432" t="s">
        <v>4101</v>
      </c>
    </row>
    <row r="4433" spans="5:5" x14ac:dyDescent="0.25">
      <c r="E4433" t="s">
        <v>4102</v>
      </c>
    </row>
    <row r="4434" spans="5:5" x14ac:dyDescent="0.25">
      <c r="E4434" t="s">
        <v>4103</v>
      </c>
    </row>
    <row r="4435" spans="5:5" x14ac:dyDescent="0.25">
      <c r="E4435" t="s">
        <v>4104</v>
      </c>
    </row>
    <row r="4436" spans="5:5" x14ac:dyDescent="0.25">
      <c r="E4436" t="s">
        <v>4105</v>
      </c>
    </row>
    <row r="4437" spans="5:5" x14ac:dyDescent="0.25">
      <c r="E4437" t="s">
        <v>4106</v>
      </c>
    </row>
    <row r="4438" spans="5:5" x14ac:dyDescent="0.25">
      <c r="E4438" t="s">
        <v>4107</v>
      </c>
    </row>
    <row r="4439" spans="5:5" x14ac:dyDescent="0.25">
      <c r="E4439" t="s">
        <v>4108</v>
      </c>
    </row>
    <row r="4440" spans="5:5" x14ac:dyDescent="0.25">
      <c r="E4440" t="s">
        <v>4109</v>
      </c>
    </row>
    <row r="4441" spans="5:5" x14ac:dyDescent="0.25">
      <c r="E4441" t="s">
        <v>4110</v>
      </c>
    </row>
    <row r="4442" spans="5:5" x14ac:dyDescent="0.25">
      <c r="E4442" t="s">
        <v>4111</v>
      </c>
    </row>
    <row r="4443" spans="5:5" x14ac:dyDescent="0.25">
      <c r="E4443" t="s">
        <v>4112</v>
      </c>
    </row>
    <row r="4444" spans="5:5" x14ac:dyDescent="0.25">
      <c r="E4444" t="s">
        <v>4113</v>
      </c>
    </row>
    <row r="4445" spans="5:5" x14ac:dyDescent="0.25">
      <c r="E4445" t="s">
        <v>4114</v>
      </c>
    </row>
    <row r="4446" spans="5:5" x14ac:dyDescent="0.25">
      <c r="E4446" t="s">
        <v>4115</v>
      </c>
    </row>
    <row r="4447" spans="5:5" x14ac:dyDescent="0.25">
      <c r="E4447" t="s">
        <v>4116</v>
      </c>
    </row>
    <row r="4448" spans="5:5" x14ac:dyDescent="0.25">
      <c r="E4448" t="s">
        <v>4117</v>
      </c>
    </row>
    <row r="4449" spans="5:5" x14ac:dyDescent="0.25">
      <c r="E4449" t="s">
        <v>4118</v>
      </c>
    </row>
    <row r="4450" spans="5:5" x14ac:dyDescent="0.25">
      <c r="E4450" t="s">
        <v>4119</v>
      </c>
    </row>
    <row r="4451" spans="5:5" x14ac:dyDescent="0.25">
      <c r="E4451" t="s">
        <v>4120</v>
      </c>
    </row>
    <row r="4452" spans="5:5" x14ac:dyDescent="0.25">
      <c r="E4452" t="s">
        <v>4121</v>
      </c>
    </row>
    <row r="4453" spans="5:5" x14ac:dyDescent="0.25">
      <c r="E4453" t="s">
        <v>4122</v>
      </c>
    </row>
    <row r="4454" spans="5:5" x14ac:dyDescent="0.25">
      <c r="E4454" t="s">
        <v>4123</v>
      </c>
    </row>
    <row r="4455" spans="5:5" x14ac:dyDescent="0.25">
      <c r="E4455" t="s">
        <v>4124</v>
      </c>
    </row>
    <row r="4456" spans="5:5" x14ac:dyDescent="0.25">
      <c r="E4456" t="s">
        <v>4125</v>
      </c>
    </row>
    <row r="4457" spans="5:5" x14ac:dyDescent="0.25">
      <c r="E4457" t="s">
        <v>4126</v>
      </c>
    </row>
    <row r="4458" spans="5:5" x14ac:dyDescent="0.25">
      <c r="E4458" t="s">
        <v>4127</v>
      </c>
    </row>
    <row r="4459" spans="5:5" x14ac:dyDescent="0.25">
      <c r="E4459" t="s">
        <v>4128</v>
      </c>
    </row>
    <row r="4460" spans="5:5" x14ac:dyDescent="0.25">
      <c r="E4460" t="s">
        <v>4129</v>
      </c>
    </row>
    <row r="4461" spans="5:5" x14ac:dyDescent="0.25">
      <c r="E4461" t="s">
        <v>4130</v>
      </c>
    </row>
    <row r="4462" spans="5:5" x14ac:dyDescent="0.25">
      <c r="E4462" t="s">
        <v>4131</v>
      </c>
    </row>
    <row r="4463" spans="5:5" x14ac:dyDescent="0.25">
      <c r="E4463" t="s">
        <v>4132</v>
      </c>
    </row>
    <row r="4464" spans="5:5" x14ac:dyDescent="0.25">
      <c r="E4464" t="s">
        <v>4133</v>
      </c>
    </row>
    <row r="4465" spans="5:5" x14ac:dyDescent="0.25">
      <c r="E4465" t="s">
        <v>4134</v>
      </c>
    </row>
    <row r="4466" spans="5:5" x14ac:dyDescent="0.25">
      <c r="E4466" t="s">
        <v>4135</v>
      </c>
    </row>
    <row r="4467" spans="5:5" x14ac:dyDescent="0.25">
      <c r="E4467" t="s">
        <v>4136</v>
      </c>
    </row>
    <row r="4468" spans="5:5" x14ac:dyDescent="0.25">
      <c r="E4468" t="s">
        <v>4137</v>
      </c>
    </row>
    <row r="4469" spans="5:5" x14ac:dyDescent="0.25">
      <c r="E4469" t="s">
        <v>4138</v>
      </c>
    </row>
    <row r="4472" spans="5:5" x14ac:dyDescent="0.25">
      <c r="E4472" t="s">
        <v>4139</v>
      </c>
    </row>
    <row r="4475" spans="5:5" x14ac:dyDescent="0.25">
      <c r="E4475" t="s">
        <v>4140</v>
      </c>
    </row>
    <row r="4476" spans="5:5" x14ac:dyDescent="0.25">
      <c r="E4476" t="s">
        <v>4141</v>
      </c>
    </row>
    <row r="4477" spans="5:5" x14ac:dyDescent="0.25">
      <c r="E4477" t="s">
        <v>4142</v>
      </c>
    </row>
    <row r="4478" spans="5:5" x14ac:dyDescent="0.25">
      <c r="E4478" t="s">
        <v>4143</v>
      </c>
    </row>
    <row r="4479" spans="5:5" x14ac:dyDescent="0.25">
      <c r="E4479" t="s">
        <v>4144</v>
      </c>
    </row>
    <row r="4480" spans="5:5" x14ac:dyDescent="0.25">
      <c r="E4480" t="s">
        <v>4145</v>
      </c>
    </row>
    <row r="4481" spans="5:5" x14ac:dyDescent="0.25">
      <c r="E4481" t="s">
        <v>4146</v>
      </c>
    </row>
    <row r="4482" spans="5:5" x14ac:dyDescent="0.25">
      <c r="E4482" t="s">
        <v>4147</v>
      </c>
    </row>
    <row r="4483" spans="5:5" x14ac:dyDescent="0.25">
      <c r="E4483" t="s">
        <v>4148</v>
      </c>
    </row>
    <row r="4484" spans="5:5" x14ac:dyDescent="0.25">
      <c r="E4484" t="s">
        <v>4149</v>
      </c>
    </row>
    <row r="4485" spans="5:5" x14ac:dyDescent="0.25">
      <c r="E4485" t="s">
        <v>4150</v>
      </c>
    </row>
    <row r="4486" spans="5:5" x14ac:dyDescent="0.25">
      <c r="E4486" t="s">
        <v>4151</v>
      </c>
    </row>
    <row r="4487" spans="5:5" x14ac:dyDescent="0.25">
      <c r="E4487" t="s">
        <v>4152</v>
      </c>
    </row>
    <row r="4488" spans="5:5" x14ac:dyDescent="0.25">
      <c r="E4488" t="s">
        <v>4153</v>
      </c>
    </row>
    <row r="4489" spans="5:5" x14ac:dyDescent="0.25">
      <c r="E4489" t="s">
        <v>4154</v>
      </c>
    </row>
    <row r="4490" spans="5:5" x14ac:dyDescent="0.25">
      <c r="E4490" t="s">
        <v>4155</v>
      </c>
    </row>
    <row r="4491" spans="5:5" x14ac:dyDescent="0.25">
      <c r="E4491" t="s">
        <v>4156</v>
      </c>
    </row>
    <row r="4492" spans="5:5" x14ac:dyDescent="0.25">
      <c r="E4492" t="s">
        <v>4157</v>
      </c>
    </row>
    <row r="4493" spans="5:5" x14ac:dyDescent="0.25">
      <c r="E4493" t="s">
        <v>4158</v>
      </c>
    </row>
    <row r="4494" spans="5:5" x14ac:dyDescent="0.25">
      <c r="E4494" t="s">
        <v>4159</v>
      </c>
    </row>
    <row r="4495" spans="5:5" x14ac:dyDescent="0.25">
      <c r="E4495" t="s">
        <v>4160</v>
      </c>
    </row>
    <row r="4496" spans="5:5" x14ac:dyDescent="0.25">
      <c r="E4496" t="s">
        <v>4161</v>
      </c>
    </row>
    <row r="4497" spans="5:5" x14ac:dyDescent="0.25">
      <c r="E4497" t="s">
        <v>4162</v>
      </c>
    </row>
    <row r="4498" spans="5:5" x14ac:dyDescent="0.25">
      <c r="E4498" t="s">
        <v>4163</v>
      </c>
    </row>
    <row r="4499" spans="5:5" x14ac:dyDescent="0.25">
      <c r="E4499" t="s">
        <v>4164</v>
      </c>
    </row>
    <row r="4500" spans="5:5" x14ac:dyDescent="0.25">
      <c r="E4500" t="s">
        <v>4165</v>
      </c>
    </row>
    <row r="4501" spans="5:5" x14ac:dyDescent="0.25">
      <c r="E4501" t="s">
        <v>4166</v>
      </c>
    </row>
    <row r="4502" spans="5:5" x14ac:dyDescent="0.25">
      <c r="E4502" t="s">
        <v>4167</v>
      </c>
    </row>
    <row r="4503" spans="5:5" x14ac:dyDescent="0.25">
      <c r="E4503" t="s">
        <v>4168</v>
      </c>
    </row>
    <row r="4504" spans="5:5" x14ac:dyDescent="0.25">
      <c r="E4504" t="s">
        <v>4169</v>
      </c>
    </row>
    <row r="4505" spans="5:5" x14ac:dyDescent="0.25">
      <c r="E4505" t="s">
        <v>4170</v>
      </c>
    </row>
    <row r="4506" spans="5:5" x14ac:dyDescent="0.25">
      <c r="E4506" t="s">
        <v>4171</v>
      </c>
    </row>
    <row r="4507" spans="5:5" x14ac:dyDescent="0.25">
      <c r="E4507" t="s">
        <v>4172</v>
      </c>
    </row>
    <row r="4508" spans="5:5" x14ac:dyDescent="0.25">
      <c r="E4508" t="s">
        <v>4173</v>
      </c>
    </row>
    <row r="4509" spans="5:5" x14ac:dyDescent="0.25">
      <c r="E4509" t="s">
        <v>4174</v>
      </c>
    </row>
    <row r="4510" spans="5:5" x14ac:dyDescent="0.25">
      <c r="E4510" t="s">
        <v>4175</v>
      </c>
    </row>
    <row r="4511" spans="5:5" x14ac:dyDescent="0.25">
      <c r="E4511" t="s">
        <v>4176</v>
      </c>
    </row>
    <row r="4512" spans="5:5" x14ac:dyDescent="0.25">
      <c r="E4512" t="s">
        <v>4177</v>
      </c>
    </row>
    <row r="4513" spans="5:5" x14ac:dyDescent="0.25">
      <c r="E4513" t="s">
        <v>4178</v>
      </c>
    </row>
    <row r="4514" spans="5:5" x14ac:dyDescent="0.25">
      <c r="E4514" t="s">
        <v>4179</v>
      </c>
    </row>
    <row r="4515" spans="5:5" x14ac:dyDescent="0.25">
      <c r="E4515" t="s">
        <v>4180</v>
      </c>
    </row>
    <row r="4516" spans="5:5" x14ac:dyDescent="0.25">
      <c r="E4516" t="s">
        <v>4181</v>
      </c>
    </row>
    <row r="4517" spans="5:5" x14ac:dyDescent="0.25">
      <c r="E4517" t="s">
        <v>4182</v>
      </c>
    </row>
    <row r="4518" spans="5:5" x14ac:dyDescent="0.25">
      <c r="E4518" t="s">
        <v>4183</v>
      </c>
    </row>
    <row r="4519" spans="5:5" x14ac:dyDescent="0.25">
      <c r="E4519" t="s">
        <v>4184</v>
      </c>
    </row>
    <row r="4520" spans="5:5" x14ac:dyDescent="0.25">
      <c r="E4520" t="s">
        <v>4185</v>
      </c>
    </row>
    <row r="4521" spans="5:5" x14ac:dyDescent="0.25">
      <c r="E4521" t="s">
        <v>4186</v>
      </c>
    </row>
    <row r="4522" spans="5:5" x14ac:dyDescent="0.25">
      <c r="E4522" t="s">
        <v>4187</v>
      </c>
    </row>
    <row r="4523" spans="5:5" x14ac:dyDescent="0.25">
      <c r="E4523" t="s">
        <v>4188</v>
      </c>
    </row>
    <row r="4524" spans="5:5" x14ac:dyDescent="0.25">
      <c r="E4524" t="s">
        <v>4189</v>
      </c>
    </row>
    <row r="4525" spans="5:5" x14ac:dyDescent="0.25">
      <c r="E4525" t="s">
        <v>4190</v>
      </c>
    </row>
    <row r="4526" spans="5:5" x14ac:dyDescent="0.25">
      <c r="E4526" t="s">
        <v>4191</v>
      </c>
    </row>
    <row r="4527" spans="5:5" x14ac:dyDescent="0.25">
      <c r="E4527" t="s">
        <v>4192</v>
      </c>
    </row>
    <row r="4528" spans="5:5" x14ac:dyDescent="0.25">
      <c r="E4528" t="s">
        <v>4193</v>
      </c>
    </row>
    <row r="4529" spans="5:5" x14ac:dyDescent="0.25">
      <c r="E4529" t="s">
        <v>4194</v>
      </c>
    </row>
    <row r="4530" spans="5:5" x14ac:dyDescent="0.25">
      <c r="E4530" t="s">
        <v>4195</v>
      </c>
    </row>
    <row r="4531" spans="5:5" x14ac:dyDescent="0.25">
      <c r="E4531" t="s">
        <v>4196</v>
      </c>
    </row>
    <row r="4532" spans="5:5" x14ac:dyDescent="0.25">
      <c r="E4532" t="s">
        <v>4197</v>
      </c>
    </row>
    <row r="4533" spans="5:5" x14ac:dyDescent="0.25">
      <c r="E4533" t="s">
        <v>4198</v>
      </c>
    </row>
    <row r="4534" spans="5:5" x14ac:dyDescent="0.25">
      <c r="E4534" t="s">
        <v>4199</v>
      </c>
    </row>
    <row r="4535" spans="5:5" x14ac:dyDescent="0.25">
      <c r="E4535" t="s">
        <v>4200</v>
      </c>
    </row>
    <row r="4536" spans="5:5" x14ac:dyDescent="0.25">
      <c r="E4536" t="s">
        <v>4201</v>
      </c>
    </row>
    <row r="4537" spans="5:5" x14ac:dyDescent="0.25">
      <c r="E4537" t="s">
        <v>4202</v>
      </c>
    </row>
    <row r="4538" spans="5:5" x14ac:dyDescent="0.25">
      <c r="E4538" t="s">
        <v>4203</v>
      </c>
    </row>
    <row r="4539" spans="5:5" x14ac:dyDescent="0.25">
      <c r="E4539" t="s">
        <v>4204</v>
      </c>
    </row>
    <row r="4540" spans="5:5" x14ac:dyDescent="0.25">
      <c r="E4540" t="s">
        <v>4205</v>
      </c>
    </row>
    <row r="4541" spans="5:5" x14ac:dyDescent="0.25">
      <c r="E4541" t="s">
        <v>4206</v>
      </c>
    </row>
    <row r="4542" spans="5:5" x14ac:dyDescent="0.25">
      <c r="E4542" t="s">
        <v>4207</v>
      </c>
    </row>
    <row r="4543" spans="5:5" x14ac:dyDescent="0.25">
      <c r="E4543" t="s">
        <v>4208</v>
      </c>
    </row>
    <row r="4544" spans="5:5" x14ac:dyDescent="0.25">
      <c r="E4544" t="s">
        <v>4209</v>
      </c>
    </row>
    <row r="4545" spans="5:5" x14ac:dyDescent="0.25">
      <c r="E4545" t="s">
        <v>4210</v>
      </c>
    </row>
    <row r="4546" spans="5:5" x14ac:dyDescent="0.25">
      <c r="E4546" t="s">
        <v>4211</v>
      </c>
    </row>
    <row r="4547" spans="5:5" x14ac:dyDescent="0.25">
      <c r="E4547" t="s">
        <v>4212</v>
      </c>
    </row>
    <row r="4548" spans="5:5" x14ac:dyDescent="0.25">
      <c r="E4548" t="s">
        <v>4213</v>
      </c>
    </row>
    <row r="4549" spans="5:5" x14ac:dyDescent="0.25">
      <c r="E4549" t="s">
        <v>4214</v>
      </c>
    </row>
    <row r="4550" spans="5:5" x14ac:dyDescent="0.25">
      <c r="E4550" t="s">
        <v>4215</v>
      </c>
    </row>
    <row r="4551" spans="5:5" x14ac:dyDescent="0.25">
      <c r="E4551" t="s">
        <v>4216</v>
      </c>
    </row>
    <row r="4552" spans="5:5" x14ac:dyDescent="0.25">
      <c r="E4552" t="s">
        <v>4217</v>
      </c>
    </row>
    <row r="4553" spans="5:5" x14ac:dyDescent="0.25">
      <c r="E4553" t="s">
        <v>4218</v>
      </c>
    </row>
    <row r="4554" spans="5:5" x14ac:dyDescent="0.25">
      <c r="E4554" t="s">
        <v>4219</v>
      </c>
    </row>
    <row r="4555" spans="5:5" x14ac:dyDescent="0.25">
      <c r="E4555" t="s">
        <v>4220</v>
      </c>
    </row>
    <row r="4556" spans="5:5" x14ac:dyDescent="0.25">
      <c r="E4556" t="s">
        <v>4221</v>
      </c>
    </row>
    <row r="4557" spans="5:5" x14ac:dyDescent="0.25">
      <c r="E4557" t="s">
        <v>4222</v>
      </c>
    </row>
    <row r="4558" spans="5:5" x14ac:dyDescent="0.25">
      <c r="E4558" t="s">
        <v>4223</v>
      </c>
    </row>
    <row r="4559" spans="5:5" x14ac:dyDescent="0.25">
      <c r="E4559" t="s">
        <v>4224</v>
      </c>
    </row>
    <row r="4560" spans="5:5" x14ac:dyDescent="0.25">
      <c r="E4560" t="s">
        <v>4225</v>
      </c>
    </row>
    <row r="4561" spans="5:5" x14ac:dyDescent="0.25">
      <c r="E4561" t="s">
        <v>4226</v>
      </c>
    </row>
    <row r="4562" spans="5:5" x14ac:dyDescent="0.25">
      <c r="E4562" t="s">
        <v>4227</v>
      </c>
    </row>
    <row r="4563" spans="5:5" x14ac:dyDescent="0.25">
      <c r="E4563" t="s">
        <v>4228</v>
      </c>
    </row>
    <row r="4564" spans="5:5" x14ac:dyDescent="0.25">
      <c r="E4564" t="s">
        <v>4229</v>
      </c>
    </row>
    <row r="4565" spans="5:5" x14ac:dyDescent="0.25">
      <c r="E4565" t="s">
        <v>4230</v>
      </c>
    </row>
    <row r="4566" spans="5:5" x14ac:dyDescent="0.25">
      <c r="E4566" t="s">
        <v>4231</v>
      </c>
    </row>
    <row r="4567" spans="5:5" x14ac:dyDescent="0.25">
      <c r="E4567" t="s">
        <v>4232</v>
      </c>
    </row>
    <row r="4568" spans="5:5" x14ac:dyDescent="0.25">
      <c r="E4568" t="s">
        <v>4233</v>
      </c>
    </row>
    <row r="4569" spans="5:5" x14ac:dyDescent="0.25">
      <c r="E4569" t="s">
        <v>4234</v>
      </c>
    </row>
    <row r="4570" spans="5:5" x14ac:dyDescent="0.25">
      <c r="E4570" t="s">
        <v>4235</v>
      </c>
    </row>
    <row r="4571" spans="5:5" x14ac:dyDescent="0.25">
      <c r="E4571" t="s">
        <v>4236</v>
      </c>
    </row>
    <row r="4572" spans="5:5" x14ac:dyDescent="0.25">
      <c r="E4572" t="s">
        <v>4237</v>
      </c>
    </row>
    <row r="4573" spans="5:5" x14ac:dyDescent="0.25">
      <c r="E4573" t="s">
        <v>4238</v>
      </c>
    </row>
    <row r="4574" spans="5:5" x14ac:dyDescent="0.25">
      <c r="E4574" t="s">
        <v>4239</v>
      </c>
    </row>
    <row r="4575" spans="5:5" x14ac:dyDescent="0.25">
      <c r="E4575" t="s">
        <v>4240</v>
      </c>
    </row>
    <row r="4576" spans="5:5" x14ac:dyDescent="0.25">
      <c r="E4576" t="s">
        <v>4241</v>
      </c>
    </row>
    <row r="4577" spans="5:5" x14ac:dyDescent="0.25">
      <c r="E4577" t="s">
        <v>4242</v>
      </c>
    </row>
    <row r="4578" spans="5:5" x14ac:dyDescent="0.25">
      <c r="E4578" t="s">
        <v>4243</v>
      </c>
    </row>
    <row r="4579" spans="5:5" x14ac:dyDescent="0.25">
      <c r="E4579" t="s">
        <v>4244</v>
      </c>
    </row>
    <row r="4580" spans="5:5" x14ac:dyDescent="0.25">
      <c r="E4580" t="s">
        <v>4245</v>
      </c>
    </row>
    <row r="4581" spans="5:5" x14ac:dyDescent="0.25">
      <c r="E4581" t="s">
        <v>4246</v>
      </c>
    </row>
    <row r="4582" spans="5:5" x14ac:dyDescent="0.25">
      <c r="E4582" t="s">
        <v>4247</v>
      </c>
    </row>
    <row r="4583" spans="5:5" x14ac:dyDescent="0.25">
      <c r="E4583" t="s">
        <v>4248</v>
      </c>
    </row>
    <row r="4584" spans="5:5" x14ac:dyDescent="0.25">
      <c r="E4584" t="s">
        <v>4249</v>
      </c>
    </row>
    <row r="4585" spans="5:5" x14ac:dyDescent="0.25">
      <c r="E4585" t="s">
        <v>4250</v>
      </c>
    </row>
    <row r="4586" spans="5:5" x14ac:dyDescent="0.25">
      <c r="E4586" t="s">
        <v>4251</v>
      </c>
    </row>
    <row r="4587" spans="5:5" x14ac:dyDescent="0.25">
      <c r="E4587" t="s">
        <v>4252</v>
      </c>
    </row>
    <row r="4588" spans="5:5" x14ac:dyDescent="0.25">
      <c r="E4588" t="s">
        <v>4253</v>
      </c>
    </row>
    <row r="4589" spans="5:5" x14ac:dyDescent="0.25">
      <c r="E4589" t="s">
        <v>4254</v>
      </c>
    </row>
    <row r="4590" spans="5:5" x14ac:dyDescent="0.25">
      <c r="E4590" t="s">
        <v>4255</v>
      </c>
    </row>
    <row r="4591" spans="5:5" x14ac:dyDescent="0.25">
      <c r="E4591" t="s">
        <v>4256</v>
      </c>
    </row>
    <row r="4592" spans="5:5" x14ac:dyDescent="0.25">
      <c r="E4592" t="s">
        <v>4257</v>
      </c>
    </row>
    <row r="4593" spans="5:5" x14ac:dyDescent="0.25">
      <c r="E4593" t="s">
        <v>4258</v>
      </c>
    </row>
    <row r="4594" spans="5:5" x14ac:dyDescent="0.25">
      <c r="E4594" t="s">
        <v>4259</v>
      </c>
    </row>
    <row r="4595" spans="5:5" x14ac:dyDescent="0.25">
      <c r="E4595" t="s">
        <v>4260</v>
      </c>
    </row>
    <row r="4596" spans="5:5" x14ac:dyDescent="0.25">
      <c r="E4596" t="s">
        <v>4261</v>
      </c>
    </row>
    <row r="4597" spans="5:5" x14ac:dyDescent="0.25">
      <c r="E4597" t="s">
        <v>4262</v>
      </c>
    </row>
    <row r="4598" spans="5:5" x14ac:dyDescent="0.25">
      <c r="E4598" t="s">
        <v>4263</v>
      </c>
    </row>
    <row r="4599" spans="5:5" x14ac:dyDescent="0.25">
      <c r="E4599" t="s">
        <v>4264</v>
      </c>
    </row>
    <row r="4600" spans="5:5" x14ac:dyDescent="0.25">
      <c r="E4600" t="s">
        <v>4265</v>
      </c>
    </row>
    <row r="4601" spans="5:5" x14ac:dyDescent="0.25">
      <c r="E4601" t="s">
        <v>4266</v>
      </c>
    </row>
    <row r="4602" spans="5:5" x14ac:dyDescent="0.25">
      <c r="E4602" t="s">
        <v>4267</v>
      </c>
    </row>
    <row r="4603" spans="5:5" x14ac:dyDescent="0.25">
      <c r="E4603" t="s">
        <v>4268</v>
      </c>
    </row>
    <row r="4604" spans="5:5" x14ac:dyDescent="0.25">
      <c r="E4604" t="s">
        <v>4269</v>
      </c>
    </row>
    <row r="4605" spans="5:5" x14ac:dyDescent="0.25">
      <c r="E4605" t="s">
        <v>4270</v>
      </c>
    </row>
    <row r="4606" spans="5:5" x14ac:dyDescent="0.25">
      <c r="E4606" t="s">
        <v>4271</v>
      </c>
    </row>
    <row r="4607" spans="5:5" x14ac:dyDescent="0.25">
      <c r="E4607" t="s">
        <v>4272</v>
      </c>
    </row>
    <row r="4608" spans="5:5" x14ac:dyDescent="0.25">
      <c r="E4608" t="s">
        <v>4273</v>
      </c>
    </row>
    <row r="4609" spans="5:5" x14ac:dyDescent="0.25">
      <c r="E4609" t="s">
        <v>4274</v>
      </c>
    </row>
    <row r="4610" spans="5:5" x14ac:dyDescent="0.25">
      <c r="E4610" t="s">
        <v>4275</v>
      </c>
    </row>
    <row r="4611" spans="5:5" x14ac:dyDescent="0.25">
      <c r="E4611" t="s">
        <v>4276</v>
      </c>
    </row>
    <row r="4612" spans="5:5" x14ac:dyDescent="0.25">
      <c r="E4612" t="s">
        <v>4277</v>
      </c>
    </row>
    <row r="4613" spans="5:5" x14ac:dyDescent="0.25">
      <c r="E4613" t="s">
        <v>4278</v>
      </c>
    </row>
    <row r="4614" spans="5:5" x14ac:dyDescent="0.25">
      <c r="E4614" t="s">
        <v>4279</v>
      </c>
    </row>
    <row r="4615" spans="5:5" x14ac:dyDescent="0.25">
      <c r="E4615" t="s">
        <v>4280</v>
      </c>
    </row>
    <row r="4616" spans="5:5" x14ac:dyDescent="0.25">
      <c r="E4616" t="s">
        <v>4281</v>
      </c>
    </row>
    <row r="4617" spans="5:5" x14ac:dyDescent="0.25">
      <c r="E4617" t="s">
        <v>4282</v>
      </c>
    </row>
    <row r="4618" spans="5:5" x14ac:dyDescent="0.25">
      <c r="E4618" t="s">
        <v>4283</v>
      </c>
    </row>
    <row r="4619" spans="5:5" x14ac:dyDescent="0.25">
      <c r="E4619" t="s">
        <v>4284</v>
      </c>
    </row>
    <row r="4620" spans="5:5" x14ac:dyDescent="0.25">
      <c r="E4620" t="s">
        <v>4285</v>
      </c>
    </row>
    <row r="4621" spans="5:5" x14ac:dyDescent="0.25">
      <c r="E4621" t="s">
        <v>4286</v>
      </c>
    </row>
    <row r="4622" spans="5:5" x14ac:dyDescent="0.25">
      <c r="E4622" t="s">
        <v>4287</v>
      </c>
    </row>
    <row r="4623" spans="5:5" x14ac:dyDescent="0.25">
      <c r="E4623" t="s">
        <v>4288</v>
      </c>
    </row>
    <row r="4624" spans="5:5" x14ac:dyDescent="0.25">
      <c r="E4624" t="s">
        <v>4289</v>
      </c>
    </row>
    <row r="4625" spans="5:5" x14ac:dyDescent="0.25">
      <c r="E4625" t="s">
        <v>4290</v>
      </c>
    </row>
    <row r="4626" spans="5:5" x14ac:dyDescent="0.25">
      <c r="E4626" t="s">
        <v>4291</v>
      </c>
    </row>
    <row r="4627" spans="5:5" x14ac:dyDescent="0.25">
      <c r="E4627" t="s">
        <v>4292</v>
      </c>
    </row>
    <row r="4628" spans="5:5" x14ac:dyDescent="0.25">
      <c r="E4628" t="s">
        <v>4293</v>
      </c>
    </row>
    <row r="4629" spans="5:5" x14ac:dyDescent="0.25">
      <c r="E4629" t="s">
        <v>4294</v>
      </c>
    </row>
    <row r="4630" spans="5:5" x14ac:dyDescent="0.25">
      <c r="E4630" t="s">
        <v>4295</v>
      </c>
    </row>
    <row r="4631" spans="5:5" x14ac:dyDescent="0.25">
      <c r="E4631" t="s">
        <v>4296</v>
      </c>
    </row>
    <row r="4632" spans="5:5" x14ac:dyDescent="0.25">
      <c r="E4632" t="s">
        <v>4297</v>
      </c>
    </row>
    <row r="4633" spans="5:5" x14ac:dyDescent="0.25">
      <c r="E4633" t="s">
        <v>4298</v>
      </c>
    </row>
    <row r="4634" spans="5:5" x14ac:dyDescent="0.25">
      <c r="E4634" t="s">
        <v>4299</v>
      </c>
    </row>
    <row r="4635" spans="5:5" x14ac:dyDescent="0.25">
      <c r="E4635" t="s">
        <v>4300</v>
      </c>
    </row>
    <row r="4636" spans="5:5" x14ac:dyDescent="0.25">
      <c r="E4636" t="s">
        <v>4301</v>
      </c>
    </row>
    <row r="4637" spans="5:5" x14ac:dyDescent="0.25">
      <c r="E4637" t="s">
        <v>4302</v>
      </c>
    </row>
    <row r="4638" spans="5:5" x14ac:dyDescent="0.25">
      <c r="E4638" t="s">
        <v>4303</v>
      </c>
    </row>
    <row r="4639" spans="5:5" x14ac:dyDescent="0.25">
      <c r="E4639" t="s">
        <v>4304</v>
      </c>
    </row>
    <row r="4640" spans="5:5" x14ac:dyDescent="0.25">
      <c r="E4640" t="s">
        <v>4305</v>
      </c>
    </row>
    <row r="4641" spans="5:5" x14ac:dyDescent="0.25">
      <c r="E4641" t="s">
        <v>4306</v>
      </c>
    </row>
    <row r="4642" spans="5:5" x14ac:dyDescent="0.25">
      <c r="E4642" t="s">
        <v>4307</v>
      </c>
    </row>
    <row r="4643" spans="5:5" x14ac:dyDescent="0.25">
      <c r="E4643" t="s">
        <v>4308</v>
      </c>
    </row>
    <row r="4644" spans="5:5" x14ac:dyDescent="0.25">
      <c r="E4644" t="s">
        <v>4309</v>
      </c>
    </row>
    <row r="4645" spans="5:5" x14ac:dyDescent="0.25">
      <c r="E4645" t="s">
        <v>4310</v>
      </c>
    </row>
    <row r="4646" spans="5:5" x14ac:dyDescent="0.25">
      <c r="E4646" t="s">
        <v>4311</v>
      </c>
    </row>
    <row r="4647" spans="5:5" x14ac:dyDescent="0.25">
      <c r="E4647" t="s">
        <v>4312</v>
      </c>
    </row>
    <row r="4648" spans="5:5" x14ac:dyDescent="0.25">
      <c r="E4648" t="s">
        <v>4313</v>
      </c>
    </row>
    <row r="4649" spans="5:5" x14ac:dyDescent="0.25">
      <c r="E4649" t="s">
        <v>4314</v>
      </c>
    </row>
    <row r="4650" spans="5:5" x14ac:dyDescent="0.25">
      <c r="E4650" t="s">
        <v>4315</v>
      </c>
    </row>
    <row r="4651" spans="5:5" x14ac:dyDescent="0.25">
      <c r="E4651" t="s">
        <v>4316</v>
      </c>
    </row>
    <row r="4652" spans="5:5" x14ac:dyDescent="0.25">
      <c r="E4652" t="s">
        <v>4317</v>
      </c>
    </row>
    <row r="4653" spans="5:5" x14ac:dyDescent="0.25">
      <c r="E4653" t="s">
        <v>4318</v>
      </c>
    </row>
    <row r="4654" spans="5:5" x14ac:dyDescent="0.25">
      <c r="E4654" t="s">
        <v>4319</v>
      </c>
    </row>
    <row r="4655" spans="5:5" x14ac:dyDescent="0.25">
      <c r="E4655" t="s">
        <v>4320</v>
      </c>
    </row>
    <row r="4656" spans="5:5" x14ac:dyDescent="0.25">
      <c r="E4656" t="s">
        <v>4321</v>
      </c>
    </row>
    <row r="4657" spans="5:5" x14ac:dyDescent="0.25">
      <c r="E4657" t="s">
        <v>4322</v>
      </c>
    </row>
    <row r="4658" spans="5:5" x14ac:dyDescent="0.25">
      <c r="E4658" t="s">
        <v>4323</v>
      </c>
    </row>
    <row r="4659" spans="5:5" x14ac:dyDescent="0.25">
      <c r="E4659" t="s">
        <v>4324</v>
      </c>
    </row>
    <row r="4660" spans="5:5" x14ac:dyDescent="0.25">
      <c r="E4660" t="s">
        <v>4325</v>
      </c>
    </row>
    <row r="4661" spans="5:5" x14ac:dyDescent="0.25">
      <c r="E4661" t="s">
        <v>4326</v>
      </c>
    </row>
    <row r="4662" spans="5:5" x14ac:dyDescent="0.25">
      <c r="E4662" t="s">
        <v>4327</v>
      </c>
    </row>
    <row r="4663" spans="5:5" x14ac:dyDescent="0.25">
      <c r="E4663" t="s">
        <v>4328</v>
      </c>
    </row>
    <row r="4664" spans="5:5" x14ac:dyDescent="0.25">
      <c r="E4664" t="s">
        <v>4329</v>
      </c>
    </row>
    <row r="4665" spans="5:5" x14ac:dyDescent="0.25">
      <c r="E4665" t="s">
        <v>4330</v>
      </c>
    </row>
    <row r="4666" spans="5:5" x14ac:dyDescent="0.25">
      <c r="E4666" t="s">
        <v>4331</v>
      </c>
    </row>
    <row r="4667" spans="5:5" x14ac:dyDescent="0.25">
      <c r="E4667" t="s">
        <v>4332</v>
      </c>
    </row>
    <row r="4668" spans="5:5" x14ac:dyDescent="0.25">
      <c r="E4668" t="s">
        <v>4333</v>
      </c>
    </row>
    <row r="4669" spans="5:5" x14ac:dyDescent="0.25">
      <c r="E4669" t="s">
        <v>4334</v>
      </c>
    </row>
    <row r="4670" spans="5:5" x14ac:dyDescent="0.25">
      <c r="E4670" t="s">
        <v>4335</v>
      </c>
    </row>
    <row r="4671" spans="5:5" x14ac:dyDescent="0.25">
      <c r="E4671" t="s">
        <v>4336</v>
      </c>
    </row>
    <row r="4672" spans="5:5" x14ac:dyDescent="0.25">
      <c r="E4672" t="s">
        <v>4337</v>
      </c>
    </row>
    <row r="4673" spans="5:5" x14ac:dyDescent="0.25">
      <c r="E4673" t="s">
        <v>4338</v>
      </c>
    </row>
    <row r="4674" spans="5:5" x14ac:dyDescent="0.25">
      <c r="E4674" t="s">
        <v>4339</v>
      </c>
    </row>
    <row r="4675" spans="5:5" x14ac:dyDescent="0.25">
      <c r="E4675" t="s">
        <v>4340</v>
      </c>
    </row>
    <row r="4676" spans="5:5" x14ac:dyDescent="0.25">
      <c r="E4676" t="s">
        <v>4341</v>
      </c>
    </row>
    <row r="4677" spans="5:5" x14ac:dyDescent="0.25">
      <c r="E4677" t="s">
        <v>4342</v>
      </c>
    </row>
    <row r="4678" spans="5:5" x14ac:dyDescent="0.25">
      <c r="E4678" t="s">
        <v>4343</v>
      </c>
    </row>
    <row r="4679" spans="5:5" x14ac:dyDescent="0.25">
      <c r="E4679" t="s">
        <v>4344</v>
      </c>
    </row>
    <row r="4680" spans="5:5" x14ac:dyDescent="0.25">
      <c r="E4680" t="s">
        <v>4345</v>
      </c>
    </row>
    <row r="4681" spans="5:5" x14ac:dyDescent="0.25">
      <c r="E4681" t="s">
        <v>4346</v>
      </c>
    </row>
    <row r="4682" spans="5:5" x14ac:dyDescent="0.25">
      <c r="E4682" t="s">
        <v>4347</v>
      </c>
    </row>
    <row r="4683" spans="5:5" x14ac:dyDescent="0.25">
      <c r="E4683" t="s">
        <v>4348</v>
      </c>
    </row>
    <row r="4684" spans="5:5" x14ac:dyDescent="0.25">
      <c r="E4684" t="s">
        <v>4349</v>
      </c>
    </row>
    <row r="4685" spans="5:5" x14ac:dyDescent="0.25">
      <c r="E4685" t="s">
        <v>4350</v>
      </c>
    </row>
    <row r="4686" spans="5:5" x14ac:dyDescent="0.25">
      <c r="E4686" t="s">
        <v>4351</v>
      </c>
    </row>
    <row r="4687" spans="5:5" x14ac:dyDescent="0.25">
      <c r="E4687" t="s">
        <v>4352</v>
      </c>
    </row>
    <row r="4688" spans="5:5" x14ac:dyDescent="0.25">
      <c r="E4688" t="s">
        <v>4353</v>
      </c>
    </row>
    <row r="4689" spans="5:5" x14ac:dyDescent="0.25">
      <c r="E4689" t="s">
        <v>4354</v>
      </c>
    </row>
    <row r="4690" spans="5:5" x14ac:dyDescent="0.25">
      <c r="E4690" t="s">
        <v>4355</v>
      </c>
    </row>
    <row r="4691" spans="5:5" x14ac:dyDescent="0.25">
      <c r="E4691" t="s">
        <v>4356</v>
      </c>
    </row>
    <row r="4692" spans="5:5" x14ac:dyDescent="0.25">
      <c r="E4692" t="s">
        <v>4357</v>
      </c>
    </row>
    <row r="4693" spans="5:5" x14ac:dyDescent="0.25">
      <c r="E4693" t="s">
        <v>4358</v>
      </c>
    </row>
    <row r="4694" spans="5:5" x14ac:dyDescent="0.25">
      <c r="E4694" t="s">
        <v>4359</v>
      </c>
    </row>
    <row r="4695" spans="5:5" x14ac:dyDescent="0.25">
      <c r="E4695" t="s">
        <v>4360</v>
      </c>
    </row>
    <row r="4696" spans="5:5" x14ac:dyDescent="0.25">
      <c r="E4696" t="s">
        <v>4361</v>
      </c>
    </row>
    <row r="4697" spans="5:5" x14ac:dyDescent="0.25">
      <c r="E4697" t="s">
        <v>4362</v>
      </c>
    </row>
    <row r="4698" spans="5:5" x14ac:dyDescent="0.25">
      <c r="E4698" t="s">
        <v>4363</v>
      </c>
    </row>
    <row r="4699" spans="5:5" x14ac:dyDescent="0.25">
      <c r="E4699" t="s">
        <v>4364</v>
      </c>
    </row>
    <row r="4700" spans="5:5" x14ac:dyDescent="0.25">
      <c r="E4700" t="s">
        <v>4365</v>
      </c>
    </row>
    <row r="4701" spans="5:5" x14ac:dyDescent="0.25">
      <c r="E4701" t="s">
        <v>4366</v>
      </c>
    </row>
    <row r="4702" spans="5:5" x14ac:dyDescent="0.25">
      <c r="E4702" t="s">
        <v>4367</v>
      </c>
    </row>
    <row r="4703" spans="5:5" x14ac:dyDescent="0.25">
      <c r="E4703" t="s">
        <v>4368</v>
      </c>
    </row>
    <row r="4704" spans="5:5" x14ac:dyDescent="0.25">
      <c r="E4704" t="s">
        <v>4369</v>
      </c>
    </row>
    <row r="4705" spans="5:5" x14ac:dyDescent="0.25">
      <c r="E4705" t="s">
        <v>4370</v>
      </c>
    </row>
    <row r="4706" spans="5:5" x14ac:dyDescent="0.25">
      <c r="E4706" t="s">
        <v>4371</v>
      </c>
    </row>
    <row r="4707" spans="5:5" x14ac:dyDescent="0.25">
      <c r="E4707" t="s">
        <v>4372</v>
      </c>
    </row>
    <row r="4708" spans="5:5" x14ac:dyDescent="0.25">
      <c r="E4708" t="s">
        <v>4373</v>
      </c>
    </row>
    <row r="4709" spans="5:5" x14ac:dyDescent="0.25">
      <c r="E4709" t="s">
        <v>4374</v>
      </c>
    </row>
    <row r="4710" spans="5:5" x14ac:dyDescent="0.25">
      <c r="E4710" t="s">
        <v>4375</v>
      </c>
    </row>
    <row r="4711" spans="5:5" x14ac:dyDescent="0.25">
      <c r="E4711" t="s">
        <v>4376</v>
      </c>
    </row>
    <row r="4712" spans="5:5" x14ac:dyDescent="0.25">
      <c r="E4712" t="s">
        <v>4377</v>
      </c>
    </row>
    <row r="4713" spans="5:5" x14ac:dyDescent="0.25">
      <c r="E4713" t="s">
        <v>4378</v>
      </c>
    </row>
    <row r="4714" spans="5:5" x14ac:dyDescent="0.25">
      <c r="E4714" t="s">
        <v>4379</v>
      </c>
    </row>
    <row r="4715" spans="5:5" x14ac:dyDescent="0.25">
      <c r="E4715" t="s">
        <v>4380</v>
      </c>
    </row>
    <row r="4716" spans="5:5" x14ac:dyDescent="0.25">
      <c r="E4716" t="s">
        <v>4381</v>
      </c>
    </row>
    <row r="4717" spans="5:5" x14ac:dyDescent="0.25">
      <c r="E4717" t="s">
        <v>4382</v>
      </c>
    </row>
    <row r="4718" spans="5:5" x14ac:dyDescent="0.25">
      <c r="E4718" t="s">
        <v>4383</v>
      </c>
    </row>
    <row r="4719" spans="5:5" x14ac:dyDescent="0.25">
      <c r="E4719" t="s">
        <v>4384</v>
      </c>
    </row>
    <row r="4720" spans="5:5" x14ac:dyDescent="0.25">
      <c r="E4720" t="s">
        <v>4385</v>
      </c>
    </row>
    <row r="4721" spans="5:5" x14ac:dyDescent="0.25">
      <c r="E4721" t="s">
        <v>4386</v>
      </c>
    </row>
    <row r="4722" spans="5:5" x14ac:dyDescent="0.25">
      <c r="E4722" t="s">
        <v>4387</v>
      </c>
    </row>
    <row r="4723" spans="5:5" x14ac:dyDescent="0.25">
      <c r="E4723" t="s">
        <v>4388</v>
      </c>
    </row>
    <row r="4724" spans="5:5" x14ac:dyDescent="0.25">
      <c r="E4724" t="s">
        <v>4389</v>
      </c>
    </row>
    <row r="4725" spans="5:5" x14ac:dyDescent="0.25">
      <c r="E4725" t="s">
        <v>4390</v>
      </c>
    </row>
    <row r="4726" spans="5:5" x14ac:dyDescent="0.25">
      <c r="E4726" t="s">
        <v>4391</v>
      </c>
    </row>
    <row r="4727" spans="5:5" x14ac:dyDescent="0.25">
      <c r="E4727" t="s">
        <v>4392</v>
      </c>
    </row>
    <row r="4728" spans="5:5" x14ac:dyDescent="0.25">
      <c r="E4728" t="s">
        <v>4393</v>
      </c>
    </row>
    <row r="4729" spans="5:5" x14ac:dyDescent="0.25">
      <c r="E4729" t="s">
        <v>4394</v>
      </c>
    </row>
    <row r="4730" spans="5:5" x14ac:dyDescent="0.25">
      <c r="E4730" t="s">
        <v>4395</v>
      </c>
    </row>
    <row r="4731" spans="5:5" x14ac:dyDescent="0.25">
      <c r="E4731" t="s">
        <v>4396</v>
      </c>
    </row>
    <row r="4732" spans="5:5" x14ac:dyDescent="0.25">
      <c r="E4732" t="s">
        <v>4397</v>
      </c>
    </row>
    <row r="4733" spans="5:5" x14ac:dyDescent="0.25">
      <c r="E4733" t="s">
        <v>4398</v>
      </c>
    </row>
    <row r="4734" spans="5:5" x14ac:dyDescent="0.25">
      <c r="E4734" t="s">
        <v>4399</v>
      </c>
    </row>
    <row r="4735" spans="5:5" x14ac:dyDescent="0.25">
      <c r="E4735" t="s">
        <v>4400</v>
      </c>
    </row>
    <row r="4736" spans="5:5" x14ac:dyDescent="0.25">
      <c r="E4736" t="s">
        <v>4401</v>
      </c>
    </row>
    <row r="4737" spans="5:5" x14ac:dyDescent="0.25">
      <c r="E4737" t="s">
        <v>4402</v>
      </c>
    </row>
    <row r="4738" spans="5:5" x14ac:dyDescent="0.25">
      <c r="E4738" t="s">
        <v>4403</v>
      </c>
    </row>
    <row r="4739" spans="5:5" x14ac:dyDescent="0.25">
      <c r="E4739" t="s">
        <v>4404</v>
      </c>
    </row>
    <row r="4740" spans="5:5" x14ac:dyDescent="0.25">
      <c r="E4740" t="s">
        <v>4405</v>
      </c>
    </row>
    <row r="4741" spans="5:5" x14ac:dyDescent="0.25">
      <c r="E4741" t="s">
        <v>4406</v>
      </c>
    </row>
    <row r="4742" spans="5:5" x14ac:dyDescent="0.25">
      <c r="E4742" t="s">
        <v>4407</v>
      </c>
    </row>
    <row r="4743" spans="5:5" x14ac:dyDescent="0.25">
      <c r="E4743" t="s">
        <v>4408</v>
      </c>
    </row>
    <row r="4744" spans="5:5" x14ac:dyDescent="0.25">
      <c r="E4744" t="s">
        <v>4409</v>
      </c>
    </row>
    <row r="4745" spans="5:5" x14ac:dyDescent="0.25">
      <c r="E4745" t="s">
        <v>4410</v>
      </c>
    </row>
    <row r="4746" spans="5:5" x14ac:dyDescent="0.25">
      <c r="E4746" t="s">
        <v>4411</v>
      </c>
    </row>
    <row r="4747" spans="5:5" x14ac:dyDescent="0.25">
      <c r="E4747" t="s">
        <v>4412</v>
      </c>
    </row>
    <row r="4748" spans="5:5" x14ac:dyDescent="0.25">
      <c r="E4748" t="s">
        <v>4413</v>
      </c>
    </row>
    <row r="4749" spans="5:5" x14ac:dyDescent="0.25">
      <c r="E4749" t="s">
        <v>4414</v>
      </c>
    </row>
    <row r="4750" spans="5:5" x14ac:dyDescent="0.25">
      <c r="E4750" t="s">
        <v>4415</v>
      </c>
    </row>
    <row r="4751" spans="5:5" x14ac:dyDescent="0.25">
      <c r="E4751" t="s">
        <v>4416</v>
      </c>
    </row>
    <row r="4752" spans="5:5" x14ac:dyDescent="0.25">
      <c r="E4752" t="s">
        <v>4417</v>
      </c>
    </row>
    <row r="4753" spans="5:5" x14ac:dyDescent="0.25">
      <c r="E4753" t="s">
        <v>4418</v>
      </c>
    </row>
    <row r="4754" spans="5:5" x14ac:dyDescent="0.25">
      <c r="E4754" t="s">
        <v>4419</v>
      </c>
    </row>
    <row r="4755" spans="5:5" x14ac:dyDescent="0.25">
      <c r="E4755" t="s">
        <v>4420</v>
      </c>
    </row>
    <row r="4756" spans="5:5" x14ac:dyDescent="0.25">
      <c r="E4756" t="s">
        <v>4421</v>
      </c>
    </row>
    <row r="4757" spans="5:5" x14ac:dyDescent="0.25">
      <c r="E4757" t="s">
        <v>4422</v>
      </c>
    </row>
    <row r="4758" spans="5:5" x14ac:dyDescent="0.25">
      <c r="E4758" t="s">
        <v>4423</v>
      </c>
    </row>
    <row r="4759" spans="5:5" x14ac:dyDescent="0.25">
      <c r="E4759" t="s">
        <v>4424</v>
      </c>
    </row>
    <row r="4760" spans="5:5" x14ac:dyDescent="0.25">
      <c r="E4760" t="s">
        <v>4425</v>
      </c>
    </row>
    <row r="4761" spans="5:5" x14ac:dyDescent="0.25">
      <c r="E4761" t="s">
        <v>4426</v>
      </c>
    </row>
    <row r="4762" spans="5:5" x14ac:dyDescent="0.25">
      <c r="E4762" t="s">
        <v>4427</v>
      </c>
    </row>
    <row r="4763" spans="5:5" x14ac:dyDescent="0.25">
      <c r="E4763" t="s">
        <v>4428</v>
      </c>
    </row>
    <row r="4764" spans="5:5" x14ac:dyDescent="0.25">
      <c r="E4764" t="s">
        <v>4429</v>
      </c>
    </row>
    <row r="4765" spans="5:5" x14ac:dyDescent="0.25">
      <c r="E4765" t="s">
        <v>4430</v>
      </c>
    </row>
    <row r="4766" spans="5:5" x14ac:dyDescent="0.25">
      <c r="E4766" t="s">
        <v>4431</v>
      </c>
    </row>
    <row r="4767" spans="5:5" x14ac:dyDescent="0.25">
      <c r="E4767" t="s">
        <v>4432</v>
      </c>
    </row>
    <row r="4768" spans="5:5" x14ac:dyDescent="0.25">
      <c r="E4768" t="s">
        <v>4433</v>
      </c>
    </row>
    <row r="4769" spans="5:5" x14ac:dyDescent="0.25">
      <c r="E4769" t="s">
        <v>4434</v>
      </c>
    </row>
    <row r="4770" spans="5:5" x14ac:dyDescent="0.25">
      <c r="E4770" t="s">
        <v>4435</v>
      </c>
    </row>
    <row r="4771" spans="5:5" x14ac:dyDescent="0.25">
      <c r="E4771" t="s">
        <v>4436</v>
      </c>
    </row>
    <row r="4772" spans="5:5" x14ac:dyDescent="0.25">
      <c r="E4772" t="s">
        <v>4437</v>
      </c>
    </row>
    <row r="4773" spans="5:5" x14ac:dyDescent="0.25">
      <c r="E4773" t="s">
        <v>4438</v>
      </c>
    </row>
    <row r="4774" spans="5:5" x14ac:dyDescent="0.25">
      <c r="E4774" t="s">
        <v>4439</v>
      </c>
    </row>
    <row r="4775" spans="5:5" x14ac:dyDescent="0.25">
      <c r="E4775" t="s">
        <v>4440</v>
      </c>
    </row>
    <row r="4776" spans="5:5" x14ac:dyDescent="0.25">
      <c r="E4776" t="s">
        <v>4441</v>
      </c>
    </row>
    <row r="4777" spans="5:5" x14ac:dyDescent="0.25">
      <c r="E4777" t="s">
        <v>4442</v>
      </c>
    </row>
    <row r="4778" spans="5:5" x14ac:dyDescent="0.25">
      <c r="E4778" t="s">
        <v>4443</v>
      </c>
    </row>
    <row r="4779" spans="5:5" x14ac:dyDescent="0.25">
      <c r="E4779" t="s">
        <v>4444</v>
      </c>
    </row>
    <row r="4780" spans="5:5" x14ac:dyDescent="0.25">
      <c r="E4780" t="s">
        <v>4445</v>
      </c>
    </row>
    <row r="4781" spans="5:5" x14ac:dyDescent="0.25">
      <c r="E4781" t="s">
        <v>4446</v>
      </c>
    </row>
    <row r="4782" spans="5:5" x14ac:dyDescent="0.25">
      <c r="E4782" t="s">
        <v>4447</v>
      </c>
    </row>
    <row r="4783" spans="5:5" x14ac:dyDescent="0.25">
      <c r="E4783" t="s">
        <v>4448</v>
      </c>
    </row>
    <row r="4784" spans="5:5" x14ac:dyDescent="0.25">
      <c r="E4784" t="s">
        <v>4449</v>
      </c>
    </row>
    <row r="4785" spans="5:5" x14ac:dyDescent="0.25">
      <c r="E4785" t="s">
        <v>4450</v>
      </c>
    </row>
    <row r="4786" spans="5:5" x14ac:dyDescent="0.25">
      <c r="E4786" t="s">
        <v>4451</v>
      </c>
    </row>
    <row r="4787" spans="5:5" x14ac:dyDescent="0.25">
      <c r="E4787" t="s">
        <v>4452</v>
      </c>
    </row>
    <row r="4788" spans="5:5" x14ac:dyDescent="0.25">
      <c r="E4788" t="s">
        <v>4453</v>
      </c>
    </row>
    <row r="4789" spans="5:5" x14ac:dyDescent="0.25">
      <c r="E4789" t="s">
        <v>4454</v>
      </c>
    </row>
    <row r="4790" spans="5:5" x14ac:dyDescent="0.25">
      <c r="E4790" t="s">
        <v>4455</v>
      </c>
    </row>
    <row r="4791" spans="5:5" x14ac:dyDescent="0.25">
      <c r="E4791" t="s">
        <v>4456</v>
      </c>
    </row>
    <row r="4792" spans="5:5" x14ac:dyDescent="0.25">
      <c r="E4792" t="s">
        <v>4457</v>
      </c>
    </row>
    <row r="4793" spans="5:5" x14ac:dyDescent="0.25">
      <c r="E4793" t="s">
        <v>4458</v>
      </c>
    </row>
    <row r="4794" spans="5:5" x14ac:dyDescent="0.25">
      <c r="E4794" t="s">
        <v>4459</v>
      </c>
    </row>
    <row r="4795" spans="5:5" x14ac:dyDescent="0.25">
      <c r="E4795" t="s">
        <v>4460</v>
      </c>
    </row>
    <row r="4796" spans="5:5" x14ac:dyDescent="0.25">
      <c r="E4796" t="s">
        <v>4461</v>
      </c>
    </row>
    <row r="4797" spans="5:5" x14ac:dyDescent="0.25">
      <c r="E4797" t="s">
        <v>4462</v>
      </c>
    </row>
    <row r="4798" spans="5:5" x14ac:dyDescent="0.25">
      <c r="E4798" t="s">
        <v>4463</v>
      </c>
    </row>
    <row r="4799" spans="5:5" x14ac:dyDescent="0.25">
      <c r="E4799" t="s">
        <v>4464</v>
      </c>
    </row>
    <row r="4800" spans="5:5" x14ac:dyDescent="0.25">
      <c r="E4800" t="s">
        <v>4465</v>
      </c>
    </row>
    <row r="4801" spans="5:5" x14ac:dyDescent="0.25">
      <c r="E4801" t="s">
        <v>4466</v>
      </c>
    </row>
    <row r="4802" spans="5:5" x14ac:dyDescent="0.25">
      <c r="E4802" t="s">
        <v>4467</v>
      </c>
    </row>
    <row r="4803" spans="5:5" x14ac:dyDescent="0.25">
      <c r="E4803" t="s">
        <v>4468</v>
      </c>
    </row>
    <row r="4804" spans="5:5" x14ac:dyDescent="0.25">
      <c r="E4804" t="s">
        <v>4469</v>
      </c>
    </row>
    <row r="4805" spans="5:5" x14ac:dyDescent="0.25">
      <c r="E4805" t="s">
        <v>4470</v>
      </c>
    </row>
    <row r="4806" spans="5:5" x14ac:dyDescent="0.25">
      <c r="E4806" t="s">
        <v>4471</v>
      </c>
    </row>
    <row r="4807" spans="5:5" x14ac:dyDescent="0.25">
      <c r="E4807" t="s">
        <v>4472</v>
      </c>
    </row>
    <row r="4808" spans="5:5" x14ac:dyDescent="0.25">
      <c r="E4808" t="s">
        <v>4473</v>
      </c>
    </row>
    <row r="4809" spans="5:5" x14ac:dyDescent="0.25">
      <c r="E4809" t="s">
        <v>4474</v>
      </c>
    </row>
    <row r="4810" spans="5:5" x14ac:dyDescent="0.25">
      <c r="E4810" t="s">
        <v>4475</v>
      </c>
    </row>
    <row r="4811" spans="5:5" x14ac:dyDescent="0.25">
      <c r="E4811" t="s">
        <v>4476</v>
      </c>
    </row>
    <row r="4812" spans="5:5" x14ac:dyDescent="0.25">
      <c r="E4812" t="s">
        <v>4477</v>
      </c>
    </row>
    <row r="4813" spans="5:5" x14ac:dyDescent="0.25">
      <c r="E4813" t="s">
        <v>4478</v>
      </c>
    </row>
    <row r="4814" spans="5:5" x14ac:dyDescent="0.25">
      <c r="E4814" t="s">
        <v>4479</v>
      </c>
    </row>
    <row r="4815" spans="5:5" x14ac:dyDescent="0.25">
      <c r="E4815" t="s">
        <v>4480</v>
      </c>
    </row>
    <row r="4816" spans="5:5" x14ac:dyDescent="0.25">
      <c r="E4816" t="s">
        <v>4481</v>
      </c>
    </row>
    <row r="4817" spans="5:5" x14ac:dyDescent="0.25">
      <c r="E4817" t="s">
        <v>4482</v>
      </c>
    </row>
    <row r="4818" spans="5:5" x14ac:dyDescent="0.25">
      <c r="E4818" t="s">
        <v>4483</v>
      </c>
    </row>
    <row r="4819" spans="5:5" x14ac:dyDescent="0.25">
      <c r="E4819" t="s">
        <v>4484</v>
      </c>
    </row>
    <row r="4820" spans="5:5" x14ac:dyDescent="0.25">
      <c r="E4820" t="s">
        <v>4485</v>
      </c>
    </row>
    <row r="4821" spans="5:5" x14ac:dyDescent="0.25">
      <c r="E4821" t="s">
        <v>4486</v>
      </c>
    </row>
    <row r="4822" spans="5:5" x14ac:dyDescent="0.25">
      <c r="E4822" t="s">
        <v>4487</v>
      </c>
    </row>
    <row r="4823" spans="5:5" x14ac:dyDescent="0.25">
      <c r="E4823" t="s">
        <v>4488</v>
      </c>
    </row>
    <row r="4824" spans="5:5" x14ac:dyDescent="0.25">
      <c r="E4824" t="s">
        <v>4489</v>
      </c>
    </row>
    <row r="4825" spans="5:5" x14ac:dyDescent="0.25">
      <c r="E4825" t="s">
        <v>4490</v>
      </c>
    </row>
    <row r="4826" spans="5:5" x14ac:dyDescent="0.25">
      <c r="E4826" t="s">
        <v>4491</v>
      </c>
    </row>
    <row r="4827" spans="5:5" x14ac:dyDescent="0.25">
      <c r="E4827" t="s">
        <v>4492</v>
      </c>
    </row>
    <row r="4828" spans="5:5" x14ac:dyDescent="0.25">
      <c r="E4828" t="s">
        <v>4493</v>
      </c>
    </row>
    <row r="4829" spans="5:5" x14ac:dyDescent="0.25">
      <c r="E4829" t="s">
        <v>4494</v>
      </c>
    </row>
    <row r="4830" spans="5:5" x14ac:dyDescent="0.25">
      <c r="E4830" t="s">
        <v>4495</v>
      </c>
    </row>
    <row r="4831" spans="5:5" x14ac:dyDescent="0.25">
      <c r="E4831" t="s">
        <v>4496</v>
      </c>
    </row>
    <row r="4832" spans="5:5" x14ac:dyDescent="0.25">
      <c r="E4832" t="s">
        <v>4497</v>
      </c>
    </row>
    <row r="4833" spans="5:5" x14ac:dyDescent="0.25">
      <c r="E4833" t="s">
        <v>4498</v>
      </c>
    </row>
    <row r="4834" spans="5:5" x14ac:dyDescent="0.25">
      <c r="E4834" t="s">
        <v>4499</v>
      </c>
    </row>
    <row r="4835" spans="5:5" x14ac:dyDescent="0.25">
      <c r="E4835" t="s">
        <v>4500</v>
      </c>
    </row>
    <row r="4836" spans="5:5" x14ac:dyDescent="0.25">
      <c r="E4836" t="s">
        <v>4501</v>
      </c>
    </row>
    <row r="4837" spans="5:5" x14ac:dyDescent="0.25">
      <c r="E4837" t="s">
        <v>4502</v>
      </c>
    </row>
    <row r="4838" spans="5:5" x14ac:dyDescent="0.25">
      <c r="E4838" t="s">
        <v>4503</v>
      </c>
    </row>
    <row r="4839" spans="5:5" x14ac:dyDescent="0.25">
      <c r="E4839" t="s">
        <v>4504</v>
      </c>
    </row>
    <row r="4840" spans="5:5" x14ac:dyDescent="0.25">
      <c r="E4840" t="s">
        <v>4505</v>
      </c>
    </row>
    <row r="4841" spans="5:5" x14ac:dyDescent="0.25">
      <c r="E4841" t="s">
        <v>4506</v>
      </c>
    </row>
    <row r="4842" spans="5:5" x14ac:dyDescent="0.25">
      <c r="E4842" t="s">
        <v>4507</v>
      </c>
    </row>
    <row r="4843" spans="5:5" x14ac:dyDescent="0.25">
      <c r="E4843" t="s">
        <v>4508</v>
      </c>
    </row>
    <row r="4844" spans="5:5" x14ac:dyDescent="0.25">
      <c r="E4844" t="s">
        <v>4509</v>
      </c>
    </row>
    <row r="4845" spans="5:5" x14ac:dyDescent="0.25">
      <c r="E4845" t="s">
        <v>4510</v>
      </c>
    </row>
    <row r="4846" spans="5:5" x14ac:dyDescent="0.25">
      <c r="E4846" t="s">
        <v>4511</v>
      </c>
    </row>
    <row r="4847" spans="5:5" x14ac:dyDescent="0.25">
      <c r="E4847" t="s">
        <v>4512</v>
      </c>
    </row>
    <row r="4848" spans="5:5" x14ac:dyDescent="0.25">
      <c r="E4848" t="s">
        <v>4513</v>
      </c>
    </row>
    <row r="4849" spans="5:5" x14ac:dyDescent="0.25">
      <c r="E4849" t="s">
        <v>4514</v>
      </c>
    </row>
    <row r="4850" spans="5:5" x14ac:dyDescent="0.25">
      <c r="E4850" t="s">
        <v>4515</v>
      </c>
    </row>
    <row r="4853" spans="5:5" x14ac:dyDescent="0.25">
      <c r="E4853" t="s">
        <v>4516</v>
      </c>
    </row>
    <row r="4854" spans="5:5" x14ac:dyDescent="0.25">
      <c r="E4854" t="s">
        <v>4517</v>
      </c>
    </row>
    <row r="4855" spans="5:5" x14ac:dyDescent="0.25">
      <c r="E4855" t="s">
        <v>4518</v>
      </c>
    </row>
    <row r="4856" spans="5:5" x14ac:dyDescent="0.25">
      <c r="E4856" t="s">
        <v>4519</v>
      </c>
    </row>
    <row r="4857" spans="5:5" x14ac:dyDescent="0.25">
      <c r="E4857" t="s">
        <v>4520</v>
      </c>
    </row>
    <row r="4858" spans="5:5" x14ac:dyDescent="0.25">
      <c r="E4858" t="s">
        <v>4521</v>
      </c>
    </row>
    <row r="4859" spans="5:5" x14ac:dyDescent="0.25">
      <c r="E4859" t="s">
        <v>4522</v>
      </c>
    </row>
    <row r="4860" spans="5:5" x14ac:dyDescent="0.25">
      <c r="E4860" t="s">
        <v>4523</v>
      </c>
    </row>
    <row r="4861" spans="5:5" x14ac:dyDescent="0.25">
      <c r="E4861" t="s">
        <v>4524</v>
      </c>
    </row>
    <row r="4862" spans="5:5" x14ac:dyDescent="0.25">
      <c r="E4862" t="s">
        <v>4525</v>
      </c>
    </row>
    <row r="4863" spans="5:5" x14ac:dyDescent="0.25">
      <c r="E4863" t="s">
        <v>4526</v>
      </c>
    </row>
    <row r="4864" spans="5:5" x14ac:dyDescent="0.25">
      <c r="E4864" t="s">
        <v>4527</v>
      </c>
    </row>
    <row r="4865" spans="5:5" x14ac:dyDescent="0.25">
      <c r="E4865" t="s">
        <v>4528</v>
      </c>
    </row>
    <row r="4866" spans="5:5" x14ac:dyDescent="0.25">
      <c r="E4866" t="s">
        <v>4529</v>
      </c>
    </row>
    <row r="4867" spans="5:5" x14ac:dyDescent="0.25">
      <c r="E4867" t="s">
        <v>4530</v>
      </c>
    </row>
    <row r="4868" spans="5:5" x14ac:dyDescent="0.25">
      <c r="E4868" t="s">
        <v>4531</v>
      </c>
    </row>
    <row r="4869" spans="5:5" x14ac:dyDescent="0.25">
      <c r="E4869" t="s">
        <v>4532</v>
      </c>
    </row>
    <row r="4870" spans="5:5" x14ac:dyDescent="0.25">
      <c r="E4870" t="s">
        <v>4533</v>
      </c>
    </row>
    <row r="4871" spans="5:5" x14ac:dyDescent="0.25">
      <c r="E4871" t="s">
        <v>4534</v>
      </c>
    </row>
    <row r="4872" spans="5:5" x14ac:dyDescent="0.25">
      <c r="E4872" t="s">
        <v>4535</v>
      </c>
    </row>
    <row r="4873" spans="5:5" x14ac:dyDescent="0.25">
      <c r="E4873" t="s">
        <v>4536</v>
      </c>
    </row>
    <row r="4874" spans="5:5" x14ac:dyDescent="0.25">
      <c r="E4874" t="s">
        <v>4537</v>
      </c>
    </row>
    <row r="4875" spans="5:5" x14ac:dyDescent="0.25">
      <c r="E4875" t="s">
        <v>4538</v>
      </c>
    </row>
    <row r="4876" spans="5:5" x14ac:dyDescent="0.25">
      <c r="E4876" t="s">
        <v>4539</v>
      </c>
    </row>
    <row r="4877" spans="5:5" x14ac:dyDescent="0.25">
      <c r="E4877" t="s">
        <v>4540</v>
      </c>
    </row>
    <row r="4878" spans="5:5" x14ac:dyDescent="0.25">
      <c r="E4878" t="s">
        <v>4541</v>
      </c>
    </row>
    <row r="4879" spans="5:5" x14ac:dyDescent="0.25">
      <c r="E4879" t="s">
        <v>4542</v>
      </c>
    </row>
    <row r="4880" spans="5:5" x14ac:dyDescent="0.25">
      <c r="E4880" t="s">
        <v>4543</v>
      </c>
    </row>
    <row r="4881" spans="5:5" x14ac:dyDescent="0.25">
      <c r="E4881" t="s">
        <v>4544</v>
      </c>
    </row>
    <row r="4882" spans="5:5" x14ac:dyDescent="0.25">
      <c r="E4882" t="s">
        <v>4545</v>
      </c>
    </row>
    <row r="4883" spans="5:5" x14ac:dyDescent="0.25">
      <c r="E4883" t="s">
        <v>4546</v>
      </c>
    </row>
    <row r="4884" spans="5:5" x14ac:dyDescent="0.25">
      <c r="E4884" t="s">
        <v>4547</v>
      </c>
    </row>
    <row r="4885" spans="5:5" x14ac:dyDescent="0.25">
      <c r="E4885" t="s">
        <v>4548</v>
      </c>
    </row>
    <row r="4886" spans="5:5" x14ac:dyDescent="0.25">
      <c r="E4886" t="s">
        <v>4549</v>
      </c>
    </row>
    <row r="4887" spans="5:5" x14ac:dyDescent="0.25">
      <c r="E4887" t="s">
        <v>4550</v>
      </c>
    </row>
    <row r="4888" spans="5:5" x14ac:dyDescent="0.25">
      <c r="E4888" t="s">
        <v>4551</v>
      </c>
    </row>
    <row r="4889" spans="5:5" x14ac:dyDescent="0.25">
      <c r="E4889" t="s">
        <v>4552</v>
      </c>
    </row>
    <row r="4890" spans="5:5" x14ac:dyDescent="0.25">
      <c r="E4890" t="s">
        <v>4553</v>
      </c>
    </row>
    <row r="4891" spans="5:5" x14ac:dyDescent="0.25">
      <c r="E4891" t="s">
        <v>4554</v>
      </c>
    </row>
    <row r="4892" spans="5:5" x14ac:dyDescent="0.25">
      <c r="E4892" t="s">
        <v>4555</v>
      </c>
    </row>
    <row r="4893" spans="5:5" x14ac:dyDescent="0.25">
      <c r="E4893" t="s">
        <v>4556</v>
      </c>
    </row>
    <row r="4894" spans="5:5" x14ac:dyDescent="0.25">
      <c r="E4894" t="s">
        <v>4557</v>
      </c>
    </row>
    <row r="4895" spans="5:5" x14ac:dyDescent="0.25">
      <c r="E4895" t="s">
        <v>4558</v>
      </c>
    </row>
    <row r="4896" spans="5:5" x14ac:dyDescent="0.25">
      <c r="E4896" t="s">
        <v>4559</v>
      </c>
    </row>
    <row r="4897" spans="5:5" x14ac:dyDescent="0.25">
      <c r="E4897" t="s">
        <v>4560</v>
      </c>
    </row>
    <row r="4898" spans="5:5" x14ac:dyDescent="0.25">
      <c r="E4898" t="s">
        <v>4561</v>
      </c>
    </row>
    <row r="4899" spans="5:5" x14ac:dyDescent="0.25">
      <c r="E4899" t="s">
        <v>4562</v>
      </c>
    </row>
    <row r="4900" spans="5:5" x14ac:dyDescent="0.25">
      <c r="E4900" t="s">
        <v>4563</v>
      </c>
    </row>
    <row r="4901" spans="5:5" x14ac:dyDescent="0.25">
      <c r="E4901" t="s">
        <v>4564</v>
      </c>
    </row>
    <row r="4902" spans="5:5" x14ac:dyDescent="0.25">
      <c r="E4902" t="s">
        <v>4565</v>
      </c>
    </row>
    <row r="4903" spans="5:5" x14ac:dyDescent="0.25">
      <c r="E4903" t="s">
        <v>4566</v>
      </c>
    </row>
    <row r="4904" spans="5:5" x14ac:dyDescent="0.25">
      <c r="E4904" t="s">
        <v>4567</v>
      </c>
    </row>
    <row r="4905" spans="5:5" x14ac:dyDescent="0.25">
      <c r="E4905" t="s">
        <v>4568</v>
      </c>
    </row>
    <row r="4906" spans="5:5" x14ac:dyDescent="0.25">
      <c r="E4906" t="s">
        <v>4569</v>
      </c>
    </row>
    <row r="4907" spans="5:5" x14ac:dyDescent="0.25">
      <c r="E4907" t="s">
        <v>4570</v>
      </c>
    </row>
    <row r="4908" spans="5:5" x14ac:dyDescent="0.25">
      <c r="E4908" t="s">
        <v>4571</v>
      </c>
    </row>
    <row r="4909" spans="5:5" x14ac:dyDescent="0.25">
      <c r="E4909" t="s">
        <v>4572</v>
      </c>
    </row>
    <row r="4910" spans="5:5" x14ac:dyDescent="0.25">
      <c r="E4910" t="s">
        <v>4573</v>
      </c>
    </row>
    <row r="4911" spans="5:5" x14ac:dyDescent="0.25">
      <c r="E4911" t="s">
        <v>4574</v>
      </c>
    </row>
    <row r="4912" spans="5:5" x14ac:dyDescent="0.25">
      <c r="E4912" t="s">
        <v>4575</v>
      </c>
    </row>
    <row r="4913" spans="5:5" x14ac:dyDescent="0.25">
      <c r="E4913" t="s">
        <v>4576</v>
      </c>
    </row>
    <row r="4914" spans="5:5" x14ac:dyDescent="0.25">
      <c r="E4914" t="s">
        <v>4577</v>
      </c>
    </row>
    <row r="4915" spans="5:5" x14ac:dyDescent="0.25">
      <c r="E4915" t="s">
        <v>4578</v>
      </c>
    </row>
    <row r="4916" spans="5:5" x14ac:dyDescent="0.25">
      <c r="E4916" t="s">
        <v>4579</v>
      </c>
    </row>
    <row r="4917" spans="5:5" x14ac:dyDescent="0.25">
      <c r="E4917" t="s">
        <v>4580</v>
      </c>
    </row>
    <row r="4918" spans="5:5" x14ac:dyDescent="0.25">
      <c r="E4918" t="s">
        <v>4581</v>
      </c>
    </row>
    <row r="4919" spans="5:5" x14ac:dyDescent="0.25">
      <c r="E4919" t="s">
        <v>4582</v>
      </c>
    </row>
    <row r="4920" spans="5:5" x14ac:dyDescent="0.25">
      <c r="E4920" t="s">
        <v>4583</v>
      </c>
    </row>
    <row r="4921" spans="5:5" x14ac:dyDescent="0.25">
      <c r="E4921" t="s">
        <v>4584</v>
      </c>
    </row>
    <row r="4922" spans="5:5" x14ac:dyDescent="0.25">
      <c r="E4922" t="s">
        <v>4585</v>
      </c>
    </row>
    <row r="4923" spans="5:5" x14ac:dyDescent="0.25">
      <c r="E4923" t="s">
        <v>4586</v>
      </c>
    </row>
    <row r="4924" spans="5:5" x14ac:dyDescent="0.25">
      <c r="E4924" t="s">
        <v>4587</v>
      </c>
    </row>
    <row r="4925" spans="5:5" x14ac:dyDescent="0.25">
      <c r="E4925" t="s">
        <v>4588</v>
      </c>
    </row>
    <row r="4926" spans="5:5" x14ac:dyDescent="0.25">
      <c r="E4926" t="s">
        <v>4589</v>
      </c>
    </row>
    <row r="4927" spans="5:5" x14ac:dyDescent="0.25">
      <c r="E4927" t="s">
        <v>4590</v>
      </c>
    </row>
    <row r="4928" spans="5:5" x14ac:dyDescent="0.25">
      <c r="E4928" t="s">
        <v>4591</v>
      </c>
    </row>
    <row r="4929" spans="5:5" x14ac:dyDescent="0.25">
      <c r="E4929" t="s">
        <v>4592</v>
      </c>
    </row>
    <row r="4930" spans="5:5" x14ac:dyDescent="0.25">
      <c r="E4930" t="s">
        <v>4593</v>
      </c>
    </row>
    <row r="4931" spans="5:5" x14ac:dyDescent="0.25">
      <c r="E4931" t="s">
        <v>4594</v>
      </c>
    </row>
    <row r="4932" spans="5:5" x14ac:dyDescent="0.25">
      <c r="E4932" t="s">
        <v>4595</v>
      </c>
    </row>
    <row r="4933" spans="5:5" x14ac:dyDescent="0.25">
      <c r="E4933" t="s">
        <v>4596</v>
      </c>
    </row>
    <row r="4934" spans="5:5" x14ac:dyDescent="0.25">
      <c r="E4934" t="s">
        <v>4597</v>
      </c>
    </row>
    <row r="4935" spans="5:5" x14ac:dyDescent="0.25">
      <c r="E4935" t="s">
        <v>4598</v>
      </c>
    </row>
    <row r="4936" spans="5:5" x14ac:dyDescent="0.25">
      <c r="E4936" t="s">
        <v>4599</v>
      </c>
    </row>
    <row r="4937" spans="5:5" x14ac:dyDescent="0.25">
      <c r="E4937" t="s">
        <v>4600</v>
      </c>
    </row>
    <row r="4938" spans="5:5" x14ac:dyDescent="0.25">
      <c r="E4938" t="s">
        <v>4601</v>
      </c>
    </row>
    <row r="4939" spans="5:5" x14ac:dyDescent="0.25">
      <c r="E4939" t="s">
        <v>4602</v>
      </c>
    </row>
    <row r="4940" spans="5:5" x14ac:dyDescent="0.25">
      <c r="E4940" t="s">
        <v>4603</v>
      </c>
    </row>
    <row r="4941" spans="5:5" x14ac:dyDescent="0.25">
      <c r="E4941" t="s">
        <v>4604</v>
      </c>
    </row>
    <row r="4942" spans="5:5" x14ac:dyDescent="0.25">
      <c r="E4942" t="s">
        <v>4605</v>
      </c>
    </row>
    <row r="4943" spans="5:5" x14ac:dyDescent="0.25">
      <c r="E4943" t="s">
        <v>4606</v>
      </c>
    </row>
    <row r="4944" spans="5:5" x14ac:dyDescent="0.25">
      <c r="E4944" t="s">
        <v>4607</v>
      </c>
    </row>
    <row r="4945" spans="5:5" x14ac:dyDescent="0.25">
      <c r="E4945" t="s">
        <v>4608</v>
      </c>
    </row>
    <row r="4946" spans="5:5" x14ac:dyDescent="0.25">
      <c r="E4946" t="s">
        <v>4609</v>
      </c>
    </row>
    <row r="4947" spans="5:5" x14ac:dyDescent="0.25">
      <c r="E4947" t="s">
        <v>4610</v>
      </c>
    </row>
    <row r="4948" spans="5:5" x14ac:dyDescent="0.25">
      <c r="E4948" t="s">
        <v>4611</v>
      </c>
    </row>
    <row r="4949" spans="5:5" x14ac:dyDescent="0.25">
      <c r="E4949" t="s">
        <v>4612</v>
      </c>
    </row>
    <row r="4950" spans="5:5" x14ac:dyDescent="0.25">
      <c r="E4950" t="s">
        <v>4613</v>
      </c>
    </row>
    <row r="4951" spans="5:5" x14ac:dyDescent="0.25">
      <c r="E4951" t="s">
        <v>4614</v>
      </c>
    </row>
    <row r="4952" spans="5:5" x14ac:dyDescent="0.25">
      <c r="E4952" t="s">
        <v>4615</v>
      </c>
    </row>
    <row r="4953" spans="5:5" x14ac:dyDescent="0.25">
      <c r="E4953" t="s">
        <v>4616</v>
      </c>
    </row>
    <row r="4954" spans="5:5" x14ac:dyDescent="0.25">
      <c r="E4954" t="s">
        <v>4617</v>
      </c>
    </row>
    <row r="4955" spans="5:5" x14ac:dyDescent="0.25">
      <c r="E4955" t="s">
        <v>4618</v>
      </c>
    </row>
    <row r="4956" spans="5:5" x14ac:dyDescent="0.25">
      <c r="E4956" t="s">
        <v>4619</v>
      </c>
    </row>
    <row r="4957" spans="5:5" x14ac:dyDescent="0.25">
      <c r="E4957" t="s">
        <v>4620</v>
      </c>
    </row>
    <row r="4958" spans="5:5" x14ac:dyDescent="0.25">
      <c r="E4958" t="s">
        <v>4621</v>
      </c>
    </row>
    <row r="4959" spans="5:5" x14ac:dyDescent="0.25">
      <c r="E4959" t="s">
        <v>4622</v>
      </c>
    </row>
    <row r="4960" spans="5:5" x14ac:dyDescent="0.25">
      <c r="E4960" t="s">
        <v>4623</v>
      </c>
    </row>
    <row r="4961" spans="5:5" x14ac:dyDescent="0.25">
      <c r="E4961" t="s">
        <v>4624</v>
      </c>
    </row>
    <row r="4962" spans="5:5" x14ac:dyDescent="0.25">
      <c r="E4962" t="s">
        <v>4625</v>
      </c>
    </row>
    <row r="4963" spans="5:5" x14ac:dyDescent="0.25">
      <c r="E4963" t="s">
        <v>4626</v>
      </c>
    </row>
    <row r="4964" spans="5:5" x14ac:dyDescent="0.25">
      <c r="E4964" t="s">
        <v>4627</v>
      </c>
    </row>
    <row r="4965" spans="5:5" x14ac:dyDescent="0.25">
      <c r="E4965" t="s">
        <v>4628</v>
      </c>
    </row>
    <row r="4966" spans="5:5" x14ac:dyDescent="0.25">
      <c r="E4966" t="s">
        <v>4629</v>
      </c>
    </row>
    <row r="4967" spans="5:5" x14ac:dyDescent="0.25">
      <c r="E4967" t="s">
        <v>4630</v>
      </c>
    </row>
    <row r="4968" spans="5:5" x14ac:dyDescent="0.25">
      <c r="E4968" t="s">
        <v>4631</v>
      </c>
    </row>
    <row r="4969" spans="5:5" x14ac:dyDescent="0.25">
      <c r="E4969" t="s">
        <v>4632</v>
      </c>
    </row>
    <row r="4970" spans="5:5" x14ac:dyDescent="0.25">
      <c r="E4970" t="s">
        <v>4633</v>
      </c>
    </row>
    <row r="4971" spans="5:5" x14ac:dyDescent="0.25">
      <c r="E4971" t="s">
        <v>4634</v>
      </c>
    </row>
    <row r="4972" spans="5:5" x14ac:dyDescent="0.25">
      <c r="E4972" t="s">
        <v>4635</v>
      </c>
    </row>
    <row r="4973" spans="5:5" x14ac:dyDescent="0.25">
      <c r="E4973" t="s">
        <v>4636</v>
      </c>
    </row>
    <row r="4974" spans="5:5" x14ac:dyDescent="0.25">
      <c r="E4974" t="s">
        <v>4637</v>
      </c>
    </row>
    <row r="4975" spans="5:5" x14ac:dyDescent="0.25">
      <c r="E4975" t="s">
        <v>4638</v>
      </c>
    </row>
    <row r="4976" spans="5:5" x14ac:dyDescent="0.25">
      <c r="E4976" t="s">
        <v>4639</v>
      </c>
    </row>
    <row r="4977" spans="5:5" x14ac:dyDescent="0.25">
      <c r="E4977" t="s">
        <v>4640</v>
      </c>
    </row>
    <row r="4978" spans="5:5" x14ac:dyDescent="0.25">
      <c r="E4978" t="s">
        <v>4641</v>
      </c>
    </row>
    <row r="4979" spans="5:5" x14ac:dyDescent="0.25">
      <c r="E4979" t="s">
        <v>4642</v>
      </c>
    </row>
    <row r="4980" spans="5:5" x14ac:dyDescent="0.25">
      <c r="E4980" t="s">
        <v>4643</v>
      </c>
    </row>
    <row r="4981" spans="5:5" x14ac:dyDescent="0.25">
      <c r="E4981" t="s">
        <v>4644</v>
      </c>
    </row>
    <row r="4982" spans="5:5" x14ac:dyDescent="0.25">
      <c r="E4982" t="s">
        <v>4645</v>
      </c>
    </row>
    <row r="4983" spans="5:5" x14ac:dyDescent="0.25">
      <c r="E4983" t="s">
        <v>4646</v>
      </c>
    </row>
    <row r="4984" spans="5:5" x14ac:dyDescent="0.25">
      <c r="E4984" t="s">
        <v>4647</v>
      </c>
    </row>
    <row r="4985" spans="5:5" x14ac:dyDescent="0.25">
      <c r="E4985" t="s">
        <v>4648</v>
      </c>
    </row>
    <row r="4986" spans="5:5" x14ac:dyDescent="0.25">
      <c r="E4986" t="s">
        <v>4649</v>
      </c>
    </row>
    <row r="4987" spans="5:5" x14ac:dyDescent="0.25">
      <c r="E4987" t="s">
        <v>4650</v>
      </c>
    </row>
    <row r="4988" spans="5:5" x14ac:dyDescent="0.25">
      <c r="E4988" t="s">
        <v>4651</v>
      </c>
    </row>
    <row r="4989" spans="5:5" x14ac:dyDescent="0.25">
      <c r="E4989" t="s">
        <v>4652</v>
      </c>
    </row>
    <row r="4990" spans="5:5" x14ac:dyDescent="0.25">
      <c r="E4990" t="s">
        <v>4653</v>
      </c>
    </row>
    <row r="4991" spans="5:5" x14ac:dyDescent="0.25">
      <c r="E4991" t="s">
        <v>4654</v>
      </c>
    </row>
    <row r="4992" spans="5:5" x14ac:dyDescent="0.25">
      <c r="E4992" t="s">
        <v>4655</v>
      </c>
    </row>
    <row r="4993" spans="5:5" x14ac:dyDescent="0.25">
      <c r="E4993" t="s">
        <v>4656</v>
      </c>
    </row>
    <row r="4994" spans="5:5" x14ac:dyDescent="0.25">
      <c r="E4994" t="s">
        <v>4657</v>
      </c>
    </row>
    <row r="4995" spans="5:5" x14ac:dyDescent="0.25">
      <c r="E4995" t="s">
        <v>4658</v>
      </c>
    </row>
    <row r="4996" spans="5:5" x14ac:dyDescent="0.25">
      <c r="E4996" t="s">
        <v>4659</v>
      </c>
    </row>
    <row r="4997" spans="5:5" x14ac:dyDescent="0.25">
      <c r="E4997" t="s">
        <v>4660</v>
      </c>
    </row>
    <row r="4998" spans="5:5" x14ac:dyDescent="0.25">
      <c r="E4998" t="s">
        <v>4661</v>
      </c>
    </row>
    <row r="4999" spans="5:5" x14ac:dyDescent="0.25">
      <c r="E4999" t="s">
        <v>4662</v>
      </c>
    </row>
    <row r="5000" spans="5:5" x14ac:dyDescent="0.25">
      <c r="E5000" t="s">
        <v>4663</v>
      </c>
    </row>
    <row r="5001" spans="5:5" x14ac:dyDescent="0.25">
      <c r="E5001" t="s">
        <v>4664</v>
      </c>
    </row>
    <row r="5002" spans="5:5" x14ac:dyDescent="0.25">
      <c r="E5002" t="s">
        <v>4665</v>
      </c>
    </row>
    <row r="5003" spans="5:5" x14ac:dyDescent="0.25">
      <c r="E5003" t="s">
        <v>4666</v>
      </c>
    </row>
    <row r="5004" spans="5:5" x14ac:dyDescent="0.25">
      <c r="E5004" t="s">
        <v>4667</v>
      </c>
    </row>
    <row r="5005" spans="5:5" x14ac:dyDescent="0.25">
      <c r="E5005" t="s">
        <v>4668</v>
      </c>
    </row>
    <row r="5006" spans="5:5" x14ac:dyDescent="0.25">
      <c r="E5006" t="s">
        <v>4669</v>
      </c>
    </row>
    <row r="5007" spans="5:5" x14ac:dyDescent="0.25">
      <c r="E5007" t="s">
        <v>4670</v>
      </c>
    </row>
    <row r="5008" spans="5:5" x14ac:dyDescent="0.25">
      <c r="E5008" t="s">
        <v>4671</v>
      </c>
    </row>
    <row r="5009" spans="5:5" x14ac:dyDescent="0.25">
      <c r="E5009" t="s">
        <v>4672</v>
      </c>
    </row>
    <row r="5010" spans="5:5" x14ac:dyDescent="0.25">
      <c r="E5010" t="s">
        <v>4673</v>
      </c>
    </row>
    <row r="5011" spans="5:5" x14ac:dyDescent="0.25">
      <c r="E5011" t="s">
        <v>4674</v>
      </c>
    </row>
    <row r="5012" spans="5:5" x14ac:dyDescent="0.25">
      <c r="E5012" t="s">
        <v>4675</v>
      </c>
    </row>
    <row r="5013" spans="5:5" x14ac:dyDescent="0.25">
      <c r="E5013" t="s">
        <v>4676</v>
      </c>
    </row>
    <row r="5014" spans="5:5" x14ac:dyDescent="0.25">
      <c r="E5014" t="s">
        <v>4677</v>
      </c>
    </row>
    <row r="5015" spans="5:5" x14ac:dyDescent="0.25">
      <c r="E5015" t="s">
        <v>4678</v>
      </c>
    </row>
    <row r="5016" spans="5:5" x14ac:dyDescent="0.25">
      <c r="E5016" t="s">
        <v>4679</v>
      </c>
    </row>
    <row r="5017" spans="5:5" x14ac:dyDescent="0.25">
      <c r="E5017" t="s">
        <v>4680</v>
      </c>
    </row>
    <row r="5018" spans="5:5" x14ac:dyDescent="0.25">
      <c r="E5018" t="s">
        <v>4681</v>
      </c>
    </row>
    <row r="5019" spans="5:5" x14ac:dyDescent="0.25">
      <c r="E5019" t="s">
        <v>4682</v>
      </c>
    </row>
    <row r="5020" spans="5:5" x14ac:dyDescent="0.25">
      <c r="E5020" t="s">
        <v>4683</v>
      </c>
    </row>
    <row r="5021" spans="5:5" x14ac:dyDescent="0.25">
      <c r="E5021" t="s">
        <v>4684</v>
      </c>
    </row>
    <row r="5022" spans="5:5" x14ac:dyDescent="0.25">
      <c r="E5022" t="s">
        <v>4685</v>
      </c>
    </row>
    <row r="5023" spans="5:5" x14ac:dyDescent="0.25">
      <c r="E5023" t="s">
        <v>4686</v>
      </c>
    </row>
    <row r="5024" spans="5:5" x14ac:dyDescent="0.25">
      <c r="E5024" t="s">
        <v>4687</v>
      </c>
    </row>
    <row r="5025" spans="5:5" x14ac:dyDescent="0.25">
      <c r="E5025" t="s">
        <v>4688</v>
      </c>
    </row>
    <row r="5026" spans="5:5" x14ac:dyDescent="0.25">
      <c r="E5026" t="s">
        <v>4689</v>
      </c>
    </row>
    <row r="5027" spans="5:5" x14ac:dyDescent="0.25">
      <c r="E5027" t="s">
        <v>4690</v>
      </c>
    </row>
    <row r="5028" spans="5:5" x14ac:dyDescent="0.25">
      <c r="E5028" t="s">
        <v>4691</v>
      </c>
    </row>
    <row r="5029" spans="5:5" x14ac:dyDescent="0.25">
      <c r="E5029" t="s">
        <v>4692</v>
      </c>
    </row>
    <row r="5030" spans="5:5" x14ac:dyDescent="0.25">
      <c r="E5030" t="s">
        <v>4693</v>
      </c>
    </row>
    <row r="5031" spans="5:5" x14ac:dyDescent="0.25">
      <c r="E5031" t="s">
        <v>4694</v>
      </c>
    </row>
    <row r="5032" spans="5:5" x14ac:dyDescent="0.25">
      <c r="E5032" t="s">
        <v>4695</v>
      </c>
    </row>
    <row r="5033" spans="5:5" x14ac:dyDescent="0.25">
      <c r="E5033" t="s">
        <v>4696</v>
      </c>
    </row>
    <row r="5034" spans="5:5" x14ac:dyDescent="0.25">
      <c r="E5034" t="s">
        <v>4697</v>
      </c>
    </row>
    <row r="5035" spans="5:5" x14ac:dyDescent="0.25">
      <c r="E5035" t="s">
        <v>4698</v>
      </c>
    </row>
    <row r="5036" spans="5:5" x14ac:dyDescent="0.25">
      <c r="E5036" t="s">
        <v>4699</v>
      </c>
    </row>
    <row r="5037" spans="5:5" x14ac:dyDescent="0.25">
      <c r="E5037" t="s">
        <v>4700</v>
      </c>
    </row>
    <row r="5038" spans="5:5" x14ac:dyDescent="0.25">
      <c r="E5038" t="s">
        <v>4701</v>
      </c>
    </row>
    <row r="5039" spans="5:5" x14ac:dyDescent="0.25">
      <c r="E5039" t="s">
        <v>4702</v>
      </c>
    </row>
    <row r="5040" spans="5:5" x14ac:dyDescent="0.25">
      <c r="E5040" t="s">
        <v>4703</v>
      </c>
    </row>
    <row r="5041" spans="5:5" x14ac:dyDescent="0.25">
      <c r="E5041" t="s">
        <v>4704</v>
      </c>
    </row>
    <row r="5042" spans="5:5" x14ac:dyDescent="0.25">
      <c r="E5042" t="s">
        <v>4705</v>
      </c>
    </row>
    <row r="5043" spans="5:5" x14ac:dyDescent="0.25">
      <c r="E5043" t="s">
        <v>4706</v>
      </c>
    </row>
    <row r="5044" spans="5:5" x14ac:dyDescent="0.25">
      <c r="E5044" t="s">
        <v>4707</v>
      </c>
    </row>
    <row r="5045" spans="5:5" x14ac:dyDescent="0.25">
      <c r="E5045" t="s">
        <v>4708</v>
      </c>
    </row>
    <row r="5046" spans="5:5" x14ac:dyDescent="0.25">
      <c r="E5046" t="s">
        <v>4709</v>
      </c>
    </row>
    <row r="5047" spans="5:5" x14ac:dyDescent="0.25">
      <c r="E5047" t="s">
        <v>4710</v>
      </c>
    </row>
    <row r="5048" spans="5:5" x14ac:dyDescent="0.25">
      <c r="E5048" t="s">
        <v>4711</v>
      </c>
    </row>
    <row r="5049" spans="5:5" x14ac:dyDescent="0.25">
      <c r="E5049" t="s">
        <v>4712</v>
      </c>
    </row>
    <row r="5050" spans="5:5" x14ac:dyDescent="0.25">
      <c r="E5050" t="s">
        <v>4713</v>
      </c>
    </row>
    <row r="5051" spans="5:5" x14ac:dyDescent="0.25">
      <c r="E5051" t="s">
        <v>4714</v>
      </c>
    </row>
    <row r="5052" spans="5:5" x14ac:dyDescent="0.25">
      <c r="E5052" t="s">
        <v>4715</v>
      </c>
    </row>
    <row r="5053" spans="5:5" x14ac:dyDescent="0.25">
      <c r="E5053" t="s">
        <v>4716</v>
      </c>
    </row>
    <row r="5054" spans="5:5" x14ac:dyDescent="0.25">
      <c r="E5054" t="s">
        <v>4717</v>
      </c>
    </row>
    <row r="5055" spans="5:5" x14ac:dyDescent="0.25">
      <c r="E5055" t="s">
        <v>4718</v>
      </c>
    </row>
    <row r="5056" spans="5:5" x14ac:dyDescent="0.25">
      <c r="E5056" t="s">
        <v>4719</v>
      </c>
    </row>
    <row r="5057" spans="5:5" x14ac:dyDescent="0.25">
      <c r="E5057" t="s">
        <v>4720</v>
      </c>
    </row>
    <row r="5058" spans="5:5" x14ac:dyDescent="0.25">
      <c r="E5058" t="s">
        <v>4721</v>
      </c>
    </row>
    <row r="5059" spans="5:5" x14ac:dyDescent="0.25">
      <c r="E5059" t="s">
        <v>4722</v>
      </c>
    </row>
    <row r="5060" spans="5:5" x14ac:dyDescent="0.25">
      <c r="E5060" t="s">
        <v>4723</v>
      </c>
    </row>
    <row r="5061" spans="5:5" x14ac:dyDescent="0.25">
      <c r="E5061" t="s">
        <v>4724</v>
      </c>
    </row>
    <row r="5062" spans="5:5" x14ac:dyDescent="0.25">
      <c r="E5062" t="s">
        <v>4725</v>
      </c>
    </row>
    <row r="5063" spans="5:5" x14ac:dyDescent="0.25">
      <c r="E5063" t="s">
        <v>4726</v>
      </c>
    </row>
    <row r="5064" spans="5:5" x14ac:dyDescent="0.25">
      <c r="E5064" t="s">
        <v>4727</v>
      </c>
    </row>
    <row r="5065" spans="5:5" x14ac:dyDescent="0.25">
      <c r="E5065" t="s">
        <v>4728</v>
      </c>
    </row>
    <row r="5066" spans="5:5" x14ac:dyDescent="0.25">
      <c r="E5066" t="s">
        <v>4729</v>
      </c>
    </row>
    <row r="5067" spans="5:5" x14ac:dyDescent="0.25">
      <c r="E5067" t="s">
        <v>4730</v>
      </c>
    </row>
    <row r="5068" spans="5:5" x14ac:dyDescent="0.25">
      <c r="E5068" t="s">
        <v>4731</v>
      </c>
    </row>
    <row r="5069" spans="5:5" x14ac:dyDescent="0.25">
      <c r="E5069" t="s">
        <v>4732</v>
      </c>
    </row>
    <row r="5070" spans="5:5" x14ac:dyDescent="0.25">
      <c r="E5070" t="s">
        <v>4733</v>
      </c>
    </row>
    <row r="5071" spans="5:5" x14ac:dyDescent="0.25">
      <c r="E5071" t="s">
        <v>4734</v>
      </c>
    </row>
    <row r="5072" spans="5:5" x14ac:dyDescent="0.25">
      <c r="E5072" t="s">
        <v>4735</v>
      </c>
    </row>
    <row r="5073" spans="5:5" x14ac:dyDescent="0.25">
      <c r="E5073" t="s">
        <v>4736</v>
      </c>
    </row>
    <row r="5074" spans="5:5" x14ac:dyDescent="0.25">
      <c r="E5074" t="s">
        <v>4737</v>
      </c>
    </row>
    <row r="5075" spans="5:5" x14ac:dyDescent="0.25">
      <c r="E5075" t="s">
        <v>4738</v>
      </c>
    </row>
    <row r="5076" spans="5:5" x14ac:dyDescent="0.25">
      <c r="E5076" t="s">
        <v>4739</v>
      </c>
    </row>
    <row r="5077" spans="5:5" x14ac:dyDescent="0.25">
      <c r="E5077" t="s">
        <v>4740</v>
      </c>
    </row>
    <row r="5078" spans="5:5" x14ac:dyDescent="0.25">
      <c r="E5078" t="s">
        <v>4741</v>
      </c>
    </row>
    <row r="5079" spans="5:5" x14ac:dyDescent="0.25">
      <c r="E5079" t="s">
        <v>4742</v>
      </c>
    </row>
    <row r="5080" spans="5:5" x14ac:dyDescent="0.25">
      <c r="E5080" t="s">
        <v>4743</v>
      </c>
    </row>
    <row r="5081" spans="5:5" x14ac:dyDescent="0.25">
      <c r="E5081" t="s">
        <v>4744</v>
      </c>
    </row>
    <row r="5082" spans="5:5" x14ac:dyDescent="0.25">
      <c r="E5082" t="s">
        <v>4745</v>
      </c>
    </row>
    <row r="5083" spans="5:5" x14ac:dyDescent="0.25">
      <c r="E5083" t="s">
        <v>4746</v>
      </c>
    </row>
    <row r="5084" spans="5:5" x14ac:dyDescent="0.25">
      <c r="E5084" t="s">
        <v>4747</v>
      </c>
    </row>
    <row r="5085" spans="5:5" x14ac:dyDescent="0.25">
      <c r="E5085" t="s">
        <v>4748</v>
      </c>
    </row>
    <row r="5086" spans="5:5" x14ac:dyDescent="0.25">
      <c r="E5086" t="s">
        <v>4749</v>
      </c>
    </row>
    <row r="5087" spans="5:5" x14ac:dyDescent="0.25">
      <c r="E5087" t="s">
        <v>4750</v>
      </c>
    </row>
    <row r="5088" spans="5:5" x14ac:dyDescent="0.25">
      <c r="E5088" t="s">
        <v>4751</v>
      </c>
    </row>
    <row r="5089" spans="5:5" x14ac:dyDescent="0.25">
      <c r="E5089" t="s">
        <v>4752</v>
      </c>
    </row>
    <row r="5090" spans="5:5" x14ac:dyDescent="0.25">
      <c r="E5090" t="s">
        <v>4753</v>
      </c>
    </row>
    <row r="5091" spans="5:5" x14ac:dyDescent="0.25">
      <c r="E5091" t="s">
        <v>4754</v>
      </c>
    </row>
    <row r="5092" spans="5:5" x14ac:dyDescent="0.25">
      <c r="E5092" t="s">
        <v>4755</v>
      </c>
    </row>
    <row r="5093" spans="5:5" x14ac:dyDescent="0.25">
      <c r="E5093" t="s">
        <v>4756</v>
      </c>
    </row>
    <row r="5094" spans="5:5" x14ac:dyDescent="0.25">
      <c r="E5094" t="s">
        <v>4757</v>
      </c>
    </row>
    <row r="5095" spans="5:5" x14ac:dyDescent="0.25">
      <c r="E5095" t="s">
        <v>4758</v>
      </c>
    </row>
    <row r="5096" spans="5:5" x14ac:dyDescent="0.25">
      <c r="E5096" t="s">
        <v>4759</v>
      </c>
    </row>
    <row r="5097" spans="5:5" x14ac:dyDescent="0.25">
      <c r="E5097" t="s">
        <v>4760</v>
      </c>
    </row>
    <row r="5098" spans="5:5" x14ac:dyDescent="0.25">
      <c r="E5098" t="s">
        <v>4761</v>
      </c>
    </row>
    <row r="5099" spans="5:5" x14ac:dyDescent="0.25">
      <c r="E5099" t="s">
        <v>4762</v>
      </c>
    </row>
    <row r="5100" spans="5:5" x14ac:dyDescent="0.25">
      <c r="E5100" t="s">
        <v>4763</v>
      </c>
    </row>
    <row r="5101" spans="5:5" x14ac:dyDescent="0.25">
      <c r="E5101" t="s">
        <v>4764</v>
      </c>
    </row>
    <row r="5102" spans="5:5" x14ac:dyDescent="0.25">
      <c r="E5102" t="s">
        <v>4765</v>
      </c>
    </row>
    <row r="5103" spans="5:5" x14ac:dyDescent="0.25">
      <c r="E5103" t="s">
        <v>4766</v>
      </c>
    </row>
    <row r="5104" spans="5:5" x14ac:dyDescent="0.25">
      <c r="E5104" t="s">
        <v>4767</v>
      </c>
    </row>
    <row r="5105" spans="5:5" x14ac:dyDescent="0.25">
      <c r="E5105" t="s">
        <v>4768</v>
      </c>
    </row>
    <row r="5106" spans="5:5" x14ac:dyDescent="0.25">
      <c r="E5106" t="s">
        <v>4769</v>
      </c>
    </row>
    <row r="5107" spans="5:5" x14ac:dyDescent="0.25">
      <c r="E5107" t="s">
        <v>4770</v>
      </c>
    </row>
    <row r="5108" spans="5:5" x14ac:dyDescent="0.25">
      <c r="E5108" t="s">
        <v>4771</v>
      </c>
    </row>
    <row r="5109" spans="5:5" x14ac:dyDescent="0.25">
      <c r="E5109" t="s">
        <v>4772</v>
      </c>
    </row>
    <row r="5110" spans="5:5" x14ac:dyDescent="0.25">
      <c r="E5110" t="s">
        <v>4773</v>
      </c>
    </row>
    <row r="5111" spans="5:5" x14ac:dyDescent="0.25">
      <c r="E5111" t="s">
        <v>4774</v>
      </c>
    </row>
    <row r="5112" spans="5:5" x14ac:dyDescent="0.25">
      <c r="E5112" t="s">
        <v>4775</v>
      </c>
    </row>
    <row r="5113" spans="5:5" x14ac:dyDescent="0.25">
      <c r="E5113" t="s">
        <v>4776</v>
      </c>
    </row>
    <row r="5114" spans="5:5" x14ac:dyDescent="0.25">
      <c r="E5114" t="s">
        <v>4777</v>
      </c>
    </row>
    <row r="5115" spans="5:5" x14ac:dyDescent="0.25">
      <c r="E5115" t="s">
        <v>4778</v>
      </c>
    </row>
    <row r="5116" spans="5:5" x14ac:dyDescent="0.25">
      <c r="E5116" t="s">
        <v>4779</v>
      </c>
    </row>
    <row r="5117" spans="5:5" x14ac:dyDescent="0.25">
      <c r="E5117" t="s">
        <v>4780</v>
      </c>
    </row>
    <row r="5118" spans="5:5" x14ac:dyDescent="0.25">
      <c r="E5118" t="s">
        <v>4781</v>
      </c>
    </row>
    <row r="5119" spans="5:5" x14ac:dyDescent="0.25">
      <c r="E5119" t="s">
        <v>4782</v>
      </c>
    </row>
    <row r="5120" spans="5:5" x14ac:dyDescent="0.25">
      <c r="E5120" t="s">
        <v>4783</v>
      </c>
    </row>
    <row r="5121" spans="5:5" x14ac:dyDescent="0.25">
      <c r="E5121" t="s">
        <v>4784</v>
      </c>
    </row>
    <row r="5122" spans="5:5" x14ac:dyDescent="0.25">
      <c r="E5122" t="s">
        <v>4785</v>
      </c>
    </row>
    <row r="5123" spans="5:5" x14ac:dyDescent="0.25">
      <c r="E5123" t="s">
        <v>4786</v>
      </c>
    </row>
    <row r="5124" spans="5:5" x14ac:dyDescent="0.25">
      <c r="E5124" t="s">
        <v>4787</v>
      </c>
    </row>
    <row r="5125" spans="5:5" x14ac:dyDescent="0.25">
      <c r="E5125" t="s">
        <v>4788</v>
      </c>
    </row>
    <row r="5126" spans="5:5" x14ac:dyDescent="0.25">
      <c r="E5126" t="s">
        <v>4789</v>
      </c>
    </row>
    <row r="5127" spans="5:5" x14ac:dyDescent="0.25">
      <c r="E5127" t="s">
        <v>4790</v>
      </c>
    </row>
    <row r="5128" spans="5:5" x14ac:dyDescent="0.25">
      <c r="E5128" t="s">
        <v>4791</v>
      </c>
    </row>
    <row r="5129" spans="5:5" x14ac:dyDescent="0.25">
      <c r="E5129" t="s">
        <v>4792</v>
      </c>
    </row>
    <row r="5130" spans="5:5" x14ac:dyDescent="0.25">
      <c r="E5130" t="s">
        <v>4793</v>
      </c>
    </row>
    <row r="5131" spans="5:5" x14ac:dyDescent="0.25">
      <c r="E5131" t="s">
        <v>4794</v>
      </c>
    </row>
    <row r="5132" spans="5:5" x14ac:dyDescent="0.25">
      <c r="E5132" t="s">
        <v>4795</v>
      </c>
    </row>
    <row r="5133" spans="5:5" x14ac:dyDescent="0.25">
      <c r="E5133" t="s">
        <v>4796</v>
      </c>
    </row>
    <row r="5134" spans="5:5" x14ac:dyDescent="0.25">
      <c r="E5134" t="s">
        <v>4797</v>
      </c>
    </row>
    <row r="5135" spans="5:5" x14ac:dyDescent="0.25">
      <c r="E5135" t="s">
        <v>4798</v>
      </c>
    </row>
    <row r="5136" spans="5:5" x14ac:dyDescent="0.25">
      <c r="E5136" t="s">
        <v>4799</v>
      </c>
    </row>
    <row r="5137" spans="5:5" x14ac:dyDescent="0.25">
      <c r="E5137" t="s">
        <v>4800</v>
      </c>
    </row>
    <row r="5138" spans="5:5" x14ac:dyDescent="0.25">
      <c r="E5138" t="s">
        <v>4801</v>
      </c>
    </row>
    <row r="5139" spans="5:5" x14ac:dyDescent="0.25">
      <c r="E5139" t="s">
        <v>4802</v>
      </c>
    </row>
    <row r="5140" spans="5:5" x14ac:dyDescent="0.25">
      <c r="E5140" t="s">
        <v>4803</v>
      </c>
    </row>
    <row r="5141" spans="5:5" x14ac:dyDescent="0.25">
      <c r="E5141" t="s">
        <v>4804</v>
      </c>
    </row>
    <row r="5142" spans="5:5" x14ac:dyDescent="0.25">
      <c r="E5142" t="s">
        <v>4805</v>
      </c>
    </row>
    <row r="5143" spans="5:5" x14ac:dyDescent="0.25">
      <c r="E5143" t="s">
        <v>4806</v>
      </c>
    </row>
    <row r="5144" spans="5:5" x14ac:dyDescent="0.25">
      <c r="E5144" t="s">
        <v>4807</v>
      </c>
    </row>
    <row r="5145" spans="5:5" x14ac:dyDescent="0.25">
      <c r="E5145" t="s">
        <v>4808</v>
      </c>
    </row>
    <row r="5146" spans="5:5" x14ac:dyDescent="0.25">
      <c r="E5146" t="s">
        <v>4809</v>
      </c>
    </row>
    <row r="5147" spans="5:5" x14ac:dyDescent="0.25">
      <c r="E5147" t="s">
        <v>4810</v>
      </c>
    </row>
    <row r="5148" spans="5:5" x14ac:dyDescent="0.25">
      <c r="E5148" t="s">
        <v>4811</v>
      </c>
    </row>
    <row r="5149" spans="5:5" x14ac:dyDescent="0.25">
      <c r="E5149" t="s">
        <v>4812</v>
      </c>
    </row>
    <row r="5150" spans="5:5" x14ac:dyDescent="0.25">
      <c r="E5150" t="s">
        <v>4813</v>
      </c>
    </row>
    <row r="5151" spans="5:5" x14ac:dyDescent="0.25">
      <c r="E5151" t="s">
        <v>4814</v>
      </c>
    </row>
    <row r="5152" spans="5:5" x14ac:dyDescent="0.25">
      <c r="E5152" t="s">
        <v>4815</v>
      </c>
    </row>
    <row r="5153" spans="5:5" x14ac:dyDescent="0.25">
      <c r="E5153" t="s">
        <v>4816</v>
      </c>
    </row>
    <row r="5154" spans="5:5" x14ac:dyDescent="0.25">
      <c r="E5154" t="s">
        <v>4817</v>
      </c>
    </row>
    <row r="5155" spans="5:5" x14ac:dyDescent="0.25">
      <c r="E5155" t="s">
        <v>4818</v>
      </c>
    </row>
    <row r="5156" spans="5:5" x14ac:dyDescent="0.25">
      <c r="E5156" t="s">
        <v>4819</v>
      </c>
    </row>
    <row r="5157" spans="5:5" x14ac:dyDescent="0.25">
      <c r="E5157" t="s">
        <v>4820</v>
      </c>
    </row>
    <row r="5158" spans="5:5" x14ac:dyDescent="0.25">
      <c r="E5158" t="s">
        <v>4821</v>
      </c>
    </row>
    <row r="5159" spans="5:5" x14ac:dyDescent="0.25">
      <c r="E5159" t="s">
        <v>4822</v>
      </c>
    </row>
    <row r="5160" spans="5:5" x14ac:dyDescent="0.25">
      <c r="E5160" t="s">
        <v>4823</v>
      </c>
    </row>
    <row r="5161" spans="5:5" x14ac:dyDescent="0.25">
      <c r="E5161" t="s">
        <v>4824</v>
      </c>
    </row>
    <row r="5162" spans="5:5" x14ac:dyDescent="0.25">
      <c r="E5162" t="s">
        <v>4825</v>
      </c>
    </row>
    <row r="5163" spans="5:5" x14ac:dyDescent="0.25">
      <c r="E5163" t="s">
        <v>4826</v>
      </c>
    </row>
    <row r="5164" spans="5:5" x14ac:dyDescent="0.25">
      <c r="E5164" t="s">
        <v>4827</v>
      </c>
    </row>
    <row r="5165" spans="5:5" x14ac:dyDescent="0.25">
      <c r="E5165" t="s">
        <v>4828</v>
      </c>
    </row>
    <row r="5166" spans="5:5" x14ac:dyDescent="0.25">
      <c r="E5166" t="s">
        <v>4829</v>
      </c>
    </row>
    <row r="5167" spans="5:5" x14ac:dyDescent="0.25">
      <c r="E5167" t="s">
        <v>4830</v>
      </c>
    </row>
    <row r="5168" spans="5:5" x14ac:dyDescent="0.25">
      <c r="E5168" t="s">
        <v>4831</v>
      </c>
    </row>
    <row r="5169" spans="5:5" x14ac:dyDescent="0.25">
      <c r="E5169" t="s">
        <v>4832</v>
      </c>
    </row>
    <row r="5170" spans="5:5" x14ac:dyDescent="0.25">
      <c r="E5170" t="s">
        <v>4833</v>
      </c>
    </row>
    <row r="5171" spans="5:5" x14ac:dyDescent="0.25">
      <c r="E5171" t="s">
        <v>4834</v>
      </c>
    </row>
    <row r="5172" spans="5:5" x14ac:dyDescent="0.25">
      <c r="E5172" t="s">
        <v>4835</v>
      </c>
    </row>
    <row r="5173" spans="5:5" x14ac:dyDescent="0.25">
      <c r="E5173" t="s">
        <v>4836</v>
      </c>
    </row>
    <row r="5174" spans="5:5" x14ac:dyDescent="0.25">
      <c r="E5174" t="s">
        <v>4837</v>
      </c>
    </row>
    <row r="5175" spans="5:5" x14ac:dyDescent="0.25">
      <c r="E5175" t="s">
        <v>4838</v>
      </c>
    </row>
    <row r="5176" spans="5:5" x14ac:dyDescent="0.25">
      <c r="E5176" t="s">
        <v>4839</v>
      </c>
    </row>
    <row r="5177" spans="5:5" x14ac:dyDescent="0.25">
      <c r="E5177" t="s">
        <v>4840</v>
      </c>
    </row>
    <row r="5178" spans="5:5" x14ac:dyDescent="0.25">
      <c r="E5178" t="s">
        <v>4841</v>
      </c>
    </row>
    <row r="5179" spans="5:5" x14ac:dyDescent="0.25">
      <c r="E5179" t="s">
        <v>4842</v>
      </c>
    </row>
    <row r="5180" spans="5:5" x14ac:dyDescent="0.25">
      <c r="E5180" t="s">
        <v>4843</v>
      </c>
    </row>
    <row r="5181" spans="5:5" x14ac:dyDescent="0.25">
      <c r="E5181" t="s">
        <v>4844</v>
      </c>
    </row>
    <row r="5182" spans="5:5" x14ac:dyDescent="0.25">
      <c r="E5182" t="s">
        <v>4845</v>
      </c>
    </row>
    <row r="5183" spans="5:5" x14ac:dyDescent="0.25">
      <c r="E5183" t="s">
        <v>4846</v>
      </c>
    </row>
    <row r="5184" spans="5:5" x14ac:dyDescent="0.25">
      <c r="E5184" t="s">
        <v>4847</v>
      </c>
    </row>
    <row r="5185" spans="5:5" x14ac:dyDescent="0.25">
      <c r="E5185" t="s">
        <v>4848</v>
      </c>
    </row>
    <row r="5186" spans="5:5" x14ac:dyDescent="0.25">
      <c r="E5186" t="s">
        <v>4849</v>
      </c>
    </row>
    <row r="5187" spans="5:5" x14ac:dyDescent="0.25">
      <c r="E5187" t="s">
        <v>4850</v>
      </c>
    </row>
    <row r="5188" spans="5:5" x14ac:dyDescent="0.25">
      <c r="E5188" t="s">
        <v>4851</v>
      </c>
    </row>
    <row r="5189" spans="5:5" x14ac:dyDescent="0.25">
      <c r="E5189" t="s">
        <v>4852</v>
      </c>
    </row>
    <row r="5190" spans="5:5" x14ac:dyDescent="0.25">
      <c r="E5190" t="s">
        <v>4853</v>
      </c>
    </row>
    <row r="5191" spans="5:5" x14ac:dyDescent="0.25">
      <c r="E5191" t="s">
        <v>4854</v>
      </c>
    </row>
    <row r="5192" spans="5:5" x14ac:dyDescent="0.25">
      <c r="E5192" t="s">
        <v>4855</v>
      </c>
    </row>
    <row r="5193" spans="5:5" x14ac:dyDescent="0.25">
      <c r="E5193" t="s">
        <v>4856</v>
      </c>
    </row>
    <row r="5194" spans="5:5" x14ac:dyDescent="0.25">
      <c r="E5194" t="s">
        <v>4857</v>
      </c>
    </row>
    <row r="5195" spans="5:5" x14ac:dyDescent="0.25">
      <c r="E5195" t="s">
        <v>4858</v>
      </c>
    </row>
    <row r="5196" spans="5:5" x14ac:dyDescent="0.25">
      <c r="E5196" t="s">
        <v>4859</v>
      </c>
    </row>
    <row r="5197" spans="5:5" x14ac:dyDescent="0.25">
      <c r="E5197" t="s">
        <v>4860</v>
      </c>
    </row>
    <row r="5198" spans="5:5" x14ac:dyDescent="0.25">
      <c r="E5198" t="s">
        <v>4861</v>
      </c>
    </row>
    <row r="5199" spans="5:5" x14ac:dyDescent="0.25">
      <c r="E5199" t="s">
        <v>4862</v>
      </c>
    </row>
    <row r="5200" spans="5:5" x14ac:dyDescent="0.25">
      <c r="E5200" t="s">
        <v>4863</v>
      </c>
    </row>
    <row r="5201" spans="5:5" x14ac:dyDescent="0.25">
      <c r="E5201" t="s">
        <v>4864</v>
      </c>
    </row>
    <row r="5202" spans="5:5" x14ac:dyDescent="0.25">
      <c r="E5202" t="s">
        <v>4865</v>
      </c>
    </row>
    <row r="5203" spans="5:5" x14ac:dyDescent="0.25">
      <c r="E5203" t="s">
        <v>4866</v>
      </c>
    </row>
    <row r="5204" spans="5:5" x14ac:dyDescent="0.25">
      <c r="E5204" t="s">
        <v>4867</v>
      </c>
    </row>
    <row r="5205" spans="5:5" x14ac:dyDescent="0.25">
      <c r="E5205" t="s">
        <v>4868</v>
      </c>
    </row>
    <row r="5206" spans="5:5" x14ac:dyDescent="0.25">
      <c r="E5206" t="s">
        <v>4869</v>
      </c>
    </row>
    <row r="5208" spans="5:5" x14ac:dyDescent="0.25">
      <c r="E5208" t="s">
        <v>4870</v>
      </c>
    </row>
    <row r="5209" spans="5:5" x14ac:dyDescent="0.25">
      <c r="E5209" t="s">
        <v>4871</v>
      </c>
    </row>
    <row r="5210" spans="5:5" x14ac:dyDescent="0.25">
      <c r="E5210" t="s">
        <v>4872</v>
      </c>
    </row>
    <row r="5211" spans="5:5" x14ac:dyDescent="0.25">
      <c r="E5211" t="s">
        <v>4873</v>
      </c>
    </row>
    <row r="5212" spans="5:5" x14ac:dyDescent="0.25">
      <c r="E5212" t="s">
        <v>4874</v>
      </c>
    </row>
    <row r="5213" spans="5:5" x14ac:dyDescent="0.25">
      <c r="E5213" t="s">
        <v>4875</v>
      </c>
    </row>
    <row r="5214" spans="5:5" x14ac:dyDescent="0.25">
      <c r="E5214" t="s">
        <v>4876</v>
      </c>
    </row>
    <row r="5215" spans="5:5" x14ac:dyDescent="0.25">
      <c r="E5215" t="s">
        <v>4877</v>
      </c>
    </row>
    <row r="5216" spans="5:5" x14ac:dyDescent="0.25">
      <c r="E5216" t="s">
        <v>4878</v>
      </c>
    </row>
    <row r="5217" spans="5:5" x14ac:dyDescent="0.25">
      <c r="E5217" t="s">
        <v>4879</v>
      </c>
    </row>
    <row r="5218" spans="5:5" x14ac:dyDescent="0.25">
      <c r="E5218" t="s">
        <v>4880</v>
      </c>
    </row>
    <row r="5219" spans="5:5" x14ac:dyDescent="0.25">
      <c r="E5219" t="s">
        <v>4881</v>
      </c>
    </row>
    <row r="5220" spans="5:5" x14ac:dyDescent="0.25">
      <c r="E5220" t="s">
        <v>4882</v>
      </c>
    </row>
    <row r="5221" spans="5:5" x14ac:dyDescent="0.25">
      <c r="E5221" t="s">
        <v>4883</v>
      </c>
    </row>
    <row r="5222" spans="5:5" x14ac:dyDescent="0.25">
      <c r="E5222" t="s">
        <v>4884</v>
      </c>
    </row>
    <row r="5223" spans="5:5" x14ac:dyDescent="0.25">
      <c r="E5223" t="s">
        <v>4885</v>
      </c>
    </row>
    <row r="5224" spans="5:5" x14ac:dyDescent="0.25">
      <c r="E5224" t="s">
        <v>4886</v>
      </c>
    </row>
    <row r="5225" spans="5:5" x14ac:dyDescent="0.25">
      <c r="E5225" t="s">
        <v>4887</v>
      </c>
    </row>
    <row r="5226" spans="5:5" x14ac:dyDescent="0.25">
      <c r="E5226" t="s">
        <v>4888</v>
      </c>
    </row>
    <row r="5227" spans="5:5" x14ac:dyDescent="0.25">
      <c r="E5227" t="s">
        <v>4889</v>
      </c>
    </row>
    <row r="5228" spans="5:5" x14ac:dyDescent="0.25">
      <c r="E5228" t="s">
        <v>4890</v>
      </c>
    </row>
    <row r="5229" spans="5:5" x14ac:dyDescent="0.25">
      <c r="E5229" t="s">
        <v>4891</v>
      </c>
    </row>
    <row r="5230" spans="5:5" x14ac:dyDescent="0.25">
      <c r="E5230" t="s">
        <v>4892</v>
      </c>
    </row>
    <row r="5231" spans="5:5" x14ac:dyDescent="0.25">
      <c r="E5231" t="s">
        <v>4893</v>
      </c>
    </row>
    <row r="5232" spans="5:5" x14ac:dyDescent="0.25">
      <c r="E5232" t="s">
        <v>4894</v>
      </c>
    </row>
    <row r="5233" spans="5:5" x14ac:dyDescent="0.25">
      <c r="E5233" t="s">
        <v>4895</v>
      </c>
    </row>
    <row r="5234" spans="5:5" x14ac:dyDescent="0.25">
      <c r="E5234" t="s">
        <v>4896</v>
      </c>
    </row>
    <row r="5235" spans="5:5" x14ac:dyDescent="0.25">
      <c r="E5235" t="s">
        <v>4897</v>
      </c>
    </row>
    <row r="5236" spans="5:5" x14ac:dyDescent="0.25">
      <c r="E5236" t="s">
        <v>4898</v>
      </c>
    </row>
    <row r="5237" spans="5:5" x14ac:dyDescent="0.25">
      <c r="E5237" t="s">
        <v>4899</v>
      </c>
    </row>
    <row r="5238" spans="5:5" x14ac:dyDescent="0.25">
      <c r="E5238" t="s">
        <v>4900</v>
      </c>
    </row>
    <row r="5239" spans="5:5" x14ac:dyDescent="0.25">
      <c r="E5239" t="s">
        <v>4901</v>
      </c>
    </row>
    <row r="5240" spans="5:5" x14ac:dyDescent="0.25">
      <c r="E5240" t="s">
        <v>4902</v>
      </c>
    </row>
    <row r="5241" spans="5:5" x14ac:dyDescent="0.25">
      <c r="E5241" t="s">
        <v>4903</v>
      </c>
    </row>
    <row r="5242" spans="5:5" x14ac:dyDescent="0.25">
      <c r="E5242" t="s">
        <v>4904</v>
      </c>
    </row>
    <row r="5243" spans="5:5" x14ac:dyDescent="0.25">
      <c r="E5243" t="s">
        <v>4905</v>
      </c>
    </row>
    <row r="5244" spans="5:5" x14ac:dyDescent="0.25">
      <c r="E5244" t="s">
        <v>4906</v>
      </c>
    </row>
    <row r="5245" spans="5:5" x14ac:dyDescent="0.25">
      <c r="E5245" t="s">
        <v>4907</v>
      </c>
    </row>
    <row r="5246" spans="5:5" x14ac:dyDescent="0.25">
      <c r="E5246" t="s">
        <v>4908</v>
      </c>
    </row>
    <row r="5247" spans="5:5" x14ac:dyDescent="0.25">
      <c r="E5247" t="s">
        <v>4909</v>
      </c>
    </row>
    <row r="5248" spans="5:5" x14ac:dyDescent="0.25">
      <c r="E5248" t="s">
        <v>4910</v>
      </c>
    </row>
    <row r="5249" spans="5:5" x14ac:dyDescent="0.25">
      <c r="E5249" t="s">
        <v>4911</v>
      </c>
    </row>
    <row r="5250" spans="5:5" x14ac:dyDescent="0.25">
      <c r="E5250" t="s">
        <v>4912</v>
      </c>
    </row>
    <row r="5251" spans="5:5" x14ac:dyDescent="0.25">
      <c r="E5251" t="s">
        <v>4913</v>
      </c>
    </row>
    <row r="5252" spans="5:5" x14ac:dyDescent="0.25">
      <c r="E5252" t="s">
        <v>4914</v>
      </c>
    </row>
    <row r="5253" spans="5:5" x14ac:dyDescent="0.25">
      <c r="E5253" t="s">
        <v>4915</v>
      </c>
    </row>
    <row r="5254" spans="5:5" x14ac:dyDescent="0.25">
      <c r="E5254" t="s">
        <v>4916</v>
      </c>
    </row>
    <row r="5255" spans="5:5" x14ac:dyDescent="0.25">
      <c r="E5255" t="s">
        <v>4917</v>
      </c>
    </row>
    <row r="5256" spans="5:5" x14ac:dyDescent="0.25">
      <c r="E5256" t="s">
        <v>4918</v>
      </c>
    </row>
    <row r="5257" spans="5:5" x14ac:dyDescent="0.25">
      <c r="E5257" t="s">
        <v>4919</v>
      </c>
    </row>
    <row r="5258" spans="5:5" x14ac:dyDescent="0.25">
      <c r="E5258" t="s">
        <v>4920</v>
      </c>
    </row>
    <row r="5259" spans="5:5" x14ac:dyDescent="0.25">
      <c r="E5259" t="s">
        <v>4921</v>
      </c>
    </row>
    <row r="5260" spans="5:5" x14ac:dyDescent="0.25">
      <c r="E5260" t="s">
        <v>4922</v>
      </c>
    </row>
    <row r="5261" spans="5:5" x14ac:dyDescent="0.25">
      <c r="E5261" t="s">
        <v>4923</v>
      </c>
    </row>
    <row r="5262" spans="5:5" x14ac:dyDescent="0.25">
      <c r="E5262" t="s">
        <v>4924</v>
      </c>
    </row>
    <row r="5263" spans="5:5" x14ac:dyDescent="0.25">
      <c r="E5263" t="s">
        <v>4925</v>
      </c>
    </row>
    <row r="5264" spans="5:5" x14ac:dyDescent="0.25">
      <c r="E5264" t="s">
        <v>4926</v>
      </c>
    </row>
    <row r="5265" spans="5:5" x14ac:dyDescent="0.25">
      <c r="E5265" t="s">
        <v>4927</v>
      </c>
    </row>
    <row r="5266" spans="5:5" x14ac:dyDescent="0.25">
      <c r="E5266" t="s">
        <v>4928</v>
      </c>
    </row>
    <row r="5267" spans="5:5" x14ac:dyDescent="0.25">
      <c r="E5267" t="s">
        <v>4929</v>
      </c>
    </row>
    <row r="5268" spans="5:5" x14ac:dyDescent="0.25">
      <c r="E5268" t="s">
        <v>4930</v>
      </c>
    </row>
    <row r="5269" spans="5:5" x14ac:dyDescent="0.25">
      <c r="E5269" t="s">
        <v>4931</v>
      </c>
    </row>
    <row r="5270" spans="5:5" x14ac:dyDescent="0.25">
      <c r="E5270" t="s">
        <v>4932</v>
      </c>
    </row>
    <row r="5271" spans="5:5" x14ac:dyDescent="0.25">
      <c r="E5271" t="s">
        <v>4933</v>
      </c>
    </row>
    <row r="5272" spans="5:5" x14ac:dyDescent="0.25">
      <c r="E5272" t="s">
        <v>4934</v>
      </c>
    </row>
    <row r="5273" spans="5:5" x14ac:dyDescent="0.25">
      <c r="E5273" t="s">
        <v>4935</v>
      </c>
    </row>
    <row r="5274" spans="5:5" x14ac:dyDescent="0.25">
      <c r="E5274" t="s">
        <v>4936</v>
      </c>
    </row>
    <row r="5275" spans="5:5" x14ac:dyDescent="0.25">
      <c r="E5275" t="s">
        <v>4937</v>
      </c>
    </row>
    <row r="5276" spans="5:5" x14ac:dyDescent="0.25">
      <c r="E5276" t="s">
        <v>4938</v>
      </c>
    </row>
    <row r="5277" spans="5:5" x14ac:dyDescent="0.25">
      <c r="E5277" t="s">
        <v>4939</v>
      </c>
    </row>
    <row r="5278" spans="5:5" x14ac:dyDescent="0.25">
      <c r="E5278" t="s">
        <v>4940</v>
      </c>
    </row>
    <row r="5279" spans="5:5" x14ac:dyDescent="0.25">
      <c r="E5279" t="s">
        <v>4941</v>
      </c>
    </row>
    <row r="5280" spans="5:5" x14ac:dyDescent="0.25">
      <c r="E5280" t="s">
        <v>4942</v>
      </c>
    </row>
    <row r="5281" spans="5:5" x14ac:dyDescent="0.25">
      <c r="E5281" t="s">
        <v>4943</v>
      </c>
    </row>
    <row r="5282" spans="5:5" x14ac:dyDescent="0.25">
      <c r="E5282" t="s">
        <v>4944</v>
      </c>
    </row>
    <row r="5283" spans="5:5" x14ac:dyDescent="0.25">
      <c r="E5283" t="s">
        <v>4945</v>
      </c>
    </row>
    <row r="5284" spans="5:5" x14ac:dyDescent="0.25">
      <c r="E5284" t="s">
        <v>4946</v>
      </c>
    </row>
    <row r="5285" spans="5:5" x14ac:dyDescent="0.25">
      <c r="E5285" t="s">
        <v>4947</v>
      </c>
    </row>
    <row r="5286" spans="5:5" x14ac:dyDescent="0.25">
      <c r="E5286" t="s">
        <v>4948</v>
      </c>
    </row>
    <row r="5287" spans="5:5" x14ac:dyDescent="0.25">
      <c r="E5287" t="s">
        <v>4949</v>
      </c>
    </row>
    <row r="5290" spans="5:5" x14ac:dyDescent="0.25">
      <c r="E5290" t="s">
        <v>4950</v>
      </c>
    </row>
    <row r="5291" spans="5:5" x14ac:dyDescent="0.25">
      <c r="E5291" t="s">
        <v>4951</v>
      </c>
    </row>
    <row r="5292" spans="5:5" x14ac:dyDescent="0.25">
      <c r="E5292" t="s">
        <v>4952</v>
      </c>
    </row>
    <row r="5293" spans="5:5" x14ac:dyDescent="0.25">
      <c r="E5293" t="s">
        <v>4953</v>
      </c>
    </row>
    <row r="5294" spans="5:5" x14ac:dyDescent="0.25">
      <c r="E5294" t="s">
        <v>4954</v>
      </c>
    </row>
    <row r="5295" spans="5:5" x14ac:dyDescent="0.25">
      <c r="E5295" t="s">
        <v>4955</v>
      </c>
    </row>
    <row r="5296" spans="5:5" x14ac:dyDescent="0.25">
      <c r="E5296" t="s">
        <v>4956</v>
      </c>
    </row>
    <row r="5297" spans="5:5" x14ac:dyDescent="0.25">
      <c r="E5297" t="s">
        <v>4957</v>
      </c>
    </row>
    <row r="5298" spans="5:5" x14ac:dyDescent="0.25">
      <c r="E5298" t="s">
        <v>4958</v>
      </c>
    </row>
    <row r="5299" spans="5:5" x14ac:dyDescent="0.25">
      <c r="E5299" t="s">
        <v>4959</v>
      </c>
    </row>
    <row r="5300" spans="5:5" x14ac:dyDescent="0.25">
      <c r="E5300" t="s">
        <v>4960</v>
      </c>
    </row>
    <row r="5301" spans="5:5" x14ac:dyDescent="0.25">
      <c r="E5301" t="s">
        <v>4961</v>
      </c>
    </row>
    <row r="5302" spans="5:5" x14ac:dyDescent="0.25">
      <c r="E5302" t="s">
        <v>4962</v>
      </c>
    </row>
    <row r="5303" spans="5:5" x14ac:dyDescent="0.25">
      <c r="E5303" t="s">
        <v>4963</v>
      </c>
    </row>
    <row r="5304" spans="5:5" x14ac:dyDescent="0.25">
      <c r="E5304" t="s">
        <v>4964</v>
      </c>
    </row>
    <row r="5305" spans="5:5" x14ac:dyDescent="0.25">
      <c r="E5305" t="s">
        <v>4965</v>
      </c>
    </row>
    <row r="5306" spans="5:5" x14ac:dyDescent="0.25">
      <c r="E5306" t="s">
        <v>4966</v>
      </c>
    </row>
    <row r="5307" spans="5:5" x14ac:dyDescent="0.25">
      <c r="E5307" t="s">
        <v>4967</v>
      </c>
    </row>
    <row r="5308" spans="5:5" x14ac:dyDescent="0.25">
      <c r="E5308" t="s">
        <v>4968</v>
      </c>
    </row>
    <row r="5309" spans="5:5" x14ac:dyDescent="0.25">
      <c r="E5309" t="s">
        <v>4969</v>
      </c>
    </row>
    <row r="5310" spans="5:5" x14ac:dyDescent="0.25">
      <c r="E5310" t="s">
        <v>4970</v>
      </c>
    </row>
    <row r="5311" spans="5:5" x14ac:dyDescent="0.25">
      <c r="E5311" t="s">
        <v>4971</v>
      </c>
    </row>
    <row r="5312" spans="5:5" x14ac:dyDescent="0.25">
      <c r="E5312" t="s">
        <v>4972</v>
      </c>
    </row>
    <row r="5313" spans="5:5" x14ac:dyDescent="0.25">
      <c r="E5313" t="s">
        <v>4973</v>
      </c>
    </row>
    <row r="5314" spans="5:5" x14ac:dyDescent="0.25">
      <c r="E5314" t="s">
        <v>4974</v>
      </c>
    </row>
    <row r="5315" spans="5:5" x14ac:dyDescent="0.25">
      <c r="E5315" t="s">
        <v>4975</v>
      </c>
    </row>
    <row r="5316" spans="5:5" x14ac:dyDescent="0.25">
      <c r="E5316" t="s">
        <v>4976</v>
      </c>
    </row>
    <row r="5317" spans="5:5" x14ac:dyDescent="0.25">
      <c r="E5317" t="s">
        <v>4977</v>
      </c>
    </row>
    <row r="5318" spans="5:5" x14ac:dyDescent="0.25">
      <c r="E5318" t="s">
        <v>4978</v>
      </c>
    </row>
    <row r="5319" spans="5:5" x14ac:dyDescent="0.25">
      <c r="E5319" t="s">
        <v>4979</v>
      </c>
    </row>
    <row r="5320" spans="5:5" x14ac:dyDescent="0.25">
      <c r="E5320" t="s">
        <v>4980</v>
      </c>
    </row>
    <row r="5321" spans="5:5" x14ac:dyDescent="0.25">
      <c r="E5321" t="s">
        <v>4981</v>
      </c>
    </row>
    <row r="5322" spans="5:5" x14ac:dyDescent="0.25">
      <c r="E5322" t="s">
        <v>4982</v>
      </c>
    </row>
    <row r="5323" spans="5:5" x14ac:dyDescent="0.25">
      <c r="E5323" t="s">
        <v>4983</v>
      </c>
    </row>
    <row r="5324" spans="5:5" x14ac:dyDescent="0.25">
      <c r="E5324" t="s">
        <v>4984</v>
      </c>
    </row>
    <row r="5325" spans="5:5" x14ac:dyDescent="0.25">
      <c r="E5325" t="s">
        <v>4985</v>
      </c>
    </row>
    <row r="5326" spans="5:5" x14ac:dyDescent="0.25">
      <c r="E5326" t="s">
        <v>4986</v>
      </c>
    </row>
    <row r="5327" spans="5:5" x14ac:dyDescent="0.25">
      <c r="E5327" t="s">
        <v>4987</v>
      </c>
    </row>
    <row r="5328" spans="5:5" x14ac:dyDescent="0.25">
      <c r="E5328" t="s">
        <v>4988</v>
      </c>
    </row>
    <row r="5329" spans="5:5" x14ac:dyDescent="0.25">
      <c r="E5329" t="s">
        <v>4989</v>
      </c>
    </row>
    <row r="5330" spans="5:5" x14ac:dyDescent="0.25">
      <c r="E5330" t="s">
        <v>4990</v>
      </c>
    </row>
    <row r="5331" spans="5:5" x14ac:dyDescent="0.25">
      <c r="E5331" t="s">
        <v>4991</v>
      </c>
    </row>
    <row r="5332" spans="5:5" x14ac:dyDescent="0.25">
      <c r="E5332" t="s">
        <v>4992</v>
      </c>
    </row>
    <row r="5333" spans="5:5" x14ac:dyDescent="0.25">
      <c r="E5333" t="s">
        <v>4993</v>
      </c>
    </row>
    <row r="5334" spans="5:5" x14ac:dyDescent="0.25">
      <c r="E5334" t="s">
        <v>4994</v>
      </c>
    </row>
    <row r="5335" spans="5:5" x14ac:dyDescent="0.25">
      <c r="E5335" t="s">
        <v>4995</v>
      </c>
    </row>
    <row r="5336" spans="5:5" x14ac:dyDescent="0.25">
      <c r="E5336" t="s">
        <v>4996</v>
      </c>
    </row>
    <row r="5337" spans="5:5" x14ac:dyDescent="0.25">
      <c r="E5337" t="s">
        <v>4997</v>
      </c>
    </row>
    <row r="5338" spans="5:5" x14ac:dyDescent="0.25">
      <c r="E5338" t="s">
        <v>4998</v>
      </c>
    </row>
    <row r="5339" spans="5:5" x14ac:dyDescent="0.25">
      <c r="E5339" t="s">
        <v>4999</v>
      </c>
    </row>
    <row r="5340" spans="5:5" x14ac:dyDescent="0.25">
      <c r="E5340" t="s">
        <v>5000</v>
      </c>
    </row>
    <row r="5341" spans="5:5" x14ac:dyDescent="0.25">
      <c r="E5341" t="s">
        <v>5001</v>
      </c>
    </row>
    <row r="5342" spans="5:5" x14ac:dyDescent="0.25">
      <c r="E5342" t="s">
        <v>5002</v>
      </c>
    </row>
    <row r="5343" spans="5:5" x14ac:dyDescent="0.25">
      <c r="E5343" t="s">
        <v>5003</v>
      </c>
    </row>
    <row r="5344" spans="5:5" x14ac:dyDescent="0.25">
      <c r="E5344" t="s">
        <v>5004</v>
      </c>
    </row>
    <row r="5345" spans="5:5" x14ac:dyDescent="0.25">
      <c r="E5345" t="s">
        <v>5005</v>
      </c>
    </row>
    <row r="5346" spans="5:5" x14ac:dyDescent="0.25">
      <c r="E5346" t="s">
        <v>5006</v>
      </c>
    </row>
    <row r="5347" spans="5:5" x14ac:dyDescent="0.25">
      <c r="E5347" t="s">
        <v>5007</v>
      </c>
    </row>
    <row r="5348" spans="5:5" x14ac:dyDescent="0.25">
      <c r="E5348" t="s">
        <v>5008</v>
      </c>
    </row>
    <row r="5349" spans="5:5" x14ac:dyDescent="0.25">
      <c r="E5349" t="s">
        <v>5009</v>
      </c>
    </row>
    <row r="5350" spans="5:5" x14ac:dyDescent="0.25">
      <c r="E5350" t="s">
        <v>5010</v>
      </c>
    </row>
    <row r="5351" spans="5:5" x14ac:dyDescent="0.25">
      <c r="E5351" t="s">
        <v>5011</v>
      </c>
    </row>
    <row r="5352" spans="5:5" x14ac:dyDescent="0.25">
      <c r="E5352" t="s">
        <v>5012</v>
      </c>
    </row>
    <row r="5353" spans="5:5" x14ac:dyDescent="0.25">
      <c r="E5353" t="s">
        <v>5013</v>
      </c>
    </row>
    <row r="5354" spans="5:5" x14ac:dyDescent="0.25">
      <c r="E5354" t="s">
        <v>5014</v>
      </c>
    </row>
    <row r="5355" spans="5:5" x14ac:dyDescent="0.25">
      <c r="E5355" t="s">
        <v>5015</v>
      </c>
    </row>
    <row r="5356" spans="5:5" x14ac:dyDescent="0.25">
      <c r="E5356" t="s">
        <v>5016</v>
      </c>
    </row>
    <row r="5357" spans="5:5" x14ac:dyDescent="0.25">
      <c r="E5357" t="s">
        <v>5017</v>
      </c>
    </row>
    <row r="5358" spans="5:5" x14ac:dyDescent="0.25">
      <c r="E5358" t="s">
        <v>5018</v>
      </c>
    </row>
    <row r="5359" spans="5:5" x14ac:dyDescent="0.25">
      <c r="E5359" t="s">
        <v>5019</v>
      </c>
    </row>
    <row r="5360" spans="5:5" x14ac:dyDescent="0.25">
      <c r="E5360" t="s">
        <v>5020</v>
      </c>
    </row>
    <row r="5361" spans="5:5" x14ac:dyDescent="0.25">
      <c r="E5361" t="s">
        <v>5021</v>
      </c>
    </row>
    <row r="5362" spans="5:5" x14ac:dyDescent="0.25">
      <c r="E5362" t="s">
        <v>5022</v>
      </c>
    </row>
    <row r="5363" spans="5:5" x14ac:dyDescent="0.25">
      <c r="E5363" t="s">
        <v>5023</v>
      </c>
    </row>
    <row r="5364" spans="5:5" x14ac:dyDescent="0.25">
      <c r="E5364" t="s">
        <v>5024</v>
      </c>
    </row>
    <row r="5365" spans="5:5" x14ac:dyDescent="0.25">
      <c r="E5365" t="s">
        <v>5025</v>
      </c>
    </row>
    <row r="5366" spans="5:5" x14ac:dyDescent="0.25">
      <c r="E5366" t="s">
        <v>5026</v>
      </c>
    </row>
    <row r="5367" spans="5:5" x14ac:dyDescent="0.25">
      <c r="E5367" t="s">
        <v>5027</v>
      </c>
    </row>
    <row r="5368" spans="5:5" x14ac:dyDescent="0.25">
      <c r="E5368" t="s">
        <v>5028</v>
      </c>
    </row>
    <row r="5369" spans="5:5" x14ac:dyDescent="0.25">
      <c r="E5369" t="s">
        <v>5029</v>
      </c>
    </row>
    <row r="5370" spans="5:5" x14ac:dyDescent="0.25">
      <c r="E5370" t="s">
        <v>5030</v>
      </c>
    </row>
    <row r="5371" spans="5:5" x14ac:dyDescent="0.25">
      <c r="E5371" t="s">
        <v>5031</v>
      </c>
    </row>
    <row r="5372" spans="5:5" x14ac:dyDescent="0.25">
      <c r="E5372" t="s">
        <v>5032</v>
      </c>
    </row>
    <row r="5373" spans="5:5" x14ac:dyDescent="0.25">
      <c r="E5373" t="s">
        <v>5033</v>
      </c>
    </row>
    <row r="5374" spans="5:5" x14ac:dyDescent="0.25">
      <c r="E5374" t="s">
        <v>5034</v>
      </c>
    </row>
    <row r="5375" spans="5:5" x14ac:dyDescent="0.25">
      <c r="E5375" t="s">
        <v>5035</v>
      </c>
    </row>
    <row r="5376" spans="5:5" x14ac:dyDescent="0.25">
      <c r="E5376" t="s">
        <v>5036</v>
      </c>
    </row>
    <row r="5377" spans="5:5" x14ac:dyDescent="0.25">
      <c r="E5377" t="s">
        <v>5037</v>
      </c>
    </row>
    <row r="5378" spans="5:5" x14ac:dyDescent="0.25">
      <c r="E5378" t="s">
        <v>5038</v>
      </c>
    </row>
    <row r="5379" spans="5:5" x14ac:dyDescent="0.25">
      <c r="E5379" t="s">
        <v>5039</v>
      </c>
    </row>
    <row r="5380" spans="5:5" x14ac:dyDescent="0.25">
      <c r="E5380" t="s">
        <v>5040</v>
      </c>
    </row>
    <row r="5381" spans="5:5" x14ac:dyDescent="0.25">
      <c r="E5381" t="s">
        <v>5041</v>
      </c>
    </row>
    <row r="5382" spans="5:5" x14ac:dyDescent="0.25">
      <c r="E5382" t="s">
        <v>5042</v>
      </c>
    </row>
    <row r="5383" spans="5:5" x14ac:dyDescent="0.25">
      <c r="E5383" t="s">
        <v>5043</v>
      </c>
    </row>
    <row r="5384" spans="5:5" x14ac:dyDescent="0.25">
      <c r="E5384" t="s">
        <v>5044</v>
      </c>
    </row>
    <row r="5385" spans="5:5" x14ac:dyDescent="0.25">
      <c r="E5385" t="s">
        <v>5045</v>
      </c>
    </row>
    <row r="5386" spans="5:5" x14ac:dyDescent="0.25">
      <c r="E5386" t="s">
        <v>5046</v>
      </c>
    </row>
    <row r="5387" spans="5:5" x14ac:dyDescent="0.25">
      <c r="E5387" t="s">
        <v>5047</v>
      </c>
    </row>
    <row r="5388" spans="5:5" x14ac:dyDescent="0.25">
      <c r="E5388" t="s">
        <v>5048</v>
      </c>
    </row>
    <row r="5389" spans="5:5" x14ac:dyDescent="0.25">
      <c r="E5389" t="s">
        <v>5049</v>
      </c>
    </row>
    <row r="5390" spans="5:5" x14ac:dyDescent="0.25">
      <c r="E5390" t="s">
        <v>5050</v>
      </c>
    </row>
    <row r="5391" spans="5:5" x14ac:dyDescent="0.25">
      <c r="E5391" t="s">
        <v>5051</v>
      </c>
    </row>
    <row r="5392" spans="5:5" x14ac:dyDescent="0.25">
      <c r="E5392" t="s">
        <v>5052</v>
      </c>
    </row>
    <row r="5393" spans="5:5" x14ac:dyDescent="0.25">
      <c r="E5393" t="s">
        <v>5053</v>
      </c>
    </row>
    <row r="5394" spans="5:5" x14ac:dyDescent="0.25">
      <c r="E5394" t="s">
        <v>5054</v>
      </c>
    </row>
    <row r="5395" spans="5:5" x14ac:dyDescent="0.25">
      <c r="E5395" t="s">
        <v>5055</v>
      </c>
    </row>
    <row r="5396" spans="5:5" x14ac:dyDescent="0.25">
      <c r="E5396" t="s">
        <v>5056</v>
      </c>
    </row>
    <row r="5397" spans="5:5" x14ac:dyDescent="0.25">
      <c r="E5397" t="s">
        <v>5057</v>
      </c>
    </row>
    <row r="5398" spans="5:5" x14ac:dyDescent="0.25">
      <c r="E5398" t="s">
        <v>5058</v>
      </c>
    </row>
    <row r="5399" spans="5:5" x14ac:dyDescent="0.25">
      <c r="E5399" t="s">
        <v>5059</v>
      </c>
    </row>
    <row r="5400" spans="5:5" x14ac:dyDescent="0.25">
      <c r="E5400" t="s">
        <v>5060</v>
      </c>
    </row>
    <row r="5401" spans="5:5" x14ac:dyDescent="0.25">
      <c r="E5401" t="s">
        <v>5061</v>
      </c>
    </row>
    <row r="5402" spans="5:5" x14ac:dyDescent="0.25">
      <c r="E5402" t="s">
        <v>5062</v>
      </c>
    </row>
    <row r="5403" spans="5:5" x14ac:dyDescent="0.25">
      <c r="E5403" t="s">
        <v>5063</v>
      </c>
    </row>
    <row r="5404" spans="5:5" x14ac:dyDescent="0.25">
      <c r="E5404" t="s">
        <v>5064</v>
      </c>
    </row>
    <row r="5405" spans="5:5" x14ac:dyDescent="0.25">
      <c r="E5405" t="s">
        <v>5065</v>
      </c>
    </row>
    <row r="5406" spans="5:5" x14ac:dyDescent="0.25">
      <c r="E5406" t="s">
        <v>5066</v>
      </c>
    </row>
    <row r="5407" spans="5:5" x14ac:dyDescent="0.25">
      <c r="E5407" t="s">
        <v>5067</v>
      </c>
    </row>
    <row r="5408" spans="5:5" x14ac:dyDescent="0.25">
      <c r="E5408" t="s">
        <v>5068</v>
      </c>
    </row>
    <row r="5409" spans="5:5" x14ac:dyDescent="0.25">
      <c r="E5409" t="s">
        <v>5069</v>
      </c>
    </row>
    <row r="5410" spans="5:5" x14ac:dyDescent="0.25">
      <c r="E5410" t="s">
        <v>5070</v>
      </c>
    </row>
    <row r="5411" spans="5:5" x14ac:dyDescent="0.25">
      <c r="E5411" t="s">
        <v>5071</v>
      </c>
    </row>
    <row r="5412" spans="5:5" x14ac:dyDescent="0.25">
      <c r="E5412" t="s">
        <v>5072</v>
      </c>
    </row>
    <row r="5413" spans="5:5" x14ac:dyDescent="0.25">
      <c r="E5413" t="s">
        <v>5073</v>
      </c>
    </row>
    <row r="5414" spans="5:5" x14ac:dyDescent="0.25">
      <c r="E5414" t="s">
        <v>5074</v>
      </c>
    </row>
    <row r="5415" spans="5:5" x14ac:dyDescent="0.25">
      <c r="E5415" t="s">
        <v>5075</v>
      </c>
    </row>
    <row r="5416" spans="5:5" x14ac:dyDescent="0.25">
      <c r="E5416" t="s">
        <v>5076</v>
      </c>
    </row>
    <row r="5417" spans="5:5" x14ac:dyDescent="0.25">
      <c r="E5417" t="s">
        <v>5077</v>
      </c>
    </row>
    <row r="5418" spans="5:5" x14ac:dyDescent="0.25">
      <c r="E5418" t="s">
        <v>5078</v>
      </c>
    </row>
    <row r="5419" spans="5:5" x14ac:dyDescent="0.25">
      <c r="E5419" t="s">
        <v>5079</v>
      </c>
    </row>
    <row r="5420" spans="5:5" x14ac:dyDescent="0.25">
      <c r="E5420" t="s">
        <v>5080</v>
      </c>
    </row>
    <row r="5421" spans="5:5" x14ac:dyDescent="0.25">
      <c r="E5421" t="s">
        <v>5081</v>
      </c>
    </row>
    <row r="5422" spans="5:5" x14ac:dyDescent="0.25">
      <c r="E5422" t="s">
        <v>5082</v>
      </c>
    </row>
    <row r="5423" spans="5:5" x14ac:dyDescent="0.25">
      <c r="E5423" t="s">
        <v>5083</v>
      </c>
    </row>
    <row r="5424" spans="5:5" x14ac:dyDescent="0.25">
      <c r="E5424" t="s">
        <v>5084</v>
      </c>
    </row>
    <row r="5425" spans="5:5" x14ac:dyDescent="0.25">
      <c r="E5425" t="s">
        <v>5085</v>
      </c>
    </row>
    <row r="5426" spans="5:5" x14ac:dyDescent="0.25">
      <c r="E5426" t="s">
        <v>5086</v>
      </c>
    </row>
    <row r="5427" spans="5:5" x14ac:dyDescent="0.25">
      <c r="E5427" t="s">
        <v>5087</v>
      </c>
    </row>
    <row r="5428" spans="5:5" x14ac:dyDescent="0.25">
      <c r="E5428" t="s">
        <v>5088</v>
      </c>
    </row>
    <row r="5429" spans="5:5" x14ac:dyDescent="0.25">
      <c r="E5429" t="s">
        <v>5089</v>
      </c>
    </row>
    <row r="5430" spans="5:5" x14ac:dyDescent="0.25">
      <c r="E5430" t="s">
        <v>5090</v>
      </c>
    </row>
    <row r="5431" spans="5:5" x14ac:dyDescent="0.25">
      <c r="E5431" t="s">
        <v>5091</v>
      </c>
    </row>
    <row r="5432" spans="5:5" x14ac:dyDescent="0.25">
      <c r="E5432" t="s">
        <v>5092</v>
      </c>
    </row>
    <row r="5433" spans="5:5" x14ac:dyDescent="0.25">
      <c r="E5433" t="s">
        <v>5093</v>
      </c>
    </row>
    <row r="5434" spans="5:5" x14ac:dyDescent="0.25">
      <c r="E5434" t="s">
        <v>5094</v>
      </c>
    </row>
    <row r="5435" spans="5:5" x14ac:dyDescent="0.25">
      <c r="E5435" t="s">
        <v>5095</v>
      </c>
    </row>
    <row r="5436" spans="5:5" x14ac:dyDescent="0.25">
      <c r="E5436" t="s">
        <v>5096</v>
      </c>
    </row>
    <row r="5437" spans="5:5" x14ac:dyDescent="0.25">
      <c r="E5437" t="s">
        <v>5097</v>
      </c>
    </row>
    <row r="5438" spans="5:5" x14ac:dyDescent="0.25">
      <c r="E5438" t="s">
        <v>5098</v>
      </c>
    </row>
    <row r="5439" spans="5:5" x14ac:dyDescent="0.25">
      <c r="E5439" t="s">
        <v>5099</v>
      </c>
    </row>
    <row r="5440" spans="5:5" x14ac:dyDescent="0.25">
      <c r="E5440" t="s">
        <v>5100</v>
      </c>
    </row>
    <row r="5441" spans="5:5" x14ac:dyDescent="0.25">
      <c r="E5441" t="s">
        <v>5101</v>
      </c>
    </row>
    <row r="5442" spans="5:5" x14ac:dyDescent="0.25">
      <c r="E5442" t="s">
        <v>5102</v>
      </c>
    </row>
    <row r="5443" spans="5:5" x14ac:dyDescent="0.25">
      <c r="E5443" t="s">
        <v>5103</v>
      </c>
    </row>
    <row r="5444" spans="5:5" x14ac:dyDescent="0.25">
      <c r="E5444" t="s">
        <v>5104</v>
      </c>
    </row>
    <row r="5445" spans="5:5" x14ac:dyDescent="0.25">
      <c r="E5445" t="s">
        <v>5105</v>
      </c>
    </row>
    <row r="5446" spans="5:5" x14ac:dyDescent="0.25">
      <c r="E5446" t="s">
        <v>5106</v>
      </c>
    </row>
    <row r="5447" spans="5:5" x14ac:dyDescent="0.25">
      <c r="E5447" t="s">
        <v>5107</v>
      </c>
    </row>
    <row r="5448" spans="5:5" x14ac:dyDescent="0.25">
      <c r="E5448" t="s">
        <v>5108</v>
      </c>
    </row>
    <row r="5449" spans="5:5" x14ac:dyDescent="0.25">
      <c r="E5449" t="s">
        <v>5109</v>
      </c>
    </row>
    <row r="5450" spans="5:5" x14ac:dyDescent="0.25">
      <c r="E5450" t="s">
        <v>5110</v>
      </c>
    </row>
    <row r="5451" spans="5:5" x14ac:dyDescent="0.25">
      <c r="E5451" t="s">
        <v>5111</v>
      </c>
    </row>
    <row r="5452" spans="5:5" x14ac:dyDescent="0.25">
      <c r="E5452" t="s">
        <v>5112</v>
      </c>
    </row>
    <row r="5453" spans="5:5" x14ac:dyDescent="0.25">
      <c r="E5453" t="s">
        <v>5113</v>
      </c>
    </row>
    <row r="5454" spans="5:5" x14ac:dyDescent="0.25">
      <c r="E5454" t="s">
        <v>5114</v>
      </c>
    </row>
    <row r="5455" spans="5:5" x14ac:dyDescent="0.25">
      <c r="E5455" t="s">
        <v>5115</v>
      </c>
    </row>
    <row r="5456" spans="5:5" x14ac:dyDescent="0.25">
      <c r="E5456" t="s">
        <v>5116</v>
      </c>
    </row>
    <row r="5457" spans="5:5" x14ac:dyDescent="0.25">
      <c r="E5457" t="s">
        <v>5117</v>
      </c>
    </row>
    <row r="5458" spans="5:5" x14ac:dyDescent="0.25">
      <c r="E5458" t="s">
        <v>5118</v>
      </c>
    </row>
    <row r="5459" spans="5:5" x14ac:dyDescent="0.25">
      <c r="E5459" t="s">
        <v>5119</v>
      </c>
    </row>
    <row r="5460" spans="5:5" x14ac:dyDescent="0.25">
      <c r="E5460" t="s">
        <v>5120</v>
      </c>
    </row>
    <row r="5461" spans="5:5" x14ac:dyDescent="0.25">
      <c r="E5461" t="s">
        <v>5121</v>
      </c>
    </row>
    <row r="5462" spans="5:5" x14ac:dyDescent="0.25">
      <c r="E5462" t="s">
        <v>5122</v>
      </c>
    </row>
    <row r="5463" spans="5:5" x14ac:dyDescent="0.25">
      <c r="E5463" t="s">
        <v>5123</v>
      </c>
    </row>
    <row r="5464" spans="5:5" x14ac:dyDescent="0.25">
      <c r="E5464" t="s">
        <v>5124</v>
      </c>
    </row>
    <row r="5465" spans="5:5" x14ac:dyDescent="0.25">
      <c r="E5465" t="s">
        <v>5125</v>
      </c>
    </row>
    <row r="5466" spans="5:5" x14ac:dyDescent="0.25">
      <c r="E5466" t="s">
        <v>5126</v>
      </c>
    </row>
    <row r="5467" spans="5:5" x14ac:dyDescent="0.25">
      <c r="E5467" t="s">
        <v>5127</v>
      </c>
    </row>
    <row r="5468" spans="5:5" x14ac:dyDescent="0.25">
      <c r="E5468" t="s">
        <v>5128</v>
      </c>
    </row>
    <row r="5469" spans="5:5" x14ac:dyDescent="0.25">
      <c r="E5469" t="s">
        <v>5129</v>
      </c>
    </row>
    <row r="5470" spans="5:5" x14ac:dyDescent="0.25">
      <c r="E5470" t="s">
        <v>5130</v>
      </c>
    </row>
    <row r="5471" spans="5:5" x14ac:dyDescent="0.25">
      <c r="E5471" t="s">
        <v>5131</v>
      </c>
    </row>
    <row r="5472" spans="5:5" x14ac:dyDescent="0.25">
      <c r="E5472" t="s">
        <v>5132</v>
      </c>
    </row>
    <row r="5473" spans="5:5" x14ac:dyDescent="0.25">
      <c r="E5473" t="s">
        <v>5133</v>
      </c>
    </row>
    <row r="5474" spans="5:5" x14ac:dyDescent="0.25">
      <c r="E5474" t="s">
        <v>5134</v>
      </c>
    </row>
    <row r="5475" spans="5:5" x14ac:dyDescent="0.25">
      <c r="E5475" t="s">
        <v>5135</v>
      </c>
    </row>
    <row r="5476" spans="5:5" x14ac:dyDescent="0.25">
      <c r="E5476" t="s">
        <v>5136</v>
      </c>
    </row>
    <row r="5477" spans="5:5" x14ac:dyDescent="0.25">
      <c r="E5477" t="s">
        <v>5137</v>
      </c>
    </row>
    <row r="5478" spans="5:5" x14ac:dyDescent="0.25">
      <c r="E5478" t="s">
        <v>5138</v>
      </c>
    </row>
    <row r="5479" spans="5:5" x14ac:dyDescent="0.25">
      <c r="E5479" t="s">
        <v>5139</v>
      </c>
    </row>
    <row r="5480" spans="5:5" x14ac:dyDescent="0.25">
      <c r="E5480" t="s">
        <v>5140</v>
      </c>
    </row>
    <row r="5481" spans="5:5" x14ac:dyDescent="0.25">
      <c r="E5481" t="s">
        <v>5141</v>
      </c>
    </row>
    <row r="5482" spans="5:5" x14ac:dyDescent="0.25">
      <c r="E5482" t="s">
        <v>5142</v>
      </c>
    </row>
    <row r="5483" spans="5:5" x14ac:dyDescent="0.25">
      <c r="E5483" t="s">
        <v>5143</v>
      </c>
    </row>
    <row r="5484" spans="5:5" x14ac:dyDescent="0.25">
      <c r="E5484" t="s">
        <v>5144</v>
      </c>
    </row>
    <row r="5485" spans="5:5" x14ac:dyDescent="0.25">
      <c r="E5485" t="s">
        <v>5145</v>
      </c>
    </row>
    <row r="5486" spans="5:5" x14ac:dyDescent="0.25">
      <c r="E5486" t="s">
        <v>5146</v>
      </c>
    </row>
    <row r="5487" spans="5:5" x14ac:dyDescent="0.25">
      <c r="E5487" t="s">
        <v>5147</v>
      </c>
    </row>
    <row r="5488" spans="5:5" x14ac:dyDescent="0.25">
      <c r="E5488" t="s">
        <v>5148</v>
      </c>
    </row>
    <row r="5489" spans="5:5" x14ac:dyDescent="0.25">
      <c r="E5489" t="s">
        <v>5149</v>
      </c>
    </row>
    <row r="5490" spans="5:5" x14ac:dyDescent="0.25">
      <c r="E5490" t="s">
        <v>5150</v>
      </c>
    </row>
    <row r="5491" spans="5:5" x14ac:dyDescent="0.25">
      <c r="E5491" t="s">
        <v>5151</v>
      </c>
    </row>
    <row r="5492" spans="5:5" x14ac:dyDescent="0.25">
      <c r="E5492" t="s">
        <v>5152</v>
      </c>
    </row>
    <row r="5493" spans="5:5" x14ac:dyDescent="0.25">
      <c r="E5493" t="s">
        <v>5153</v>
      </c>
    </row>
    <row r="5494" spans="5:5" x14ac:dyDescent="0.25">
      <c r="E5494" t="s">
        <v>5154</v>
      </c>
    </row>
    <row r="5495" spans="5:5" x14ac:dyDescent="0.25">
      <c r="E5495" t="s">
        <v>5155</v>
      </c>
    </row>
    <row r="5496" spans="5:5" x14ac:dyDescent="0.25">
      <c r="E5496" t="s">
        <v>5156</v>
      </c>
    </row>
    <row r="5497" spans="5:5" x14ac:dyDescent="0.25">
      <c r="E5497" t="s">
        <v>5157</v>
      </c>
    </row>
    <row r="5498" spans="5:5" x14ac:dyDescent="0.25">
      <c r="E5498" t="s">
        <v>5158</v>
      </c>
    </row>
    <row r="5499" spans="5:5" x14ac:dyDescent="0.25">
      <c r="E5499" t="s">
        <v>5159</v>
      </c>
    </row>
    <row r="5500" spans="5:5" x14ac:dyDescent="0.25">
      <c r="E5500" t="s">
        <v>5160</v>
      </c>
    </row>
    <row r="5501" spans="5:5" x14ac:dyDescent="0.25">
      <c r="E5501" t="s">
        <v>5161</v>
      </c>
    </row>
    <row r="5502" spans="5:5" x14ac:dyDescent="0.25">
      <c r="E5502" t="s">
        <v>5162</v>
      </c>
    </row>
    <row r="5503" spans="5:5" x14ac:dyDescent="0.25">
      <c r="E5503" t="s">
        <v>5163</v>
      </c>
    </row>
    <row r="5504" spans="5:5" x14ac:dyDescent="0.25">
      <c r="E5504" t="s">
        <v>5164</v>
      </c>
    </row>
    <row r="5506" spans="5:5" x14ac:dyDescent="0.25">
      <c r="E5506" t="s">
        <v>5165</v>
      </c>
    </row>
    <row r="5507" spans="5:5" x14ac:dyDescent="0.25">
      <c r="E5507" t="s">
        <v>5166</v>
      </c>
    </row>
    <row r="5508" spans="5:5" x14ac:dyDescent="0.25">
      <c r="E5508" t="s">
        <v>5167</v>
      </c>
    </row>
    <row r="5509" spans="5:5" x14ac:dyDescent="0.25">
      <c r="E5509" t="s">
        <v>5168</v>
      </c>
    </row>
    <row r="5510" spans="5:5" x14ac:dyDescent="0.25">
      <c r="E5510" t="s">
        <v>5169</v>
      </c>
    </row>
    <row r="5511" spans="5:5" x14ac:dyDescent="0.25">
      <c r="E5511" t="s">
        <v>5170</v>
      </c>
    </row>
    <row r="5512" spans="5:5" x14ac:dyDescent="0.25">
      <c r="E5512" t="s">
        <v>5171</v>
      </c>
    </row>
    <row r="5513" spans="5:5" x14ac:dyDescent="0.25">
      <c r="E5513" t="s">
        <v>5172</v>
      </c>
    </row>
    <row r="5514" spans="5:5" x14ac:dyDescent="0.25">
      <c r="E5514" t="s">
        <v>5173</v>
      </c>
    </row>
    <row r="5515" spans="5:5" x14ac:dyDescent="0.25">
      <c r="E5515" t="s">
        <v>5174</v>
      </c>
    </row>
    <row r="5516" spans="5:5" x14ac:dyDescent="0.25">
      <c r="E5516" t="s">
        <v>5175</v>
      </c>
    </row>
    <row r="5517" spans="5:5" x14ac:dyDescent="0.25">
      <c r="E5517" t="s">
        <v>5176</v>
      </c>
    </row>
    <row r="5518" spans="5:5" x14ac:dyDescent="0.25">
      <c r="E5518" t="s">
        <v>5177</v>
      </c>
    </row>
    <row r="5519" spans="5:5" x14ac:dyDescent="0.25">
      <c r="E5519" t="s">
        <v>5178</v>
      </c>
    </row>
    <row r="5520" spans="5:5" x14ac:dyDescent="0.25">
      <c r="E5520" t="s">
        <v>5179</v>
      </c>
    </row>
    <row r="5521" spans="5:5" x14ac:dyDescent="0.25">
      <c r="E5521" t="s">
        <v>5180</v>
      </c>
    </row>
    <row r="5522" spans="5:5" x14ac:dyDescent="0.25">
      <c r="E5522" t="s">
        <v>5181</v>
      </c>
    </row>
    <row r="5523" spans="5:5" x14ac:dyDescent="0.25">
      <c r="E5523" t="s">
        <v>5182</v>
      </c>
    </row>
    <row r="5524" spans="5:5" x14ac:dyDescent="0.25">
      <c r="E5524" t="s">
        <v>5183</v>
      </c>
    </row>
    <row r="5525" spans="5:5" x14ac:dyDescent="0.25">
      <c r="E5525" t="s">
        <v>5184</v>
      </c>
    </row>
    <row r="5526" spans="5:5" x14ac:dyDescent="0.25">
      <c r="E5526" t="s">
        <v>5185</v>
      </c>
    </row>
    <row r="5527" spans="5:5" x14ac:dyDescent="0.25">
      <c r="E5527" t="s">
        <v>5186</v>
      </c>
    </row>
    <row r="5528" spans="5:5" x14ac:dyDescent="0.25">
      <c r="E5528" t="s">
        <v>5187</v>
      </c>
    </row>
    <row r="5529" spans="5:5" x14ac:dyDescent="0.25">
      <c r="E5529" t="s">
        <v>5188</v>
      </c>
    </row>
    <row r="5530" spans="5:5" x14ac:dyDescent="0.25">
      <c r="E5530" t="s">
        <v>5189</v>
      </c>
    </row>
    <row r="5531" spans="5:5" x14ac:dyDescent="0.25">
      <c r="E5531" t="s">
        <v>5190</v>
      </c>
    </row>
    <row r="5532" spans="5:5" x14ac:dyDescent="0.25">
      <c r="E5532" t="s">
        <v>5191</v>
      </c>
    </row>
    <row r="5533" spans="5:5" x14ac:dyDescent="0.25">
      <c r="E5533" t="s">
        <v>5192</v>
      </c>
    </row>
    <row r="5534" spans="5:5" x14ac:dyDescent="0.25">
      <c r="E5534" t="s">
        <v>5193</v>
      </c>
    </row>
    <row r="5535" spans="5:5" x14ac:dyDescent="0.25">
      <c r="E5535" t="s">
        <v>5194</v>
      </c>
    </row>
    <row r="5536" spans="5:5" x14ac:dyDescent="0.25">
      <c r="E5536" t="s">
        <v>5195</v>
      </c>
    </row>
    <row r="5537" spans="5:5" x14ac:dyDescent="0.25">
      <c r="E5537" t="s">
        <v>5196</v>
      </c>
    </row>
    <row r="5538" spans="5:5" x14ac:dyDescent="0.25">
      <c r="E5538" t="s">
        <v>5197</v>
      </c>
    </row>
    <row r="5539" spans="5:5" x14ac:dyDescent="0.25">
      <c r="E5539" t="s">
        <v>5198</v>
      </c>
    </row>
    <row r="5540" spans="5:5" x14ac:dyDescent="0.25">
      <c r="E5540" t="s">
        <v>5199</v>
      </c>
    </row>
    <row r="5541" spans="5:5" x14ac:dyDescent="0.25">
      <c r="E5541" t="s">
        <v>5200</v>
      </c>
    </row>
    <row r="5542" spans="5:5" x14ac:dyDescent="0.25">
      <c r="E5542" t="s">
        <v>5201</v>
      </c>
    </row>
    <row r="5543" spans="5:5" x14ac:dyDescent="0.25">
      <c r="E5543" t="s">
        <v>5202</v>
      </c>
    </row>
    <row r="5544" spans="5:5" x14ac:dyDescent="0.25">
      <c r="E5544" t="s">
        <v>5203</v>
      </c>
    </row>
    <row r="5545" spans="5:5" x14ac:dyDescent="0.25">
      <c r="E5545" t="s">
        <v>5204</v>
      </c>
    </row>
    <row r="5546" spans="5:5" x14ac:dyDescent="0.25">
      <c r="E5546" t="s">
        <v>5205</v>
      </c>
    </row>
    <row r="5547" spans="5:5" x14ac:dyDescent="0.25">
      <c r="E5547" t="s">
        <v>5206</v>
      </c>
    </row>
    <row r="5548" spans="5:5" x14ac:dyDescent="0.25">
      <c r="E5548" t="s">
        <v>5207</v>
      </c>
    </row>
    <row r="5549" spans="5:5" x14ac:dyDescent="0.25">
      <c r="E5549" t="s">
        <v>5208</v>
      </c>
    </row>
    <row r="5550" spans="5:5" x14ac:dyDescent="0.25">
      <c r="E5550" t="s">
        <v>5209</v>
      </c>
    </row>
    <row r="5551" spans="5:5" x14ac:dyDescent="0.25">
      <c r="E5551" t="s">
        <v>5210</v>
      </c>
    </row>
    <row r="5552" spans="5:5" x14ac:dyDescent="0.25">
      <c r="E5552" t="s">
        <v>5211</v>
      </c>
    </row>
    <row r="5553" spans="5:5" x14ac:dyDescent="0.25">
      <c r="E5553" t="s">
        <v>5212</v>
      </c>
    </row>
    <row r="5554" spans="5:5" x14ac:dyDescent="0.25">
      <c r="E5554" t="s">
        <v>5213</v>
      </c>
    </row>
    <row r="5555" spans="5:5" x14ac:dyDescent="0.25">
      <c r="E5555" t="s">
        <v>5214</v>
      </c>
    </row>
    <row r="5556" spans="5:5" x14ac:dyDescent="0.25">
      <c r="E5556" t="s">
        <v>5215</v>
      </c>
    </row>
    <row r="5557" spans="5:5" x14ac:dyDescent="0.25">
      <c r="E5557" t="s">
        <v>5216</v>
      </c>
    </row>
    <row r="5558" spans="5:5" x14ac:dyDescent="0.25">
      <c r="E5558" t="s">
        <v>5217</v>
      </c>
    </row>
    <row r="5559" spans="5:5" x14ac:dyDescent="0.25">
      <c r="E5559" t="s">
        <v>5218</v>
      </c>
    </row>
    <row r="5560" spans="5:5" x14ac:dyDescent="0.25">
      <c r="E5560" t="s">
        <v>5219</v>
      </c>
    </row>
    <row r="5561" spans="5:5" x14ac:dyDescent="0.25">
      <c r="E5561" t="s">
        <v>5220</v>
      </c>
    </row>
    <row r="5562" spans="5:5" x14ac:dyDescent="0.25">
      <c r="E5562" t="s">
        <v>5221</v>
      </c>
    </row>
    <row r="5563" spans="5:5" x14ac:dyDescent="0.25">
      <c r="E5563" t="s">
        <v>5222</v>
      </c>
    </row>
    <row r="5564" spans="5:5" x14ac:dyDescent="0.25">
      <c r="E5564" t="s">
        <v>5223</v>
      </c>
    </row>
    <row r="5565" spans="5:5" x14ac:dyDescent="0.25">
      <c r="E5565" t="s">
        <v>5224</v>
      </c>
    </row>
    <row r="5566" spans="5:5" x14ac:dyDescent="0.25">
      <c r="E5566" t="s">
        <v>5225</v>
      </c>
    </row>
    <row r="5567" spans="5:5" x14ac:dyDescent="0.25">
      <c r="E5567" t="s">
        <v>5226</v>
      </c>
    </row>
    <row r="5568" spans="5:5" x14ac:dyDescent="0.25">
      <c r="E5568" t="s">
        <v>5227</v>
      </c>
    </row>
    <row r="5569" spans="5:5" x14ac:dyDescent="0.25">
      <c r="E5569" t="s">
        <v>5228</v>
      </c>
    </row>
    <row r="5570" spans="5:5" x14ac:dyDescent="0.25">
      <c r="E5570" t="s">
        <v>5229</v>
      </c>
    </row>
    <row r="5571" spans="5:5" x14ac:dyDescent="0.25">
      <c r="E5571" t="s">
        <v>5230</v>
      </c>
    </row>
    <row r="5572" spans="5:5" x14ac:dyDescent="0.25">
      <c r="E5572" t="s">
        <v>5231</v>
      </c>
    </row>
    <row r="5573" spans="5:5" x14ac:dyDescent="0.25">
      <c r="E5573" t="s">
        <v>5232</v>
      </c>
    </row>
    <row r="5574" spans="5:5" x14ac:dyDescent="0.25">
      <c r="E5574" t="s">
        <v>5233</v>
      </c>
    </row>
    <row r="5575" spans="5:5" x14ac:dyDescent="0.25">
      <c r="E5575" t="s">
        <v>5234</v>
      </c>
    </row>
    <row r="5576" spans="5:5" x14ac:dyDescent="0.25">
      <c r="E5576" t="s">
        <v>5235</v>
      </c>
    </row>
    <row r="5577" spans="5:5" x14ac:dyDescent="0.25">
      <c r="E5577" t="s">
        <v>5236</v>
      </c>
    </row>
    <row r="5578" spans="5:5" x14ac:dyDescent="0.25">
      <c r="E5578" t="s">
        <v>5237</v>
      </c>
    </row>
    <row r="5579" spans="5:5" x14ac:dyDescent="0.25">
      <c r="E5579" t="s">
        <v>5238</v>
      </c>
    </row>
    <row r="5580" spans="5:5" x14ac:dyDescent="0.25">
      <c r="E5580" t="s">
        <v>5239</v>
      </c>
    </row>
    <row r="5581" spans="5:5" x14ac:dyDescent="0.25">
      <c r="E5581" t="s">
        <v>5240</v>
      </c>
    </row>
    <row r="5582" spans="5:5" x14ac:dyDescent="0.25">
      <c r="E5582" t="s">
        <v>5241</v>
      </c>
    </row>
    <row r="5583" spans="5:5" x14ac:dyDescent="0.25">
      <c r="E5583" t="s">
        <v>5242</v>
      </c>
    </row>
    <row r="5584" spans="5:5" x14ac:dyDescent="0.25">
      <c r="E5584" t="s">
        <v>5243</v>
      </c>
    </row>
    <row r="5585" spans="5:5" x14ac:dyDescent="0.25">
      <c r="E5585" t="s">
        <v>5244</v>
      </c>
    </row>
    <row r="5586" spans="5:5" x14ac:dyDescent="0.25">
      <c r="E5586" t="s">
        <v>5245</v>
      </c>
    </row>
    <row r="5587" spans="5:5" x14ac:dyDescent="0.25">
      <c r="E5587" t="s">
        <v>5246</v>
      </c>
    </row>
    <row r="5588" spans="5:5" x14ac:dyDescent="0.25">
      <c r="E5588" t="s">
        <v>5247</v>
      </c>
    </row>
    <row r="5589" spans="5:5" x14ac:dyDescent="0.25">
      <c r="E5589" t="s">
        <v>5248</v>
      </c>
    </row>
    <row r="5590" spans="5:5" x14ac:dyDescent="0.25">
      <c r="E5590" t="s">
        <v>5249</v>
      </c>
    </row>
    <row r="5591" spans="5:5" x14ac:dyDescent="0.25">
      <c r="E5591" t="s">
        <v>5250</v>
      </c>
    </row>
    <row r="5592" spans="5:5" x14ac:dyDescent="0.25">
      <c r="E5592" t="s">
        <v>5251</v>
      </c>
    </row>
    <row r="5593" spans="5:5" x14ac:dyDescent="0.25">
      <c r="E5593" t="s">
        <v>5252</v>
      </c>
    </row>
    <row r="5595" spans="5:5" x14ac:dyDescent="0.25">
      <c r="E5595" t="s">
        <v>5253</v>
      </c>
    </row>
    <row r="5596" spans="5:5" x14ac:dyDescent="0.25">
      <c r="E5596" t="s">
        <v>5254</v>
      </c>
    </row>
    <row r="5597" spans="5:5" x14ac:dyDescent="0.25">
      <c r="E5597" t="s">
        <v>5255</v>
      </c>
    </row>
    <row r="5598" spans="5:5" x14ac:dyDescent="0.25">
      <c r="E5598" t="s">
        <v>5256</v>
      </c>
    </row>
    <row r="5599" spans="5:5" x14ac:dyDescent="0.25">
      <c r="E5599" t="s">
        <v>5257</v>
      </c>
    </row>
    <row r="5600" spans="5:5" x14ac:dyDescent="0.25">
      <c r="E5600" t="s">
        <v>5258</v>
      </c>
    </row>
    <row r="5601" spans="5:5" x14ac:dyDescent="0.25">
      <c r="E5601" t="s">
        <v>5259</v>
      </c>
    </row>
    <row r="5602" spans="5:5" x14ac:dyDescent="0.25">
      <c r="E5602" t="s">
        <v>5260</v>
      </c>
    </row>
    <row r="5603" spans="5:5" x14ac:dyDescent="0.25">
      <c r="E5603" t="s">
        <v>5261</v>
      </c>
    </row>
    <row r="5604" spans="5:5" x14ac:dyDescent="0.25">
      <c r="E5604" t="s">
        <v>5262</v>
      </c>
    </row>
    <row r="5605" spans="5:5" x14ac:dyDescent="0.25">
      <c r="E5605" t="s">
        <v>5263</v>
      </c>
    </row>
    <row r="5606" spans="5:5" x14ac:dyDescent="0.25">
      <c r="E5606" t="s">
        <v>5264</v>
      </c>
    </row>
    <row r="5607" spans="5:5" x14ac:dyDescent="0.25">
      <c r="E5607" t="s">
        <v>5265</v>
      </c>
    </row>
    <row r="5608" spans="5:5" x14ac:dyDescent="0.25">
      <c r="E5608" t="s">
        <v>5266</v>
      </c>
    </row>
    <row r="5609" spans="5:5" x14ac:dyDescent="0.25">
      <c r="E5609" t="s">
        <v>5267</v>
      </c>
    </row>
    <row r="5610" spans="5:5" x14ac:dyDescent="0.25">
      <c r="E5610" t="s">
        <v>5268</v>
      </c>
    </row>
    <row r="5611" spans="5:5" x14ac:dyDescent="0.25">
      <c r="E5611" t="s">
        <v>5269</v>
      </c>
    </row>
    <row r="5612" spans="5:5" x14ac:dyDescent="0.25">
      <c r="E5612" t="s">
        <v>5270</v>
      </c>
    </row>
    <row r="5613" spans="5:5" x14ac:dyDescent="0.25">
      <c r="E5613" t="s">
        <v>5271</v>
      </c>
    </row>
    <row r="5614" spans="5:5" x14ac:dyDescent="0.25">
      <c r="E5614" t="s">
        <v>5272</v>
      </c>
    </row>
    <row r="5615" spans="5:5" x14ac:dyDescent="0.25">
      <c r="E5615" t="s">
        <v>5273</v>
      </c>
    </row>
    <row r="5616" spans="5:5" x14ac:dyDescent="0.25">
      <c r="E5616" t="s">
        <v>5274</v>
      </c>
    </row>
    <row r="5617" spans="5:5" x14ac:dyDescent="0.25">
      <c r="E5617" t="s">
        <v>5275</v>
      </c>
    </row>
    <row r="5618" spans="5:5" x14ac:dyDescent="0.25">
      <c r="E5618" t="s">
        <v>5276</v>
      </c>
    </row>
    <row r="5619" spans="5:5" x14ac:dyDescent="0.25">
      <c r="E5619" t="s">
        <v>5277</v>
      </c>
    </row>
    <row r="5620" spans="5:5" x14ac:dyDescent="0.25">
      <c r="E5620" t="s">
        <v>5278</v>
      </c>
    </row>
    <row r="5621" spans="5:5" x14ac:dyDescent="0.25">
      <c r="E5621" t="s">
        <v>5279</v>
      </c>
    </row>
    <row r="5622" spans="5:5" x14ac:dyDescent="0.25">
      <c r="E5622" t="s">
        <v>5280</v>
      </c>
    </row>
    <row r="5623" spans="5:5" x14ac:dyDescent="0.25">
      <c r="E5623" t="s">
        <v>5281</v>
      </c>
    </row>
    <row r="5624" spans="5:5" x14ac:dyDescent="0.25">
      <c r="E5624" t="s">
        <v>5282</v>
      </c>
    </row>
    <row r="5625" spans="5:5" x14ac:dyDescent="0.25">
      <c r="E5625" t="s">
        <v>5283</v>
      </c>
    </row>
    <row r="5626" spans="5:5" x14ac:dyDescent="0.25">
      <c r="E5626" t="s">
        <v>5284</v>
      </c>
    </row>
    <row r="5627" spans="5:5" x14ac:dyDescent="0.25">
      <c r="E5627" t="s">
        <v>5285</v>
      </c>
    </row>
    <row r="5628" spans="5:5" x14ac:dyDescent="0.25">
      <c r="E5628" t="s">
        <v>5286</v>
      </c>
    </row>
    <row r="5629" spans="5:5" x14ac:dyDescent="0.25">
      <c r="E5629" t="s">
        <v>5287</v>
      </c>
    </row>
    <row r="5630" spans="5:5" x14ac:dyDescent="0.25">
      <c r="E5630" t="s">
        <v>5288</v>
      </c>
    </row>
    <row r="5631" spans="5:5" x14ac:dyDescent="0.25">
      <c r="E5631" t="s">
        <v>5289</v>
      </c>
    </row>
    <row r="5632" spans="5:5" x14ac:dyDescent="0.25">
      <c r="E5632" t="s">
        <v>5290</v>
      </c>
    </row>
    <row r="5633" spans="5:5" x14ac:dyDescent="0.25">
      <c r="E5633" t="s">
        <v>5291</v>
      </c>
    </row>
    <row r="5634" spans="5:5" x14ac:dyDescent="0.25">
      <c r="E5634" t="s">
        <v>5292</v>
      </c>
    </row>
    <row r="5635" spans="5:5" x14ac:dyDescent="0.25">
      <c r="E5635" t="s">
        <v>5293</v>
      </c>
    </row>
    <row r="5636" spans="5:5" x14ac:dyDescent="0.25">
      <c r="E5636" t="s">
        <v>5294</v>
      </c>
    </row>
    <row r="5637" spans="5:5" x14ac:dyDescent="0.25">
      <c r="E5637" t="s">
        <v>5295</v>
      </c>
    </row>
    <row r="5638" spans="5:5" x14ac:dyDescent="0.25">
      <c r="E5638" t="s">
        <v>5296</v>
      </c>
    </row>
    <row r="5639" spans="5:5" x14ac:dyDescent="0.25">
      <c r="E5639" t="s">
        <v>5297</v>
      </c>
    </row>
    <row r="5640" spans="5:5" x14ac:dyDescent="0.25">
      <c r="E5640" t="s">
        <v>5298</v>
      </c>
    </row>
    <row r="5641" spans="5:5" x14ac:dyDescent="0.25">
      <c r="E5641" t="s">
        <v>5299</v>
      </c>
    </row>
    <row r="5642" spans="5:5" x14ac:dyDescent="0.25">
      <c r="E5642" t="s">
        <v>5300</v>
      </c>
    </row>
    <row r="5643" spans="5:5" x14ac:dyDescent="0.25">
      <c r="E5643" t="s">
        <v>5301</v>
      </c>
    </row>
    <row r="5644" spans="5:5" x14ac:dyDescent="0.25">
      <c r="E5644" t="s">
        <v>5302</v>
      </c>
    </row>
    <row r="5645" spans="5:5" x14ac:dyDescent="0.25">
      <c r="E5645" t="s">
        <v>5303</v>
      </c>
    </row>
    <row r="5646" spans="5:5" x14ac:dyDescent="0.25">
      <c r="E5646" t="s">
        <v>5304</v>
      </c>
    </row>
    <row r="5647" spans="5:5" x14ac:dyDescent="0.25">
      <c r="E5647" t="s">
        <v>5305</v>
      </c>
    </row>
    <row r="5648" spans="5:5" x14ac:dyDescent="0.25">
      <c r="E5648" t="s">
        <v>5306</v>
      </c>
    </row>
    <row r="5649" spans="5:5" x14ac:dyDescent="0.25">
      <c r="E5649" t="s">
        <v>5307</v>
      </c>
    </row>
    <row r="5650" spans="5:5" x14ac:dyDescent="0.25">
      <c r="E5650" t="s">
        <v>5308</v>
      </c>
    </row>
    <row r="5651" spans="5:5" x14ac:dyDescent="0.25">
      <c r="E5651" t="s">
        <v>5309</v>
      </c>
    </row>
    <row r="5652" spans="5:5" x14ac:dyDescent="0.25">
      <c r="E5652" t="s">
        <v>5310</v>
      </c>
    </row>
    <row r="5653" spans="5:5" x14ac:dyDescent="0.25">
      <c r="E5653" t="s">
        <v>5311</v>
      </c>
    </row>
    <row r="5654" spans="5:5" x14ac:dyDescent="0.25">
      <c r="E5654" t="s">
        <v>5312</v>
      </c>
    </row>
    <row r="5655" spans="5:5" x14ac:dyDescent="0.25">
      <c r="E5655" t="s">
        <v>5313</v>
      </c>
    </row>
    <row r="5656" spans="5:5" x14ac:dyDescent="0.25">
      <c r="E5656" t="s">
        <v>5314</v>
      </c>
    </row>
    <row r="5657" spans="5:5" x14ac:dyDescent="0.25">
      <c r="E5657" t="s">
        <v>5315</v>
      </c>
    </row>
    <row r="5658" spans="5:5" x14ac:dyDescent="0.25">
      <c r="E5658" t="s">
        <v>5316</v>
      </c>
    </row>
    <row r="5659" spans="5:5" x14ac:dyDescent="0.25">
      <c r="E5659" t="s">
        <v>5317</v>
      </c>
    </row>
    <row r="5660" spans="5:5" x14ac:dyDescent="0.25">
      <c r="E5660" t="s">
        <v>5318</v>
      </c>
    </row>
    <row r="5661" spans="5:5" x14ac:dyDescent="0.25">
      <c r="E5661" t="s">
        <v>5319</v>
      </c>
    </row>
    <row r="5662" spans="5:5" x14ac:dyDescent="0.25">
      <c r="E5662" t="s">
        <v>5320</v>
      </c>
    </row>
    <row r="5663" spans="5:5" x14ac:dyDescent="0.25">
      <c r="E5663" t="s">
        <v>5321</v>
      </c>
    </row>
    <row r="5664" spans="5:5" x14ac:dyDescent="0.25">
      <c r="E5664" t="s">
        <v>5322</v>
      </c>
    </row>
    <row r="5665" spans="5:5" x14ac:dyDescent="0.25">
      <c r="E5665" t="s">
        <v>5323</v>
      </c>
    </row>
    <row r="5666" spans="5:5" x14ac:dyDescent="0.25">
      <c r="E5666" t="s">
        <v>5324</v>
      </c>
    </row>
    <row r="5667" spans="5:5" x14ac:dyDescent="0.25">
      <c r="E5667" t="s">
        <v>5325</v>
      </c>
    </row>
    <row r="5668" spans="5:5" x14ac:dyDescent="0.25">
      <c r="E5668" t="s">
        <v>5326</v>
      </c>
    </row>
    <row r="5669" spans="5:5" x14ac:dyDescent="0.25">
      <c r="E5669" t="s">
        <v>5327</v>
      </c>
    </row>
    <row r="5670" spans="5:5" x14ac:dyDescent="0.25">
      <c r="E5670" t="s">
        <v>5328</v>
      </c>
    </row>
    <row r="5671" spans="5:5" x14ac:dyDescent="0.25">
      <c r="E5671" t="s">
        <v>5329</v>
      </c>
    </row>
    <row r="5672" spans="5:5" x14ac:dyDescent="0.25">
      <c r="E5672" t="s">
        <v>5330</v>
      </c>
    </row>
    <row r="5673" spans="5:5" x14ac:dyDescent="0.25">
      <c r="E5673" t="s">
        <v>5331</v>
      </c>
    </row>
    <row r="5674" spans="5:5" x14ac:dyDescent="0.25">
      <c r="E5674" t="s">
        <v>5332</v>
      </c>
    </row>
    <row r="5675" spans="5:5" x14ac:dyDescent="0.25">
      <c r="E5675" t="s">
        <v>5333</v>
      </c>
    </row>
    <row r="5676" spans="5:5" x14ac:dyDescent="0.25">
      <c r="E5676" t="s">
        <v>5334</v>
      </c>
    </row>
    <row r="5677" spans="5:5" x14ac:dyDescent="0.25">
      <c r="E5677" t="s">
        <v>5335</v>
      </c>
    </row>
    <row r="5678" spans="5:5" x14ac:dyDescent="0.25">
      <c r="E5678" t="s">
        <v>5336</v>
      </c>
    </row>
    <row r="5679" spans="5:5" x14ac:dyDescent="0.25">
      <c r="E5679" t="s">
        <v>5337</v>
      </c>
    </row>
    <row r="5680" spans="5:5" x14ac:dyDescent="0.25">
      <c r="E5680" t="s">
        <v>5338</v>
      </c>
    </row>
    <row r="5681" spans="5:5" x14ac:dyDescent="0.25">
      <c r="E5681" t="s">
        <v>5339</v>
      </c>
    </row>
    <row r="5682" spans="5:5" x14ac:dyDescent="0.25">
      <c r="E5682" t="s">
        <v>5340</v>
      </c>
    </row>
    <row r="5683" spans="5:5" x14ac:dyDescent="0.25">
      <c r="E5683" t="s">
        <v>5341</v>
      </c>
    </row>
    <row r="5684" spans="5:5" x14ac:dyDescent="0.25">
      <c r="E5684" t="s">
        <v>5342</v>
      </c>
    </row>
    <row r="5685" spans="5:5" x14ac:dyDescent="0.25">
      <c r="E5685" t="s">
        <v>5343</v>
      </c>
    </row>
    <row r="5686" spans="5:5" x14ac:dyDescent="0.25">
      <c r="E5686" t="s">
        <v>5344</v>
      </c>
    </row>
    <row r="5687" spans="5:5" x14ac:dyDescent="0.25">
      <c r="E5687" t="s">
        <v>5345</v>
      </c>
    </row>
    <row r="5688" spans="5:5" x14ac:dyDescent="0.25">
      <c r="E5688" t="s">
        <v>5346</v>
      </c>
    </row>
    <row r="5689" spans="5:5" x14ac:dyDescent="0.25">
      <c r="E5689" t="s">
        <v>5347</v>
      </c>
    </row>
    <row r="5690" spans="5:5" x14ac:dyDescent="0.25">
      <c r="E5690" t="s">
        <v>5348</v>
      </c>
    </row>
    <row r="5691" spans="5:5" x14ac:dyDescent="0.25">
      <c r="E5691" t="s">
        <v>5349</v>
      </c>
    </row>
    <row r="5692" spans="5:5" x14ac:dyDescent="0.25">
      <c r="E5692" t="s">
        <v>5350</v>
      </c>
    </row>
    <row r="5693" spans="5:5" x14ac:dyDescent="0.25">
      <c r="E5693" t="s">
        <v>5351</v>
      </c>
    </row>
    <row r="5694" spans="5:5" x14ac:dyDescent="0.25">
      <c r="E5694" t="s">
        <v>5352</v>
      </c>
    </row>
    <row r="5695" spans="5:5" x14ac:dyDescent="0.25">
      <c r="E5695" t="s">
        <v>5353</v>
      </c>
    </row>
    <row r="5698" spans="5:5" x14ac:dyDescent="0.25">
      <c r="E5698" t="s">
        <v>5354</v>
      </c>
    </row>
    <row r="5699" spans="5:5" x14ac:dyDescent="0.25">
      <c r="E5699" t="s">
        <v>5355</v>
      </c>
    </row>
    <row r="5700" spans="5:5" x14ac:dyDescent="0.25">
      <c r="E5700" t="s">
        <v>5356</v>
      </c>
    </row>
    <row r="5701" spans="5:5" x14ac:dyDescent="0.25">
      <c r="E5701" t="s">
        <v>5357</v>
      </c>
    </row>
    <row r="5702" spans="5:5" x14ac:dyDescent="0.25">
      <c r="E5702" t="s">
        <v>5358</v>
      </c>
    </row>
    <row r="5704" spans="5:5" x14ac:dyDescent="0.25">
      <c r="E5704" t="s">
        <v>5359</v>
      </c>
    </row>
    <row r="5705" spans="5:5" x14ac:dyDescent="0.25">
      <c r="E5705" t="s">
        <v>5360</v>
      </c>
    </row>
    <row r="5706" spans="5:5" x14ac:dyDescent="0.25">
      <c r="E5706" t="s">
        <v>5361</v>
      </c>
    </row>
    <row r="5707" spans="5:5" x14ac:dyDescent="0.25">
      <c r="E5707" t="s">
        <v>5362</v>
      </c>
    </row>
    <row r="5708" spans="5:5" x14ac:dyDescent="0.25">
      <c r="E5708" t="s">
        <v>5363</v>
      </c>
    </row>
    <row r="5709" spans="5:5" x14ac:dyDescent="0.25">
      <c r="E5709" t="s">
        <v>5364</v>
      </c>
    </row>
    <row r="5710" spans="5:5" x14ac:dyDescent="0.25">
      <c r="E5710" t="s">
        <v>5365</v>
      </c>
    </row>
    <row r="5711" spans="5:5" x14ac:dyDescent="0.25">
      <c r="E5711" t="s">
        <v>5366</v>
      </c>
    </row>
    <row r="5712" spans="5:5" x14ac:dyDescent="0.25">
      <c r="E5712" t="s">
        <v>5367</v>
      </c>
    </row>
    <row r="5713" spans="5:5" x14ac:dyDescent="0.25">
      <c r="E5713" t="s">
        <v>5368</v>
      </c>
    </row>
    <row r="5714" spans="5:5" x14ac:dyDescent="0.25">
      <c r="E5714" t="s">
        <v>5369</v>
      </c>
    </row>
    <row r="5715" spans="5:5" x14ac:dyDescent="0.25">
      <c r="E5715" t="s">
        <v>5370</v>
      </c>
    </row>
    <row r="5716" spans="5:5" x14ac:dyDescent="0.25">
      <c r="E5716" t="s">
        <v>5371</v>
      </c>
    </row>
    <row r="5717" spans="5:5" x14ac:dyDescent="0.25">
      <c r="E5717" t="s">
        <v>5372</v>
      </c>
    </row>
    <row r="5718" spans="5:5" x14ac:dyDescent="0.25">
      <c r="E5718" t="s">
        <v>5373</v>
      </c>
    </row>
    <row r="5719" spans="5:5" x14ac:dyDescent="0.25">
      <c r="E5719" t="s">
        <v>5374</v>
      </c>
    </row>
    <row r="5720" spans="5:5" x14ac:dyDescent="0.25">
      <c r="E5720" t="s">
        <v>5375</v>
      </c>
    </row>
    <row r="5721" spans="5:5" x14ac:dyDescent="0.25">
      <c r="E5721" t="s">
        <v>5376</v>
      </c>
    </row>
    <row r="5722" spans="5:5" x14ac:dyDescent="0.25">
      <c r="E5722" t="s">
        <v>5377</v>
      </c>
    </row>
    <row r="5723" spans="5:5" x14ac:dyDescent="0.25">
      <c r="E5723" t="s">
        <v>5378</v>
      </c>
    </row>
    <row r="5724" spans="5:5" x14ac:dyDescent="0.25">
      <c r="E5724" t="s">
        <v>5379</v>
      </c>
    </row>
    <row r="5725" spans="5:5" x14ac:dyDescent="0.25">
      <c r="E5725" t="s">
        <v>5380</v>
      </c>
    </row>
    <row r="5726" spans="5:5" x14ac:dyDescent="0.25">
      <c r="E5726" t="s">
        <v>5381</v>
      </c>
    </row>
    <row r="5727" spans="5:5" x14ac:dyDescent="0.25">
      <c r="E5727" t="s">
        <v>5382</v>
      </c>
    </row>
    <row r="5728" spans="5:5" x14ac:dyDescent="0.25">
      <c r="E5728" t="s">
        <v>5383</v>
      </c>
    </row>
    <row r="5729" spans="5:5" x14ac:dyDescent="0.25">
      <c r="E5729" t="s">
        <v>5384</v>
      </c>
    </row>
    <row r="5730" spans="5:5" x14ac:dyDescent="0.25">
      <c r="E5730" t="s">
        <v>5385</v>
      </c>
    </row>
    <row r="5731" spans="5:5" x14ac:dyDescent="0.25">
      <c r="E5731" t="s">
        <v>5386</v>
      </c>
    </row>
    <row r="5732" spans="5:5" x14ac:dyDescent="0.25">
      <c r="E5732" t="s">
        <v>5387</v>
      </c>
    </row>
    <row r="5733" spans="5:5" x14ac:dyDescent="0.25">
      <c r="E5733" t="s">
        <v>5388</v>
      </c>
    </row>
    <row r="5735" spans="5:5" x14ac:dyDescent="0.25">
      <c r="E5735" t="s">
        <v>5389</v>
      </c>
    </row>
    <row r="5736" spans="5:5" x14ac:dyDescent="0.25">
      <c r="E5736" t="s">
        <v>5390</v>
      </c>
    </row>
    <row r="5737" spans="5:5" x14ac:dyDescent="0.25">
      <c r="E5737" t="s">
        <v>5391</v>
      </c>
    </row>
    <row r="5738" spans="5:5" x14ac:dyDescent="0.25">
      <c r="E5738" t="s">
        <v>5392</v>
      </c>
    </row>
    <row r="5739" spans="5:5" x14ac:dyDescent="0.25">
      <c r="E5739" t="s">
        <v>5393</v>
      </c>
    </row>
    <row r="5740" spans="5:5" x14ac:dyDescent="0.25">
      <c r="E5740" t="s">
        <v>5394</v>
      </c>
    </row>
    <row r="5741" spans="5:5" x14ac:dyDescent="0.25">
      <c r="E5741" t="s">
        <v>5395</v>
      </c>
    </row>
    <row r="5742" spans="5:5" x14ac:dyDescent="0.25">
      <c r="E5742" t="s">
        <v>5396</v>
      </c>
    </row>
    <row r="5743" spans="5:5" x14ac:dyDescent="0.25">
      <c r="E5743" t="s">
        <v>5397</v>
      </c>
    </row>
    <row r="5744" spans="5:5" x14ac:dyDescent="0.25">
      <c r="E5744" t="s">
        <v>5398</v>
      </c>
    </row>
    <row r="5745" spans="5:5" x14ac:dyDescent="0.25">
      <c r="E5745" t="s">
        <v>5399</v>
      </c>
    </row>
    <row r="5746" spans="5:5" x14ac:dyDescent="0.25">
      <c r="E5746" t="s">
        <v>5400</v>
      </c>
    </row>
    <row r="5747" spans="5:5" x14ac:dyDescent="0.25">
      <c r="E5747" t="s">
        <v>5401</v>
      </c>
    </row>
    <row r="5748" spans="5:5" x14ac:dyDescent="0.25">
      <c r="E5748" t="s">
        <v>5402</v>
      </c>
    </row>
    <row r="5749" spans="5:5" x14ac:dyDescent="0.25">
      <c r="E5749" t="s">
        <v>5403</v>
      </c>
    </row>
    <row r="5750" spans="5:5" x14ac:dyDescent="0.25">
      <c r="E5750" t="s">
        <v>5404</v>
      </c>
    </row>
    <row r="5751" spans="5:5" x14ac:dyDescent="0.25">
      <c r="E5751" t="s">
        <v>5405</v>
      </c>
    </row>
    <row r="5753" spans="5:5" x14ac:dyDescent="0.25">
      <c r="E5753" t="s">
        <v>5406</v>
      </c>
    </row>
    <row r="5754" spans="5:5" x14ac:dyDescent="0.25">
      <c r="E5754" t="s">
        <v>5407</v>
      </c>
    </row>
    <row r="5755" spans="5:5" x14ac:dyDescent="0.25">
      <c r="E5755" t="s">
        <v>5408</v>
      </c>
    </row>
    <row r="5756" spans="5:5" x14ac:dyDescent="0.25">
      <c r="E5756" t="s">
        <v>5409</v>
      </c>
    </row>
    <row r="5757" spans="5:5" x14ac:dyDescent="0.25">
      <c r="E5757" t="s">
        <v>5410</v>
      </c>
    </row>
    <row r="5758" spans="5:5" x14ac:dyDescent="0.25">
      <c r="E5758" t="s">
        <v>5411</v>
      </c>
    </row>
    <row r="5759" spans="5:5" x14ac:dyDescent="0.25">
      <c r="E5759" t="s">
        <v>5412</v>
      </c>
    </row>
    <row r="5760" spans="5:5" x14ac:dyDescent="0.25">
      <c r="E5760" t="s">
        <v>5413</v>
      </c>
    </row>
    <row r="5761" spans="5:5" x14ac:dyDescent="0.25">
      <c r="E5761" t="s">
        <v>5414</v>
      </c>
    </row>
    <row r="5762" spans="5:5" x14ac:dyDescent="0.25">
      <c r="E5762" t="s">
        <v>5415</v>
      </c>
    </row>
    <row r="5763" spans="5:5" x14ac:dyDescent="0.25">
      <c r="E5763" t="s">
        <v>5416</v>
      </c>
    </row>
    <row r="5764" spans="5:5" x14ac:dyDescent="0.25">
      <c r="E5764" t="s">
        <v>5417</v>
      </c>
    </row>
    <row r="5765" spans="5:5" x14ac:dyDescent="0.25">
      <c r="E5765" t="s">
        <v>5418</v>
      </c>
    </row>
    <row r="5766" spans="5:5" x14ac:dyDescent="0.25">
      <c r="E5766" t="s">
        <v>5419</v>
      </c>
    </row>
    <row r="5767" spans="5:5" x14ac:dyDescent="0.25">
      <c r="E5767" t="s">
        <v>5420</v>
      </c>
    </row>
    <row r="5768" spans="5:5" x14ac:dyDescent="0.25">
      <c r="E5768" t="s">
        <v>5421</v>
      </c>
    </row>
    <row r="5769" spans="5:5" x14ac:dyDescent="0.25">
      <c r="E5769" t="s">
        <v>5422</v>
      </c>
    </row>
    <row r="5770" spans="5:5" x14ac:dyDescent="0.25">
      <c r="E5770" t="s">
        <v>5423</v>
      </c>
    </row>
    <row r="5771" spans="5:5" x14ac:dyDescent="0.25">
      <c r="E5771" t="s">
        <v>5424</v>
      </c>
    </row>
    <row r="5772" spans="5:5" x14ac:dyDescent="0.25">
      <c r="E5772" t="s">
        <v>5425</v>
      </c>
    </row>
    <row r="5773" spans="5:5" x14ac:dyDescent="0.25">
      <c r="E5773" t="s">
        <v>5426</v>
      </c>
    </row>
    <row r="5774" spans="5:5" x14ac:dyDescent="0.25">
      <c r="E5774" t="s">
        <v>5427</v>
      </c>
    </row>
    <row r="5775" spans="5:5" x14ac:dyDescent="0.25">
      <c r="E5775" t="s">
        <v>5428</v>
      </c>
    </row>
    <row r="5776" spans="5:5" x14ac:dyDescent="0.25">
      <c r="E5776" t="s">
        <v>5429</v>
      </c>
    </row>
    <row r="5777" spans="5:5" x14ac:dyDescent="0.25">
      <c r="E5777" t="s">
        <v>5430</v>
      </c>
    </row>
    <row r="5778" spans="5:5" x14ac:dyDescent="0.25">
      <c r="E5778" t="s">
        <v>5431</v>
      </c>
    </row>
    <row r="5779" spans="5:5" x14ac:dyDescent="0.25">
      <c r="E5779" t="s">
        <v>5432</v>
      </c>
    </row>
    <row r="5780" spans="5:5" x14ac:dyDescent="0.25">
      <c r="E5780" t="s">
        <v>5433</v>
      </c>
    </row>
    <row r="5781" spans="5:5" x14ac:dyDescent="0.25">
      <c r="E5781" t="s">
        <v>5434</v>
      </c>
    </row>
    <row r="5782" spans="5:5" x14ac:dyDescent="0.25">
      <c r="E5782" t="s">
        <v>5435</v>
      </c>
    </row>
    <row r="5783" spans="5:5" x14ac:dyDescent="0.25">
      <c r="E5783" t="s">
        <v>5436</v>
      </c>
    </row>
    <row r="5784" spans="5:5" x14ac:dyDescent="0.25">
      <c r="E5784" t="s">
        <v>5437</v>
      </c>
    </row>
    <row r="5785" spans="5:5" x14ac:dyDescent="0.25">
      <c r="E5785" t="s">
        <v>5438</v>
      </c>
    </row>
    <row r="5786" spans="5:5" x14ac:dyDescent="0.25">
      <c r="E5786" t="s">
        <v>5439</v>
      </c>
    </row>
    <row r="5787" spans="5:5" x14ac:dyDescent="0.25">
      <c r="E5787" t="s">
        <v>5440</v>
      </c>
    </row>
    <row r="5788" spans="5:5" x14ac:dyDescent="0.25">
      <c r="E5788" t="s">
        <v>5441</v>
      </c>
    </row>
    <row r="5789" spans="5:5" x14ac:dyDescent="0.25">
      <c r="E5789" t="s">
        <v>5442</v>
      </c>
    </row>
    <row r="5790" spans="5:5" x14ac:dyDescent="0.25">
      <c r="E5790" t="s">
        <v>5443</v>
      </c>
    </row>
    <row r="5791" spans="5:5" x14ac:dyDescent="0.25">
      <c r="E5791" t="s">
        <v>5444</v>
      </c>
    </row>
    <row r="5792" spans="5:5" x14ac:dyDescent="0.25">
      <c r="E5792" t="s">
        <v>5445</v>
      </c>
    </row>
    <row r="5793" spans="5:5" x14ac:dyDescent="0.25">
      <c r="E5793" t="s">
        <v>5446</v>
      </c>
    </row>
    <row r="5794" spans="5:5" x14ac:dyDescent="0.25">
      <c r="E5794" t="s">
        <v>5447</v>
      </c>
    </row>
    <row r="5795" spans="5:5" x14ac:dyDescent="0.25">
      <c r="E5795" t="s">
        <v>5448</v>
      </c>
    </row>
    <row r="5796" spans="5:5" x14ac:dyDescent="0.25">
      <c r="E5796" t="s">
        <v>5449</v>
      </c>
    </row>
    <row r="5797" spans="5:5" x14ac:dyDescent="0.25">
      <c r="E5797" t="s">
        <v>5450</v>
      </c>
    </row>
    <row r="5798" spans="5:5" x14ac:dyDescent="0.25">
      <c r="E5798" t="s">
        <v>5451</v>
      </c>
    </row>
    <row r="5799" spans="5:5" x14ac:dyDescent="0.25">
      <c r="E5799" t="s">
        <v>5452</v>
      </c>
    </row>
    <row r="5800" spans="5:5" x14ac:dyDescent="0.25">
      <c r="E5800" t="s">
        <v>5453</v>
      </c>
    </row>
    <row r="5801" spans="5:5" x14ac:dyDescent="0.25">
      <c r="E5801" t="s">
        <v>5454</v>
      </c>
    </row>
    <row r="5802" spans="5:5" x14ac:dyDescent="0.25">
      <c r="E5802" t="s">
        <v>5455</v>
      </c>
    </row>
    <row r="5803" spans="5:5" x14ac:dyDescent="0.25">
      <c r="E5803" t="s">
        <v>5456</v>
      </c>
    </row>
    <row r="5804" spans="5:5" x14ac:dyDescent="0.25">
      <c r="E5804" t="s">
        <v>5457</v>
      </c>
    </row>
    <row r="5805" spans="5:5" x14ac:dyDescent="0.25">
      <c r="E5805" t="s">
        <v>5458</v>
      </c>
    </row>
    <row r="5806" spans="5:5" x14ac:dyDescent="0.25">
      <c r="E5806" t="s">
        <v>5459</v>
      </c>
    </row>
    <row r="5807" spans="5:5" x14ac:dyDescent="0.25">
      <c r="E5807" t="s">
        <v>5460</v>
      </c>
    </row>
    <row r="5808" spans="5:5" x14ac:dyDescent="0.25">
      <c r="E5808" t="s">
        <v>5461</v>
      </c>
    </row>
    <row r="5809" spans="5:5" x14ac:dyDescent="0.25">
      <c r="E5809" t="s">
        <v>5462</v>
      </c>
    </row>
    <row r="5810" spans="5:5" x14ac:dyDescent="0.25">
      <c r="E5810" t="s">
        <v>5463</v>
      </c>
    </row>
    <row r="5811" spans="5:5" x14ac:dyDescent="0.25">
      <c r="E5811" t="s">
        <v>5464</v>
      </c>
    </row>
    <row r="5812" spans="5:5" x14ac:dyDescent="0.25">
      <c r="E5812" t="s">
        <v>5465</v>
      </c>
    </row>
    <row r="5813" spans="5:5" x14ac:dyDescent="0.25">
      <c r="E5813" t="s">
        <v>5466</v>
      </c>
    </row>
    <row r="5814" spans="5:5" x14ac:dyDescent="0.25">
      <c r="E5814" t="s">
        <v>5467</v>
      </c>
    </row>
    <row r="5815" spans="5:5" x14ac:dyDescent="0.25">
      <c r="E5815" t="s">
        <v>5468</v>
      </c>
    </row>
    <row r="5816" spans="5:5" x14ac:dyDescent="0.25">
      <c r="E5816" t="s">
        <v>5469</v>
      </c>
    </row>
    <row r="5817" spans="5:5" x14ac:dyDescent="0.25">
      <c r="E5817" t="s">
        <v>5470</v>
      </c>
    </row>
    <row r="5818" spans="5:5" x14ac:dyDescent="0.25">
      <c r="E5818" t="s">
        <v>5471</v>
      </c>
    </row>
    <row r="5819" spans="5:5" x14ac:dyDescent="0.25">
      <c r="E5819" t="s">
        <v>5472</v>
      </c>
    </row>
    <row r="5820" spans="5:5" x14ac:dyDescent="0.25">
      <c r="E5820" t="s">
        <v>5473</v>
      </c>
    </row>
    <row r="5821" spans="5:5" x14ac:dyDescent="0.25">
      <c r="E5821" t="s">
        <v>5474</v>
      </c>
    </row>
    <row r="5822" spans="5:5" x14ac:dyDescent="0.25">
      <c r="E5822" t="s">
        <v>5475</v>
      </c>
    </row>
    <row r="5823" spans="5:5" x14ac:dyDescent="0.25">
      <c r="E5823" t="s">
        <v>5476</v>
      </c>
    </row>
    <row r="5824" spans="5:5" x14ac:dyDescent="0.25">
      <c r="E5824" t="s">
        <v>5477</v>
      </c>
    </row>
    <row r="5825" spans="5:5" x14ac:dyDescent="0.25">
      <c r="E5825" t="s">
        <v>5478</v>
      </c>
    </row>
    <row r="5826" spans="5:5" x14ac:dyDescent="0.25">
      <c r="E5826" t="s">
        <v>5479</v>
      </c>
    </row>
    <row r="5827" spans="5:5" x14ac:dyDescent="0.25">
      <c r="E5827" t="s">
        <v>5480</v>
      </c>
    </row>
    <row r="5828" spans="5:5" x14ac:dyDescent="0.25">
      <c r="E5828" t="s">
        <v>5481</v>
      </c>
    </row>
    <row r="5829" spans="5:5" x14ac:dyDescent="0.25">
      <c r="E5829" t="s">
        <v>5482</v>
      </c>
    </row>
    <row r="5830" spans="5:5" x14ac:dyDescent="0.25">
      <c r="E5830" t="s">
        <v>5483</v>
      </c>
    </row>
    <row r="5831" spans="5:5" x14ac:dyDescent="0.25">
      <c r="E5831" t="s">
        <v>5484</v>
      </c>
    </row>
    <row r="5832" spans="5:5" x14ac:dyDescent="0.25">
      <c r="E5832" t="s">
        <v>5485</v>
      </c>
    </row>
    <row r="5833" spans="5:5" x14ac:dyDescent="0.25">
      <c r="E5833" t="s">
        <v>5486</v>
      </c>
    </row>
    <row r="5834" spans="5:5" x14ac:dyDescent="0.25">
      <c r="E5834" t="s">
        <v>5487</v>
      </c>
    </row>
    <row r="5835" spans="5:5" x14ac:dyDescent="0.25">
      <c r="E5835" t="s">
        <v>5488</v>
      </c>
    </row>
    <row r="5836" spans="5:5" x14ac:dyDescent="0.25">
      <c r="E5836" t="s">
        <v>5489</v>
      </c>
    </row>
    <row r="5837" spans="5:5" x14ac:dyDescent="0.25">
      <c r="E5837" t="s">
        <v>5490</v>
      </c>
    </row>
    <row r="5838" spans="5:5" x14ac:dyDescent="0.25">
      <c r="E5838" t="s">
        <v>5491</v>
      </c>
    </row>
    <row r="5839" spans="5:5" x14ac:dyDescent="0.25">
      <c r="E5839" t="s">
        <v>5492</v>
      </c>
    </row>
    <row r="5840" spans="5:5" x14ac:dyDescent="0.25">
      <c r="E5840" t="s">
        <v>5493</v>
      </c>
    </row>
    <row r="5841" spans="5:5" x14ac:dyDescent="0.25">
      <c r="E5841" t="s">
        <v>5494</v>
      </c>
    </row>
    <row r="5842" spans="5:5" x14ac:dyDescent="0.25">
      <c r="E5842" t="s">
        <v>5495</v>
      </c>
    </row>
    <row r="5843" spans="5:5" x14ac:dyDescent="0.25">
      <c r="E5843" t="s">
        <v>5496</v>
      </c>
    </row>
    <row r="5844" spans="5:5" x14ac:dyDescent="0.25">
      <c r="E5844" t="s">
        <v>5497</v>
      </c>
    </row>
    <row r="5845" spans="5:5" x14ac:dyDescent="0.25">
      <c r="E5845" t="s">
        <v>5498</v>
      </c>
    </row>
    <row r="5846" spans="5:5" x14ac:dyDescent="0.25">
      <c r="E5846" t="s">
        <v>5499</v>
      </c>
    </row>
    <row r="5847" spans="5:5" x14ac:dyDescent="0.25">
      <c r="E5847" t="s">
        <v>5500</v>
      </c>
    </row>
    <row r="5848" spans="5:5" x14ac:dyDescent="0.25">
      <c r="E5848" t="s">
        <v>5501</v>
      </c>
    </row>
    <row r="5849" spans="5:5" x14ac:dyDescent="0.25">
      <c r="E5849" t="s">
        <v>5502</v>
      </c>
    </row>
    <row r="5850" spans="5:5" x14ac:dyDescent="0.25">
      <c r="E5850" t="s">
        <v>5503</v>
      </c>
    </row>
    <row r="5851" spans="5:5" x14ac:dyDescent="0.25">
      <c r="E5851" t="s">
        <v>5504</v>
      </c>
    </row>
    <row r="5852" spans="5:5" x14ac:dyDescent="0.25">
      <c r="E5852" t="s">
        <v>5505</v>
      </c>
    </row>
    <row r="5853" spans="5:5" x14ac:dyDescent="0.25">
      <c r="E5853" t="s">
        <v>5506</v>
      </c>
    </row>
    <row r="5854" spans="5:5" x14ac:dyDescent="0.25">
      <c r="E5854" t="s">
        <v>5507</v>
      </c>
    </row>
    <row r="5855" spans="5:5" x14ac:dyDescent="0.25">
      <c r="E5855" t="s">
        <v>5508</v>
      </c>
    </row>
    <row r="5856" spans="5:5" x14ac:dyDescent="0.25">
      <c r="E5856" t="s">
        <v>5509</v>
      </c>
    </row>
    <row r="5857" spans="5:5" x14ac:dyDescent="0.25">
      <c r="E5857" t="s">
        <v>5510</v>
      </c>
    </row>
    <row r="5858" spans="5:5" x14ac:dyDescent="0.25">
      <c r="E5858" t="s">
        <v>5511</v>
      </c>
    </row>
    <row r="5859" spans="5:5" x14ac:dyDescent="0.25">
      <c r="E5859" t="s">
        <v>5512</v>
      </c>
    </row>
    <row r="5860" spans="5:5" x14ac:dyDescent="0.25">
      <c r="E5860" t="s">
        <v>5513</v>
      </c>
    </row>
    <row r="5861" spans="5:5" x14ac:dyDescent="0.25">
      <c r="E5861" t="s">
        <v>5514</v>
      </c>
    </row>
    <row r="5862" spans="5:5" x14ac:dyDescent="0.25">
      <c r="E5862" t="s">
        <v>5515</v>
      </c>
    </row>
    <row r="5863" spans="5:5" x14ac:dyDescent="0.25">
      <c r="E5863" t="s">
        <v>5516</v>
      </c>
    </row>
    <row r="5864" spans="5:5" x14ac:dyDescent="0.25">
      <c r="E5864" t="s">
        <v>5517</v>
      </c>
    </row>
    <row r="5865" spans="5:5" x14ac:dyDescent="0.25">
      <c r="E5865" t="s">
        <v>5518</v>
      </c>
    </row>
    <row r="5866" spans="5:5" x14ac:dyDescent="0.25">
      <c r="E5866" t="s">
        <v>5519</v>
      </c>
    </row>
    <row r="5867" spans="5:5" x14ac:dyDescent="0.25">
      <c r="E5867" t="s">
        <v>5520</v>
      </c>
    </row>
    <row r="5868" spans="5:5" x14ac:dyDescent="0.25">
      <c r="E5868" t="s">
        <v>5521</v>
      </c>
    </row>
    <row r="5869" spans="5:5" x14ac:dyDescent="0.25">
      <c r="E5869" t="s">
        <v>5522</v>
      </c>
    </row>
    <row r="5870" spans="5:5" x14ac:dyDescent="0.25">
      <c r="E5870" t="s">
        <v>5523</v>
      </c>
    </row>
    <row r="5871" spans="5:5" x14ac:dyDescent="0.25">
      <c r="E5871" t="s">
        <v>5524</v>
      </c>
    </row>
    <row r="5872" spans="5:5" x14ac:dyDescent="0.25">
      <c r="E5872" t="s">
        <v>5525</v>
      </c>
    </row>
    <row r="5873" spans="5:5" x14ac:dyDescent="0.25">
      <c r="E5873" t="s">
        <v>5526</v>
      </c>
    </row>
    <row r="5874" spans="5:5" x14ac:dyDescent="0.25">
      <c r="E5874" t="s">
        <v>5527</v>
      </c>
    </row>
    <row r="5875" spans="5:5" x14ac:dyDescent="0.25">
      <c r="E5875" t="s">
        <v>5528</v>
      </c>
    </row>
    <row r="5876" spans="5:5" x14ac:dyDescent="0.25">
      <c r="E5876" t="s">
        <v>5529</v>
      </c>
    </row>
    <row r="5877" spans="5:5" x14ac:dyDescent="0.25">
      <c r="E5877" t="s">
        <v>5530</v>
      </c>
    </row>
    <row r="5878" spans="5:5" x14ac:dyDescent="0.25">
      <c r="E5878" t="s">
        <v>5531</v>
      </c>
    </row>
    <row r="5879" spans="5:5" x14ac:dyDescent="0.25">
      <c r="E5879" t="s">
        <v>5532</v>
      </c>
    </row>
    <row r="5880" spans="5:5" x14ac:dyDescent="0.25">
      <c r="E5880" t="s">
        <v>5533</v>
      </c>
    </row>
    <row r="5881" spans="5:5" x14ac:dyDescent="0.25">
      <c r="E5881" t="s">
        <v>5534</v>
      </c>
    </row>
    <row r="5882" spans="5:5" x14ac:dyDescent="0.25">
      <c r="E5882" t="s">
        <v>5535</v>
      </c>
    </row>
    <row r="5883" spans="5:5" x14ac:dyDescent="0.25">
      <c r="E5883" t="s">
        <v>5536</v>
      </c>
    </row>
    <row r="5884" spans="5:5" x14ac:dyDescent="0.25">
      <c r="E5884" t="s">
        <v>5537</v>
      </c>
    </row>
    <row r="5885" spans="5:5" x14ac:dyDescent="0.25">
      <c r="E5885" t="s">
        <v>5538</v>
      </c>
    </row>
    <row r="5886" spans="5:5" x14ac:dyDescent="0.25">
      <c r="E5886" t="s">
        <v>5539</v>
      </c>
    </row>
    <row r="5887" spans="5:5" x14ac:dyDescent="0.25">
      <c r="E5887" t="s">
        <v>5540</v>
      </c>
    </row>
    <row r="5888" spans="5:5" x14ac:dyDescent="0.25">
      <c r="E5888" t="s">
        <v>5541</v>
      </c>
    </row>
    <row r="5889" spans="5:5" x14ac:dyDescent="0.25">
      <c r="E5889" t="s">
        <v>5542</v>
      </c>
    </row>
    <row r="5890" spans="5:5" x14ac:dyDescent="0.25">
      <c r="E5890" t="s">
        <v>5543</v>
      </c>
    </row>
    <row r="5891" spans="5:5" x14ac:dyDescent="0.25">
      <c r="E5891" t="s">
        <v>5544</v>
      </c>
    </row>
    <row r="5892" spans="5:5" x14ac:dyDescent="0.25">
      <c r="E5892" t="s">
        <v>5545</v>
      </c>
    </row>
    <row r="5893" spans="5:5" x14ac:dyDescent="0.25">
      <c r="E5893" t="s">
        <v>5546</v>
      </c>
    </row>
    <row r="5894" spans="5:5" x14ac:dyDescent="0.25">
      <c r="E5894" t="s">
        <v>5547</v>
      </c>
    </row>
    <row r="5895" spans="5:5" x14ac:dyDescent="0.25">
      <c r="E5895" t="s">
        <v>5548</v>
      </c>
    </row>
    <row r="5896" spans="5:5" x14ac:dyDescent="0.25">
      <c r="E5896" t="s">
        <v>5549</v>
      </c>
    </row>
    <row r="5897" spans="5:5" x14ac:dyDescent="0.25">
      <c r="E5897" t="s">
        <v>5550</v>
      </c>
    </row>
    <row r="5898" spans="5:5" x14ac:dyDescent="0.25">
      <c r="E5898" t="s">
        <v>5551</v>
      </c>
    </row>
    <row r="5899" spans="5:5" x14ac:dyDescent="0.25">
      <c r="E5899" t="s">
        <v>5552</v>
      </c>
    </row>
    <row r="5900" spans="5:5" x14ac:dyDescent="0.25">
      <c r="E5900" t="s">
        <v>5553</v>
      </c>
    </row>
    <row r="5901" spans="5:5" x14ac:dyDescent="0.25">
      <c r="E5901" t="s">
        <v>5554</v>
      </c>
    </row>
    <row r="5902" spans="5:5" x14ac:dyDescent="0.25">
      <c r="E5902" t="s">
        <v>5555</v>
      </c>
    </row>
    <row r="5903" spans="5:5" x14ac:dyDescent="0.25">
      <c r="E5903" t="s">
        <v>5556</v>
      </c>
    </row>
    <row r="5904" spans="5:5" x14ac:dyDescent="0.25">
      <c r="E5904" t="s">
        <v>5557</v>
      </c>
    </row>
    <row r="5905" spans="5:5" x14ac:dyDescent="0.25">
      <c r="E5905" t="s">
        <v>5558</v>
      </c>
    </row>
    <row r="5906" spans="5:5" x14ac:dyDescent="0.25">
      <c r="E5906" t="s">
        <v>5559</v>
      </c>
    </row>
    <row r="5907" spans="5:5" x14ac:dyDescent="0.25">
      <c r="E5907" t="s">
        <v>5560</v>
      </c>
    </row>
    <row r="5908" spans="5:5" x14ac:dyDescent="0.25">
      <c r="E5908" t="s">
        <v>5561</v>
      </c>
    </row>
    <row r="5909" spans="5:5" x14ac:dyDescent="0.25">
      <c r="E5909" t="s">
        <v>5562</v>
      </c>
    </row>
    <row r="5910" spans="5:5" x14ac:dyDescent="0.25">
      <c r="E5910" t="s">
        <v>5563</v>
      </c>
    </row>
    <row r="5911" spans="5:5" x14ac:dyDescent="0.25">
      <c r="E5911" t="s">
        <v>5564</v>
      </c>
    </row>
    <row r="5912" spans="5:5" x14ac:dyDescent="0.25">
      <c r="E5912" t="s">
        <v>5565</v>
      </c>
    </row>
    <row r="5913" spans="5:5" x14ac:dyDescent="0.25">
      <c r="E5913" t="s">
        <v>5566</v>
      </c>
    </row>
    <row r="5914" spans="5:5" x14ac:dyDescent="0.25">
      <c r="E5914" t="s">
        <v>5567</v>
      </c>
    </row>
    <row r="5915" spans="5:5" x14ac:dyDescent="0.25">
      <c r="E5915" t="s">
        <v>5568</v>
      </c>
    </row>
    <row r="5922" spans="5:5" x14ac:dyDescent="0.25">
      <c r="E5922" t="s">
        <v>5569</v>
      </c>
    </row>
    <row r="5923" spans="5:5" x14ac:dyDescent="0.25">
      <c r="E5923" t="s">
        <v>5570</v>
      </c>
    </row>
    <row r="5924" spans="5:5" x14ac:dyDescent="0.25">
      <c r="E5924" t="s">
        <v>5571</v>
      </c>
    </row>
    <row r="5925" spans="5:5" x14ac:dyDescent="0.25">
      <c r="E5925" t="s">
        <v>5572</v>
      </c>
    </row>
    <row r="5926" spans="5:5" x14ac:dyDescent="0.25">
      <c r="E5926" t="s">
        <v>5573</v>
      </c>
    </row>
    <row r="5927" spans="5:5" x14ac:dyDescent="0.25">
      <c r="E5927" t="s">
        <v>5574</v>
      </c>
    </row>
    <row r="5928" spans="5:5" x14ac:dyDescent="0.25">
      <c r="E5928" t="s">
        <v>5575</v>
      </c>
    </row>
    <row r="5929" spans="5:5" x14ac:dyDescent="0.25">
      <c r="E5929" t="s">
        <v>5576</v>
      </c>
    </row>
    <row r="5930" spans="5:5" x14ac:dyDescent="0.25">
      <c r="E5930" t="s">
        <v>5577</v>
      </c>
    </row>
    <row r="5931" spans="5:5" x14ac:dyDescent="0.25">
      <c r="E5931" t="s">
        <v>5578</v>
      </c>
    </row>
    <row r="5932" spans="5:5" x14ac:dyDescent="0.25">
      <c r="E5932" t="s">
        <v>5579</v>
      </c>
    </row>
    <row r="5933" spans="5:5" x14ac:dyDescent="0.25">
      <c r="E5933" t="s">
        <v>5580</v>
      </c>
    </row>
    <row r="5934" spans="5:5" x14ac:dyDescent="0.25">
      <c r="E5934" t="s">
        <v>5581</v>
      </c>
    </row>
    <row r="5935" spans="5:5" x14ac:dyDescent="0.25">
      <c r="E5935" t="s">
        <v>5582</v>
      </c>
    </row>
    <row r="5936" spans="5:5" x14ac:dyDescent="0.25">
      <c r="E5936" t="s">
        <v>5583</v>
      </c>
    </row>
    <row r="5937" spans="5:5" x14ac:dyDescent="0.25">
      <c r="E5937" t="s">
        <v>5584</v>
      </c>
    </row>
    <row r="5938" spans="5:5" x14ac:dyDescent="0.25">
      <c r="E5938" t="s">
        <v>5585</v>
      </c>
    </row>
    <row r="5939" spans="5:5" x14ac:dyDescent="0.25">
      <c r="E5939" t="s">
        <v>5586</v>
      </c>
    </row>
    <row r="5940" spans="5:5" x14ac:dyDescent="0.25">
      <c r="E5940" t="s">
        <v>5587</v>
      </c>
    </row>
    <row r="5941" spans="5:5" x14ac:dyDescent="0.25">
      <c r="E5941" t="s">
        <v>5588</v>
      </c>
    </row>
    <row r="5942" spans="5:5" x14ac:dyDescent="0.25">
      <c r="E5942" t="s">
        <v>5589</v>
      </c>
    </row>
    <row r="5943" spans="5:5" x14ac:dyDescent="0.25">
      <c r="E5943" t="s">
        <v>5590</v>
      </c>
    </row>
    <row r="5944" spans="5:5" x14ac:dyDescent="0.25">
      <c r="E5944" t="s">
        <v>5591</v>
      </c>
    </row>
    <row r="5945" spans="5:5" x14ac:dyDescent="0.25">
      <c r="E5945" t="s">
        <v>5592</v>
      </c>
    </row>
    <row r="5946" spans="5:5" x14ac:dyDescent="0.25">
      <c r="E5946" t="s">
        <v>5593</v>
      </c>
    </row>
    <row r="5947" spans="5:5" x14ac:dyDescent="0.25">
      <c r="E5947" t="s">
        <v>5594</v>
      </c>
    </row>
    <row r="5948" spans="5:5" x14ac:dyDescent="0.25">
      <c r="E5948" t="s">
        <v>5595</v>
      </c>
    </row>
    <row r="5949" spans="5:5" x14ac:dyDescent="0.25">
      <c r="E5949" t="s">
        <v>5596</v>
      </c>
    </row>
    <row r="5950" spans="5:5" x14ac:dyDescent="0.25">
      <c r="E5950" t="s">
        <v>5597</v>
      </c>
    </row>
    <row r="5951" spans="5:5" x14ac:dyDescent="0.25">
      <c r="E5951" t="s">
        <v>5598</v>
      </c>
    </row>
    <row r="5952" spans="5:5" x14ac:dyDescent="0.25">
      <c r="E5952" t="s">
        <v>5599</v>
      </c>
    </row>
    <row r="5953" spans="5:5" x14ac:dyDescent="0.25">
      <c r="E5953" t="s">
        <v>5600</v>
      </c>
    </row>
    <row r="5954" spans="5:5" x14ac:dyDescent="0.25">
      <c r="E5954" t="s">
        <v>5601</v>
      </c>
    </row>
    <row r="5955" spans="5:5" x14ac:dyDescent="0.25">
      <c r="E5955" t="s">
        <v>5602</v>
      </c>
    </row>
    <row r="5956" spans="5:5" x14ac:dyDescent="0.25">
      <c r="E5956" t="s">
        <v>5603</v>
      </c>
    </row>
    <row r="5957" spans="5:5" x14ac:dyDescent="0.25">
      <c r="E5957" t="s">
        <v>5604</v>
      </c>
    </row>
    <row r="5958" spans="5:5" x14ac:dyDescent="0.25">
      <c r="E5958" t="s">
        <v>5605</v>
      </c>
    </row>
    <row r="5959" spans="5:5" x14ac:dyDescent="0.25">
      <c r="E5959" t="s">
        <v>5606</v>
      </c>
    </row>
    <row r="5960" spans="5:5" x14ac:dyDescent="0.25">
      <c r="E5960" t="s">
        <v>5607</v>
      </c>
    </row>
    <row r="5961" spans="5:5" x14ac:dyDescent="0.25">
      <c r="E5961" t="s">
        <v>5608</v>
      </c>
    </row>
    <row r="5962" spans="5:5" x14ac:dyDescent="0.25">
      <c r="E5962" t="s">
        <v>5609</v>
      </c>
    </row>
    <row r="5964" spans="5:5" x14ac:dyDescent="0.25">
      <c r="E5964" t="s">
        <v>5610</v>
      </c>
    </row>
    <row r="5965" spans="5:5" x14ac:dyDescent="0.25">
      <c r="E5965" t="s">
        <v>5611</v>
      </c>
    </row>
    <row r="5966" spans="5:5" x14ac:dyDescent="0.25">
      <c r="E5966" t="s">
        <v>5612</v>
      </c>
    </row>
    <row r="5967" spans="5:5" x14ac:dyDescent="0.25">
      <c r="E5967" t="s">
        <v>5613</v>
      </c>
    </row>
    <row r="5968" spans="5:5" x14ac:dyDescent="0.25">
      <c r="E5968" t="s">
        <v>5614</v>
      </c>
    </row>
    <row r="5969" spans="5:5" x14ac:dyDescent="0.25">
      <c r="E5969" t="s">
        <v>5615</v>
      </c>
    </row>
    <row r="5970" spans="5:5" x14ac:dyDescent="0.25">
      <c r="E5970" t="s">
        <v>5616</v>
      </c>
    </row>
    <row r="5971" spans="5:5" x14ac:dyDescent="0.25">
      <c r="E5971" t="s">
        <v>5617</v>
      </c>
    </row>
    <row r="5972" spans="5:5" x14ac:dyDescent="0.25">
      <c r="E5972" t="s">
        <v>5618</v>
      </c>
    </row>
    <row r="5973" spans="5:5" x14ac:dyDescent="0.25">
      <c r="E5973" t="s">
        <v>5619</v>
      </c>
    </row>
    <row r="5974" spans="5:5" x14ac:dyDescent="0.25">
      <c r="E5974" t="s">
        <v>5620</v>
      </c>
    </row>
    <row r="5975" spans="5:5" x14ac:dyDescent="0.25">
      <c r="E5975" t="s">
        <v>5621</v>
      </c>
    </row>
    <row r="5976" spans="5:5" x14ac:dyDescent="0.25">
      <c r="E5976" t="s">
        <v>5622</v>
      </c>
    </row>
    <row r="5977" spans="5:5" x14ac:dyDescent="0.25">
      <c r="E5977" t="s">
        <v>5623</v>
      </c>
    </row>
    <row r="5978" spans="5:5" x14ac:dyDescent="0.25">
      <c r="E5978" t="s">
        <v>5624</v>
      </c>
    </row>
    <row r="5979" spans="5:5" x14ac:dyDescent="0.25">
      <c r="E5979" t="s">
        <v>5625</v>
      </c>
    </row>
    <row r="5980" spans="5:5" x14ac:dyDescent="0.25">
      <c r="E5980" t="s">
        <v>5626</v>
      </c>
    </row>
    <row r="5981" spans="5:5" x14ac:dyDescent="0.25">
      <c r="E5981" t="s">
        <v>5627</v>
      </c>
    </row>
    <row r="5982" spans="5:5" x14ac:dyDescent="0.25">
      <c r="E5982" t="s">
        <v>5628</v>
      </c>
    </row>
    <row r="5983" spans="5:5" x14ac:dyDescent="0.25">
      <c r="E5983" t="s">
        <v>5629</v>
      </c>
    </row>
    <row r="5984" spans="5:5" x14ac:dyDescent="0.25">
      <c r="E5984" t="s">
        <v>5630</v>
      </c>
    </row>
    <row r="5985" spans="5:5" x14ac:dyDescent="0.25">
      <c r="E5985" t="s">
        <v>5631</v>
      </c>
    </row>
    <row r="5986" spans="5:5" x14ac:dyDescent="0.25">
      <c r="E5986" t="s">
        <v>5632</v>
      </c>
    </row>
    <row r="5987" spans="5:5" x14ac:dyDescent="0.25">
      <c r="E5987" t="s">
        <v>5633</v>
      </c>
    </row>
    <row r="5988" spans="5:5" x14ac:dyDescent="0.25">
      <c r="E5988" t="s">
        <v>5634</v>
      </c>
    </row>
    <row r="5989" spans="5:5" x14ac:dyDescent="0.25">
      <c r="E5989" t="s">
        <v>5635</v>
      </c>
    </row>
    <row r="5990" spans="5:5" x14ac:dyDescent="0.25">
      <c r="E5990" t="s">
        <v>5636</v>
      </c>
    </row>
    <row r="5991" spans="5:5" x14ac:dyDescent="0.25">
      <c r="E5991" t="s">
        <v>5637</v>
      </c>
    </row>
    <row r="5992" spans="5:5" x14ac:dyDescent="0.25">
      <c r="E5992" t="s">
        <v>5638</v>
      </c>
    </row>
    <row r="5993" spans="5:5" x14ac:dyDescent="0.25">
      <c r="E5993" t="s">
        <v>5639</v>
      </c>
    </row>
    <row r="5994" spans="5:5" x14ac:dyDescent="0.25">
      <c r="E5994" t="s">
        <v>5640</v>
      </c>
    </row>
    <row r="5995" spans="5:5" x14ac:dyDescent="0.25">
      <c r="E5995" t="s">
        <v>5641</v>
      </c>
    </row>
    <row r="5996" spans="5:5" x14ac:dyDescent="0.25">
      <c r="E5996" t="s">
        <v>5642</v>
      </c>
    </row>
    <row r="5997" spans="5:5" x14ac:dyDescent="0.25">
      <c r="E5997" t="s">
        <v>5643</v>
      </c>
    </row>
    <row r="5998" spans="5:5" x14ac:dyDescent="0.25">
      <c r="E5998" t="s">
        <v>5644</v>
      </c>
    </row>
    <row r="5999" spans="5:5" x14ac:dyDescent="0.25">
      <c r="E5999" t="s">
        <v>5645</v>
      </c>
    </row>
    <row r="6000" spans="5:5" x14ac:dyDescent="0.25">
      <c r="E6000" t="s">
        <v>5646</v>
      </c>
    </row>
    <row r="6001" spans="5:5" x14ac:dyDescent="0.25">
      <c r="E6001" t="s">
        <v>5647</v>
      </c>
    </row>
    <row r="6002" spans="5:5" x14ac:dyDescent="0.25">
      <c r="E6002" t="s">
        <v>5648</v>
      </c>
    </row>
    <row r="6003" spans="5:5" x14ac:dyDescent="0.25">
      <c r="E6003" t="s">
        <v>5649</v>
      </c>
    </row>
    <row r="6004" spans="5:5" x14ac:dyDescent="0.25">
      <c r="E6004" t="s">
        <v>5650</v>
      </c>
    </row>
    <row r="6005" spans="5:5" x14ac:dyDescent="0.25">
      <c r="E6005" t="s">
        <v>5651</v>
      </c>
    </row>
    <row r="6006" spans="5:5" x14ac:dyDescent="0.25">
      <c r="E6006" t="s">
        <v>5652</v>
      </c>
    </row>
    <row r="6007" spans="5:5" x14ac:dyDescent="0.25">
      <c r="E6007" t="s">
        <v>5653</v>
      </c>
    </row>
    <row r="6008" spans="5:5" x14ac:dyDescent="0.25">
      <c r="E6008" t="s">
        <v>5654</v>
      </c>
    </row>
    <row r="6009" spans="5:5" x14ac:dyDescent="0.25">
      <c r="E6009" t="s">
        <v>5655</v>
      </c>
    </row>
    <row r="6010" spans="5:5" x14ac:dyDescent="0.25">
      <c r="E6010" t="s">
        <v>5656</v>
      </c>
    </row>
    <row r="6011" spans="5:5" x14ac:dyDescent="0.25">
      <c r="E6011" t="s">
        <v>5657</v>
      </c>
    </row>
    <row r="6012" spans="5:5" x14ac:dyDescent="0.25">
      <c r="E6012" t="s">
        <v>5658</v>
      </c>
    </row>
    <row r="6013" spans="5:5" x14ac:dyDescent="0.25">
      <c r="E6013" t="s">
        <v>5659</v>
      </c>
    </row>
    <row r="6014" spans="5:5" x14ac:dyDescent="0.25">
      <c r="E6014" t="s">
        <v>5660</v>
      </c>
    </row>
    <row r="6015" spans="5:5" x14ac:dyDescent="0.25">
      <c r="E6015" t="s">
        <v>5661</v>
      </c>
    </row>
    <row r="6016" spans="5:5" x14ac:dyDescent="0.25">
      <c r="E6016" t="s">
        <v>5662</v>
      </c>
    </row>
    <row r="6017" spans="5:5" x14ac:dyDescent="0.25">
      <c r="E6017" t="s">
        <v>5663</v>
      </c>
    </row>
    <row r="6018" spans="5:5" x14ac:dyDescent="0.25">
      <c r="E6018" t="s">
        <v>5664</v>
      </c>
    </row>
    <row r="6019" spans="5:5" x14ac:dyDescent="0.25">
      <c r="E6019" t="s">
        <v>5665</v>
      </c>
    </row>
    <row r="6020" spans="5:5" x14ac:dyDescent="0.25">
      <c r="E6020" t="s">
        <v>5666</v>
      </c>
    </row>
    <row r="6021" spans="5:5" x14ac:dyDescent="0.25">
      <c r="E6021" t="s">
        <v>5667</v>
      </c>
    </row>
    <row r="6022" spans="5:5" x14ac:dyDescent="0.25">
      <c r="E6022" t="s">
        <v>5668</v>
      </c>
    </row>
    <row r="6023" spans="5:5" x14ac:dyDescent="0.25">
      <c r="E6023" t="s">
        <v>5669</v>
      </c>
    </row>
    <row r="6024" spans="5:5" x14ac:dyDescent="0.25">
      <c r="E6024" t="s">
        <v>5670</v>
      </c>
    </row>
    <row r="6025" spans="5:5" x14ac:dyDescent="0.25">
      <c r="E6025" t="s">
        <v>5671</v>
      </c>
    </row>
    <row r="6026" spans="5:5" x14ac:dyDescent="0.25">
      <c r="E6026" t="s">
        <v>5672</v>
      </c>
    </row>
    <row r="6027" spans="5:5" x14ac:dyDescent="0.25">
      <c r="E6027" t="s">
        <v>5673</v>
      </c>
    </row>
    <row r="6028" spans="5:5" x14ac:dyDescent="0.25">
      <c r="E6028" t="s">
        <v>5674</v>
      </c>
    </row>
    <row r="6029" spans="5:5" x14ac:dyDescent="0.25">
      <c r="E6029" t="s">
        <v>5675</v>
      </c>
    </row>
    <row r="6030" spans="5:5" x14ac:dyDescent="0.25">
      <c r="E6030" t="s">
        <v>5676</v>
      </c>
    </row>
    <row r="6031" spans="5:5" x14ac:dyDescent="0.25">
      <c r="E6031" t="s">
        <v>5677</v>
      </c>
    </row>
    <row r="6032" spans="5:5" x14ac:dyDescent="0.25">
      <c r="E6032" t="s">
        <v>5678</v>
      </c>
    </row>
    <row r="6033" spans="5:5" x14ac:dyDescent="0.25">
      <c r="E6033" t="s">
        <v>5679</v>
      </c>
    </row>
    <row r="6034" spans="5:5" x14ac:dyDescent="0.25">
      <c r="E6034" t="s">
        <v>5680</v>
      </c>
    </row>
    <row r="6035" spans="5:5" x14ac:dyDescent="0.25">
      <c r="E6035" t="s">
        <v>5681</v>
      </c>
    </row>
    <row r="6036" spans="5:5" x14ac:dyDescent="0.25">
      <c r="E6036" t="s">
        <v>5682</v>
      </c>
    </row>
    <row r="6037" spans="5:5" x14ac:dyDescent="0.25">
      <c r="E6037" t="s">
        <v>5683</v>
      </c>
    </row>
    <row r="6038" spans="5:5" x14ac:dyDescent="0.25">
      <c r="E6038" t="s">
        <v>5684</v>
      </c>
    </row>
    <row r="6039" spans="5:5" x14ac:dyDescent="0.25">
      <c r="E6039" t="s">
        <v>5685</v>
      </c>
    </row>
    <row r="6040" spans="5:5" x14ac:dyDescent="0.25">
      <c r="E6040" t="s">
        <v>5686</v>
      </c>
    </row>
    <row r="6041" spans="5:5" x14ac:dyDescent="0.25">
      <c r="E6041" t="s">
        <v>5687</v>
      </c>
    </row>
    <row r="6042" spans="5:5" x14ac:dyDescent="0.25">
      <c r="E6042" t="s">
        <v>5688</v>
      </c>
    </row>
    <row r="6043" spans="5:5" x14ac:dyDescent="0.25">
      <c r="E6043" t="s">
        <v>5689</v>
      </c>
    </row>
    <row r="6044" spans="5:5" x14ac:dyDescent="0.25">
      <c r="E6044" t="s">
        <v>5690</v>
      </c>
    </row>
    <row r="6045" spans="5:5" x14ac:dyDescent="0.25">
      <c r="E6045" t="s">
        <v>5691</v>
      </c>
    </row>
    <row r="6046" spans="5:5" x14ac:dyDescent="0.25">
      <c r="E6046" t="s">
        <v>5692</v>
      </c>
    </row>
    <row r="6047" spans="5:5" x14ac:dyDescent="0.25">
      <c r="E6047" t="s">
        <v>5693</v>
      </c>
    </row>
    <row r="6048" spans="5:5" x14ac:dyDescent="0.25">
      <c r="E6048" t="s">
        <v>5694</v>
      </c>
    </row>
    <row r="6049" spans="5:5" x14ac:dyDescent="0.25">
      <c r="E6049" t="s">
        <v>5695</v>
      </c>
    </row>
    <row r="6050" spans="5:5" x14ac:dyDescent="0.25">
      <c r="E6050" t="s">
        <v>5696</v>
      </c>
    </row>
    <row r="6051" spans="5:5" x14ac:dyDescent="0.25">
      <c r="E6051" t="s">
        <v>5697</v>
      </c>
    </row>
    <row r="6052" spans="5:5" x14ac:dyDescent="0.25">
      <c r="E6052" t="s">
        <v>5698</v>
      </c>
    </row>
    <row r="6053" spans="5:5" x14ac:dyDescent="0.25">
      <c r="E6053" t="s">
        <v>5699</v>
      </c>
    </row>
    <row r="6054" spans="5:5" x14ac:dyDescent="0.25">
      <c r="E6054" t="s">
        <v>5700</v>
      </c>
    </row>
    <row r="6055" spans="5:5" x14ac:dyDescent="0.25">
      <c r="E6055" t="s">
        <v>5701</v>
      </c>
    </row>
    <row r="6056" spans="5:5" x14ac:dyDescent="0.25">
      <c r="E6056" t="s">
        <v>5702</v>
      </c>
    </row>
    <row r="6057" spans="5:5" x14ac:dyDescent="0.25">
      <c r="E6057" t="s">
        <v>5703</v>
      </c>
    </row>
    <row r="6058" spans="5:5" x14ac:dyDescent="0.25">
      <c r="E6058" t="s">
        <v>5704</v>
      </c>
    </row>
    <row r="6059" spans="5:5" x14ac:dyDescent="0.25">
      <c r="E6059" t="s">
        <v>5705</v>
      </c>
    </row>
    <row r="6060" spans="5:5" x14ac:dyDescent="0.25">
      <c r="E6060" t="s">
        <v>5706</v>
      </c>
    </row>
    <row r="6061" spans="5:5" x14ac:dyDescent="0.25">
      <c r="E6061" t="s">
        <v>5707</v>
      </c>
    </row>
    <row r="6062" spans="5:5" x14ac:dyDescent="0.25">
      <c r="E6062" t="s">
        <v>5708</v>
      </c>
    </row>
    <row r="6063" spans="5:5" x14ac:dyDescent="0.25">
      <c r="E6063" t="s">
        <v>5709</v>
      </c>
    </row>
    <row r="6064" spans="5:5" x14ac:dyDescent="0.25">
      <c r="E6064" t="s">
        <v>5710</v>
      </c>
    </row>
    <row r="6065" spans="5:5" x14ac:dyDescent="0.25">
      <c r="E6065" t="s">
        <v>5711</v>
      </c>
    </row>
    <row r="6066" spans="5:5" x14ac:dyDescent="0.25">
      <c r="E6066" t="s">
        <v>5712</v>
      </c>
    </row>
    <row r="6067" spans="5:5" x14ac:dyDescent="0.25">
      <c r="E6067" t="s">
        <v>5713</v>
      </c>
    </row>
    <row r="6068" spans="5:5" x14ac:dyDescent="0.25">
      <c r="E6068" t="s">
        <v>5714</v>
      </c>
    </row>
    <row r="6069" spans="5:5" x14ac:dyDescent="0.25">
      <c r="E6069" t="s">
        <v>5715</v>
      </c>
    </row>
    <row r="6070" spans="5:5" x14ac:dyDescent="0.25">
      <c r="E6070" t="s">
        <v>5716</v>
      </c>
    </row>
    <row r="6071" spans="5:5" x14ac:dyDescent="0.25">
      <c r="E6071" t="s">
        <v>5717</v>
      </c>
    </row>
    <row r="6072" spans="5:5" x14ac:dyDescent="0.25">
      <c r="E6072" t="s">
        <v>5718</v>
      </c>
    </row>
    <row r="6073" spans="5:5" x14ac:dyDescent="0.25">
      <c r="E6073" t="s">
        <v>5719</v>
      </c>
    </row>
    <row r="6074" spans="5:5" x14ac:dyDescent="0.25">
      <c r="E6074" t="s">
        <v>5720</v>
      </c>
    </row>
    <row r="6075" spans="5:5" x14ac:dyDescent="0.25">
      <c r="E6075" t="s">
        <v>5721</v>
      </c>
    </row>
    <row r="6076" spans="5:5" x14ac:dyDescent="0.25">
      <c r="E6076" t="s">
        <v>5722</v>
      </c>
    </row>
    <row r="6077" spans="5:5" x14ac:dyDescent="0.25">
      <c r="E6077" t="s">
        <v>5723</v>
      </c>
    </row>
    <row r="6078" spans="5:5" x14ac:dyDescent="0.25">
      <c r="E6078" t="s">
        <v>5724</v>
      </c>
    </row>
    <row r="6079" spans="5:5" x14ac:dyDescent="0.25">
      <c r="E6079" t="s">
        <v>5725</v>
      </c>
    </row>
    <row r="6080" spans="5:5" x14ac:dyDescent="0.25">
      <c r="E6080" t="s">
        <v>5726</v>
      </c>
    </row>
    <row r="6081" spans="5:5" x14ac:dyDescent="0.25">
      <c r="E6081" t="s">
        <v>5727</v>
      </c>
    </row>
    <row r="6082" spans="5:5" x14ac:dyDescent="0.25">
      <c r="E6082" t="s">
        <v>5728</v>
      </c>
    </row>
    <row r="6083" spans="5:5" x14ac:dyDescent="0.25">
      <c r="E6083" t="s">
        <v>5729</v>
      </c>
    </row>
    <row r="6084" spans="5:5" x14ac:dyDescent="0.25">
      <c r="E6084" t="s">
        <v>5730</v>
      </c>
    </row>
    <row r="6085" spans="5:5" x14ac:dyDescent="0.25">
      <c r="E6085" t="s">
        <v>5731</v>
      </c>
    </row>
    <row r="6086" spans="5:5" x14ac:dyDescent="0.25">
      <c r="E6086" t="s">
        <v>5732</v>
      </c>
    </row>
    <row r="6087" spans="5:5" x14ac:dyDescent="0.25">
      <c r="E6087" t="s">
        <v>5733</v>
      </c>
    </row>
    <row r="6088" spans="5:5" x14ac:dyDescent="0.25">
      <c r="E6088" t="s">
        <v>5734</v>
      </c>
    </row>
    <row r="6089" spans="5:5" x14ac:dyDescent="0.25">
      <c r="E6089" t="s">
        <v>5735</v>
      </c>
    </row>
    <row r="6090" spans="5:5" x14ac:dyDescent="0.25">
      <c r="E6090" t="s">
        <v>5736</v>
      </c>
    </row>
    <row r="6091" spans="5:5" x14ac:dyDescent="0.25">
      <c r="E6091" t="s">
        <v>5737</v>
      </c>
    </row>
    <row r="6092" spans="5:5" x14ac:dyDescent="0.25">
      <c r="E6092" t="s">
        <v>5738</v>
      </c>
    </row>
    <row r="6093" spans="5:5" x14ac:dyDescent="0.25">
      <c r="E6093" t="s">
        <v>5739</v>
      </c>
    </row>
    <row r="6094" spans="5:5" x14ac:dyDescent="0.25">
      <c r="E6094" t="s">
        <v>5740</v>
      </c>
    </row>
    <row r="6095" spans="5:5" x14ac:dyDescent="0.25">
      <c r="E6095" t="s">
        <v>5741</v>
      </c>
    </row>
    <row r="6096" spans="5:5" x14ac:dyDescent="0.25">
      <c r="E6096" t="s">
        <v>5742</v>
      </c>
    </row>
    <row r="6097" spans="5:5" x14ac:dyDescent="0.25">
      <c r="E6097" t="s">
        <v>5743</v>
      </c>
    </row>
    <row r="6098" spans="5:5" x14ac:dyDescent="0.25">
      <c r="E6098" t="s">
        <v>5744</v>
      </c>
    </row>
    <row r="6099" spans="5:5" x14ac:dyDescent="0.25">
      <c r="E6099" t="s">
        <v>5745</v>
      </c>
    </row>
    <row r="6100" spans="5:5" x14ac:dyDescent="0.25">
      <c r="E6100" t="s">
        <v>5746</v>
      </c>
    </row>
    <row r="6101" spans="5:5" x14ac:dyDescent="0.25">
      <c r="E6101" t="s">
        <v>5747</v>
      </c>
    </row>
    <row r="6102" spans="5:5" x14ac:dyDescent="0.25">
      <c r="E6102" t="s">
        <v>5748</v>
      </c>
    </row>
    <row r="6103" spans="5:5" x14ac:dyDescent="0.25">
      <c r="E6103" t="s">
        <v>5749</v>
      </c>
    </row>
    <row r="6104" spans="5:5" x14ac:dyDescent="0.25">
      <c r="E6104" t="s">
        <v>5750</v>
      </c>
    </row>
    <row r="6105" spans="5:5" x14ac:dyDescent="0.25">
      <c r="E6105" t="s">
        <v>5751</v>
      </c>
    </row>
    <row r="6106" spans="5:5" x14ac:dyDescent="0.25">
      <c r="E6106" t="s">
        <v>5752</v>
      </c>
    </row>
    <row r="6107" spans="5:5" x14ac:dyDescent="0.25">
      <c r="E6107" t="s">
        <v>5753</v>
      </c>
    </row>
    <row r="6108" spans="5:5" x14ac:dyDescent="0.25">
      <c r="E6108" t="s">
        <v>5754</v>
      </c>
    </row>
    <row r="6109" spans="5:5" x14ac:dyDescent="0.25">
      <c r="E6109" t="s">
        <v>5755</v>
      </c>
    </row>
    <row r="6110" spans="5:5" x14ac:dyDescent="0.25">
      <c r="E6110" t="s">
        <v>5756</v>
      </c>
    </row>
    <row r="6111" spans="5:5" x14ac:dyDescent="0.25">
      <c r="E6111" t="s">
        <v>5757</v>
      </c>
    </row>
    <row r="6112" spans="5:5" x14ac:dyDescent="0.25">
      <c r="E6112" t="s">
        <v>5758</v>
      </c>
    </row>
    <row r="6113" spans="5:5" x14ac:dyDescent="0.25">
      <c r="E6113" t="s">
        <v>5759</v>
      </c>
    </row>
    <row r="6114" spans="5:5" x14ac:dyDescent="0.25">
      <c r="E6114" t="s">
        <v>5760</v>
      </c>
    </row>
    <row r="6115" spans="5:5" x14ac:dyDescent="0.25">
      <c r="E6115" t="s">
        <v>5761</v>
      </c>
    </row>
    <row r="6116" spans="5:5" x14ac:dyDescent="0.25">
      <c r="E6116" t="s">
        <v>5762</v>
      </c>
    </row>
    <row r="6117" spans="5:5" x14ac:dyDescent="0.25">
      <c r="E6117" t="s">
        <v>5763</v>
      </c>
    </row>
    <row r="6118" spans="5:5" x14ac:dyDescent="0.25">
      <c r="E6118" t="s">
        <v>5764</v>
      </c>
    </row>
    <row r="6119" spans="5:5" x14ac:dyDescent="0.25">
      <c r="E6119" t="s">
        <v>5765</v>
      </c>
    </row>
    <row r="6120" spans="5:5" x14ac:dyDescent="0.25">
      <c r="E6120" t="s">
        <v>5766</v>
      </c>
    </row>
    <row r="6121" spans="5:5" x14ac:dyDescent="0.25">
      <c r="E6121" t="s">
        <v>5767</v>
      </c>
    </row>
    <row r="6122" spans="5:5" x14ac:dyDescent="0.25">
      <c r="E6122" t="s">
        <v>5768</v>
      </c>
    </row>
    <row r="6123" spans="5:5" x14ac:dyDescent="0.25">
      <c r="E6123" t="s">
        <v>5769</v>
      </c>
    </row>
    <row r="6124" spans="5:5" x14ac:dyDescent="0.25">
      <c r="E6124" t="s">
        <v>5770</v>
      </c>
    </row>
    <row r="6125" spans="5:5" x14ac:dyDescent="0.25">
      <c r="E6125" t="s">
        <v>5771</v>
      </c>
    </row>
    <row r="6126" spans="5:5" x14ac:dyDescent="0.25">
      <c r="E6126" t="s">
        <v>5772</v>
      </c>
    </row>
    <row r="6127" spans="5:5" x14ac:dyDescent="0.25">
      <c r="E6127" t="s">
        <v>5773</v>
      </c>
    </row>
    <row r="6128" spans="5:5" x14ac:dyDescent="0.25">
      <c r="E6128" t="s">
        <v>5774</v>
      </c>
    </row>
    <row r="6129" spans="5:5" x14ac:dyDescent="0.25">
      <c r="E6129" t="s">
        <v>5775</v>
      </c>
    </row>
    <row r="6130" spans="5:5" x14ac:dyDescent="0.25">
      <c r="E6130" t="s">
        <v>5776</v>
      </c>
    </row>
    <row r="6131" spans="5:5" x14ac:dyDescent="0.25">
      <c r="E6131" t="s">
        <v>5777</v>
      </c>
    </row>
    <row r="6132" spans="5:5" x14ac:dyDescent="0.25">
      <c r="E6132" t="s">
        <v>5778</v>
      </c>
    </row>
    <row r="6133" spans="5:5" x14ac:dyDescent="0.25">
      <c r="E6133" t="s">
        <v>5779</v>
      </c>
    </row>
    <row r="6134" spans="5:5" x14ac:dyDescent="0.25">
      <c r="E6134" t="s">
        <v>5780</v>
      </c>
    </row>
    <row r="6135" spans="5:5" x14ac:dyDescent="0.25">
      <c r="E6135" t="s">
        <v>5781</v>
      </c>
    </row>
    <row r="6136" spans="5:5" x14ac:dyDescent="0.25">
      <c r="E6136" t="s">
        <v>5782</v>
      </c>
    </row>
    <row r="6137" spans="5:5" x14ac:dyDescent="0.25">
      <c r="E6137" t="s">
        <v>5783</v>
      </c>
    </row>
    <row r="6138" spans="5:5" x14ac:dyDescent="0.25">
      <c r="E6138" t="s">
        <v>5784</v>
      </c>
    </row>
    <row r="6139" spans="5:5" x14ac:dyDescent="0.25">
      <c r="E6139" t="s">
        <v>5785</v>
      </c>
    </row>
    <row r="6140" spans="5:5" x14ac:dyDescent="0.25">
      <c r="E6140" t="s">
        <v>5786</v>
      </c>
    </row>
    <row r="6141" spans="5:5" x14ac:dyDescent="0.25">
      <c r="E6141" t="s">
        <v>5787</v>
      </c>
    </row>
    <row r="6142" spans="5:5" x14ac:dyDescent="0.25">
      <c r="E6142" t="s">
        <v>5788</v>
      </c>
    </row>
    <row r="6143" spans="5:5" x14ac:dyDescent="0.25">
      <c r="E6143" t="s">
        <v>5789</v>
      </c>
    </row>
    <row r="6144" spans="5:5" x14ac:dyDescent="0.25">
      <c r="E6144" t="s">
        <v>5790</v>
      </c>
    </row>
    <row r="6145" spans="5:5" x14ac:dyDescent="0.25">
      <c r="E6145" t="s">
        <v>5791</v>
      </c>
    </row>
    <row r="6146" spans="5:5" x14ac:dyDescent="0.25">
      <c r="E6146" t="s">
        <v>5792</v>
      </c>
    </row>
    <row r="6147" spans="5:5" x14ac:dyDescent="0.25">
      <c r="E6147" t="s">
        <v>5793</v>
      </c>
    </row>
    <row r="6148" spans="5:5" x14ac:dyDescent="0.25">
      <c r="E6148" t="s">
        <v>5794</v>
      </c>
    </row>
    <row r="6149" spans="5:5" x14ac:dyDescent="0.25">
      <c r="E6149" t="s">
        <v>5795</v>
      </c>
    </row>
    <row r="6150" spans="5:5" x14ac:dyDescent="0.25">
      <c r="E6150" t="s">
        <v>5796</v>
      </c>
    </row>
    <row r="6151" spans="5:5" x14ac:dyDescent="0.25">
      <c r="E6151" t="s">
        <v>5797</v>
      </c>
    </row>
    <row r="6152" spans="5:5" x14ac:dyDescent="0.25">
      <c r="E6152" t="s">
        <v>5798</v>
      </c>
    </row>
    <row r="6153" spans="5:5" x14ac:dyDescent="0.25">
      <c r="E6153" t="s">
        <v>5799</v>
      </c>
    </row>
    <row r="6154" spans="5:5" x14ac:dyDescent="0.25">
      <c r="E6154" t="s">
        <v>5800</v>
      </c>
    </row>
    <row r="6155" spans="5:5" x14ac:dyDescent="0.25">
      <c r="E6155" t="s">
        <v>5801</v>
      </c>
    </row>
    <row r="6156" spans="5:5" x14ac:dyDescent="0.25">
      <c r="E6156" t="s">
        <v>5802</v>
      </c>
    </row>
    <row r="6157" spans="5:5" x14ac:dyDescent="0.25">
      <c r="E6157" t="s">
        <v>5803</v>
      </c>
    </row>
    <row r="6158" spans="5:5" x14ac:dyDescent="0.25">
      <c r="E6158" t="s">
        <v>5804</v>
      </c>
    </row>
    <row r="6159" spans="5:5" x14ac:dyDescent="0.25">
      <c r="E6159" t="s">
        <v>5805</v>
      </c>
    </row>
    <row r="6160" spans="5:5" x14ac:dyDescent="0.25">
      <c r="E6160" t="s">
        <v>5806</v>
      </c>
    </row>
    <row r="6161" spans="5:5" x14ac:dyDescent="0.25">
      <c r="E6161" t="s">
        <v>5807</v>
      </c>
    </row>
    <row r="6162" spans="5:5" x14ac:dyDescent="0.25">
      <c r="E6162" t="s">
        <v>5808</v>
      </c>
    </row>
    <row r="6163" spans="5:5" x14ac:dyDescent="0.25">
      <c r="E6163" t="s">
        <v>5809</v>
      </c>
    </row>
    <row r="6164" spans="5:5" x14ac:dyDescent="0.25">
      <c r="E6164" t="s">
        <v>5810</v>
      </c>
    </row>
    <row r="6165" spans="5:5" x14ac:dyDescent="0.25">
      <c r="E6165" t="s">
        <v>5811</v>
      </c>
    </row>
    <row r="6166" spans="5:5" x14ac:dyDescent="0.25">
      <c r="E6166" t="s">
        <v>5812</v>
      </c>
    </row>
    <row r="6167" spans="5:5" x14ac:dyDescent="0.25">
      <c r="E6167" t="s">
        <v>5813</v>
      </c>
    </row>
    <row r="6168" spans="5:5" x14ac:dyDescent="0.25">
      <c r="E6168" t="s">
        <v>5814</v>
      </c>
    </row>
    <row r="6169" spans="5:5" x14ac:dyDescent="0.25">
      <c r="E6169" t="s">
        <v>5815</v>
      </c>
    </row>
    <row r="6170" spans="5:5" x14ac:dyDescent="0.25">
      <c r="E6170" t="s">
        <v>5816</v>
      </c>
    </row>
    <row r="6171" spans="5:5" x14ac:dyDescent="0.25">
      <c r="E6171" t="s">
        <v>5817</v>
      </c>
    </row>
    <row r="6172" spans="5:5" x14ac:dyDescent="0.25">
      <c r="E6172" t="s">
        <v>5818</v>
      </c>
    </row>
    <row r="6173" spans="5:5" x14ac:dyDescent="0.25">
      <c r="E6173" t="s">
        <v>5819</v>
      </c>
    </row>
    <row r="6174" spans="5:5" x14ac:dyDescent="0.25">
      <c r="E6174" t="s">
        <v>5820</v>
      </c>
    </row>
    <row r="6175" spans="5:5" x14ac:dyDescent="0.25">
      <c r="E6175" t="s">
        <v>5821</v>
      </c>
    </row>
    <row r="6176" spans="5:5" x14ac:dyDescent="0.25">
      <c r="E6176" t="s">
        <v>5822</v>
      </c>
    </row>
    <row r="6177" spans="5:5" x14ac:dyDescent="0.25">
      <c r="E6177" t="s">
        <v>5823</v>
      </c>
    </row>
    <row r="6178" spans="5:5" x14ac:dyDescent="0.25">
      <c r="E6178" t="s">
        <v>5824</v>
      </c>
    </row>
    <row r="6179" spans="5:5" x14ac:dyDescent="0.25">
      <c r="E6179" t="s">
        <v>5825</v>
      </c>
    </row>
    <row r="6180" spans="5:5" x14ac:dyDescent="0.25">
      <c r="E6180" t="s">
        <v>5826</v>
      </c>
    </row>
    <row r="6181" spans="5:5" x14ac:dyDescent="0.25">
      <c r="E6181" t="s">
        <v>5827</v>
      </c>
    </row>
    <row r="6182" spans="5:5" x14ac:dyDescent="0.25">
      <c r="E6182" t="s">
        <v>5828</v>
      </c>
    </row>
    <row r="6183" spans="5:5" x14ac:dyDescent="0.25">
      <c r="E6183" t="s">
        <v>5829</v>
      </c>
    </row>
    <row r="6184" spans="5:5" x14ac:dyDescent="0.25">
      <c r="E6184" t="s">
        <v>5830</v>
      </c>
    </row>
    <row r="6185" spans="5:5" x14ac:dyDescent="0.25">
      <c r="E6185" t="s">
        <v>5831</v>
      </c>
    </row>
    <row r="6186" spans="5:5" x14ac:dyDescent="0.25">
      <c r="E6186" t="s">
        <v>5832</v>
      </c>
    </row>
    <row r="6187" spans="5:5" x14ac:dyDescent="0.25">
      <c r="E6187" t="s">
        <v>5833</v>
      </c>
    </row>
    <row r="6188" spans="5:5" x14ac:dyDescent="0.25">
      <c r="E6188" t="s">
        <v>5834</v>
      </c>
    </row>
    <row r="6189" spans="5:5" x14ac:dyDescent="0.25">
      <c r="E6189" t="s">
        <v>5835</v>
      </c>
    </row>
    <row r="6190" spans="5:5" x14ac:dyDescent="0.25">
      <c r="E6190" t="s">
        <v>5836</v>
      </c>
    </row>
    <row r="6191" spans="5:5" x14ac:dyDescent="0.25">
      <c r="E6191" t="s">
        <v>5837</v>
      </c>
    </row>
    <row r="6192" spans="5:5" x14ac:dyDescent="0.25">
      <c r="E6192" t="s">
        <v>5838</v>
      </c>
    </row>
    <row r="6193" spans="5:5" x14ac:dyDescent="0.25">
      <c r="E6193" t="s">
        <v>5839</v>
      </c>
    </row>
    <row r="6194" spans="5:5" x14ac:dyDescent="0.25">
      <c r="E6194" t="s">
        <v>5840</v>
      </c>
    </row>
    <row r="6195" spans="5:5" x14ac:dyDescent="0.25">
      <c r="E6195" t="s">
        <v>5841</v>
      </c>
    </row>
    <row r="6196" spans="5:5" x14ac:dyDescent="0.25">
      <c r="E6196" t="s">
        <v>5842</v>
      </c>
    </row>
    <row r="6197" spans="5:5" x14ac:dyDescent="0.25">
      <c r="E6197" t="s">
        <v>5843</v>
      </c>
    </row>
    <row r="6198" spans="5:5" x14ac:dyDescent="0.25">
      <c r="E6198" t="s">
        <v>5844</v>
      </c>
    </row>
    <row r="6199" spans="5:5" x14ac:dyDescent="0.25">
      <c r="E6199" t="s">
        <v>5845</v>
      </c>
    </row>
    <row r="6200" spans="5:5" x14ac:dyDescent="0.25">
      <c r="E6200" t="s">
        <v>5846</v>
      </c>
    </row>
    <row r="6201" spans="5:5" x14ac:dyDescent="0.25">
      <c r="E6201" t="s">
        <v>5847</v>
      </c>
    </row>
    <row r="6202" spans="5:5" x14ac:dyDescent="0.25">
      <c r="E6202" t="s">
        <v>5848</v>
      </c>
    </row>
    <row r="6203" spans="5:5" x14ac:dyDescent="0.25">
      <c r="E6203" t="s">
        <v>5849</v>
      </c>
    </row>
    <row r="6204" spans="5:5" x14ac:dyDescent="0.25">
      <c r="E6204" t="s">
        <v>5850</v>
      </c>
    </row>
    <row r="6205" spans="5:5" x14ac:dyDescent="0.25">
      <c r="E6205" t="s">
        <v>5851</v>
      </c>
    </row>
    <row r="6206" spans="5:5" x14ac:dyDescent="0.25">
      <c r="E6206" t="s">
        <v>5852</v>
      </c>
    </row>
    <row r="6207" spans="5:5" x14ac:dyDescent="0.25">
      <c r="E6207" t="s">
        <v>5853</v>
      </c>
    </row>
    <row r="6208" spans="5:5" x14ac:dyDescent="0.25">
      <c r="E6208" t="s">
        <v>5854</v>
      </c>
    </row>
    <row r="6209" spans="5:5" x14ac:dyDescent="0.25">
      <c r="E6209" t="s">
        <v>5855</v>
      </c>
    </row>
    <row r="6210" spans="5:5" x14ac:dyDescent="0.25">
      <c r="E6210" t="s">
        <v>5856</v>
      </c>
    </row>
    <row r="6211" spans="5:5" x14ac:dyDescent="0.25">
      <c r="E6211" t="s">
        <v>5857</v>
      </c>
    </row>
    <row r="6212" spans="5:5" x14ac:dyDescent="0.25">
      <c r="E6212" t="s">
        <v>5858</v>
      </c>
    </row>
    <row r="6213" spans="5:5" x14ac:dyDescent="0.25">
      <c r="E6213" t="s">
        <v>5859</v>
      </c>
    </row>
    <row r="6214" spans="5:5" x14ac:dyDescent="0.25">
      <c r="E6214" t="s">
        <v>5860</v>
      </c>
    </row>
    <row r="6215" spans="5:5" x14ac:dyDescent="0.25">
      <c r="E6215" t="s">
        <v>5861</v>
      </c>
    </row>
    <row r="6216" spans="5:5" x14ac:dyDescent="0.25">
      <c r="E6216" t="s">
        <v>5862</v>
      </c>
    </row>
    <row r="6217" spans="5:5" x14ac:dyDescent="0.25">
      <c r="E6217" t="s">
        <v>5863</v>
      </c>
    </row>
    <row r="6218" spans="5:5" x14ac:dyDescent="0.25">
      <c r="E6218" t="s">
        <v>5864</v>
      </c>
    </row>
    <row r="6219" spans="5:5" x14ac:dyDescent="0.25">
      <c r="E6219" t="s">
        <v>5865</v>
      </c>
    </row>
    <row r="6220" spans="5:5" x14ac:dyDescent="0.25">
      <c r="E6220" t="s">
        <v>5866</v>
      </c>
    </row>
    <row r="6221" spans="5:5" x14ac:dyDescent="0.25">
      <c r="E6221" t="s">
        <v>5867</v>
      </c>
    </row>
    <row r="6222" spans="5:5" x14ac:dyDescent="0.25">
      <c r="E6222" t="s">
        <v>5868</v>
      </c>
    </row>
    <row r="6223" spans="5:5" x14ac:dyDescent="0.25">
      <c r="E6223" t="s">
        <v>5869</v>
      </c>
    </row>
    <row r="6224" spans="5:5" x14ac:dyDescent="0.25">
      <c r="E6224" t="s">
        <v>5870</v>
      </c>
    </row>
    <row r="6225" spans="5:5" x14ac:dyDescent="0.25">
      <c r="E6225" t="s">
        <v>5871</v>
      </c>
    </row>
    <row r="6226" spans="5:5" x14ac:dyDescent="0.25">
      <c r="E6226" t="s">
        <v>5872</v>
      </c>
    </row>
    <row r="6227" spans="5:5" x14ac:dyDescent="0.25">
      <c r="E6227" t="s">
        <v>5873</v>
      </c>
    </row>
    <row r="6228" spans="5:5" x14ac:dyDescent="0.25">
      <c r="E6228" t="s">
        <v>5874</v>
      </c>
    </row>
    <row r="6229" spans="5:5" x14ac:dyDescent="0.25">
      <c r="E6229" t="s">
        <v>5875</v>
      </c>
    </row>
    <row r="6230" spans="5:5" x14ac:dyDescent="0.25">
      <c r="E6230" t="s">
        <v>5876</v>
      </c>
    </row>
    <row r="6231" spans="5:5" x14ac:dyDescent="0.25">
      <c r="E6231" t="s">
        <v>5877</v>
      </c>
    </row>
    <row r="6232" spans="5:5" x14ac:dyDescent="0.25">
      <c r="E6232" t="s">
        <v>5878</v>
      </c>
    </row>
    <row r="6233" spans="5:5" x14ac:dyDescent="0.25">
      <c r="E6233" t="s">
        <v>5879</v>
      </c>
    </row>
    <row r="6234" spans="5:5" x14ac:dyDescent="0.25">
      <c r="E6234" t="s">
        <v>5880</v>
      </c>
    </row>
    <row r="6235" spans="5:5" x14ac:dyDescent="0.25">
      <c r="E6235" t="s">
        <v>5881</v>
      </c>
    </row>
    <row r="6236" spans="5:5" x14ac:dyDescent="0.25">
      <c r="E6236" t="s">
        <v>5882</v>
      </c>
    </row>
    <row r="6237" spans="5:5" x14ac:dyDescent="0.25">
      <c r="E6237" t="s">
        <v>5883</v>
      </c>
    </row>
    <row r="6238" spans="5:5" x14ac:dyDescent="0.25">
      <c r="E6238" t="s">
        <v>5884</v>
      </c>
    </row>
    <row r="6239" spans="5:5" x14ac:dyDescent="0.25">
      <c r="E6239" t="s">
        <v>5885</v>
      </c>
    </row>
    <row r="6240" spans="5:5" x14ac:dyDescent="0.25">
      <c r="E6240" t="s">
        <v>5886</v>
      </c>
    </row>
    <row r="6241" spans="5:5" x14ac:dyDescent="0.25">
      <c r="E6241" t="s">
        <v>5887</v>
      </c>
    </row>
    <row r="6242" spans="5:5" x14ac:dyDescent="0.25">
      <c r="E6242" t="s">
        <v>5888</v>
      </c>
    </row>
    <row r="6243" spans="5:5" x14ac:dyDescent="0.25">
      <c r="E6243" t="s">
        <v>5889</v>
      </c>
    </row>
    <row r="6244" spans="5:5" x14ac:dyDescent="0.25">
      <c r="E6244" t="s">
        <v>5890</v>
      </c>
    </row>
    <row r="6245" spans="5:5" x14ac:dyDescent="0.25">
      <c r="E6245" t="s">
        <v>5891</v>
      </c>
    </row>
    <row r="6246" spans="5:5" x14ac:dyDescent="0.25">
      <c r="E6246" t="s">
        <v>5892</v>
      </c>
    </row>
    <row r="6247" spans="5:5" x14ac:dyDescent="0.25">
      <c r="E6247" t="s">
        <v>5893</v>
      </c>
    </row>
    <row r="6248" spans="5:5" x14ac:dyDescent="0.25">
      <c r="E6248" t="s">
        <v>5894</v>
      </c>
    </row>
    <row r="6249" spans="5:5" x14ac:dyDescent="0.25">
      <c r="E6249" t="s">
        <v>5895</v>
      </c>
    </row>
    <row r="6250" spans="5:5" x14ac:dyDescent="0.25">
      <c r="E6250" t="s">
        <v>5896</v>
      </c>
    </row>
    <row r="6251" spans="5:5" x14ac:dyDescent="0.25">
      <c r="E6251" t="s">
        <v>5897</v>
      </c>
    </row>
    <row r="6252" spans="5:5" x14ac:dyDescent="0.25">
      <c r="E6252" t="s">
        <v>5898</v>
      </c>
    </row>
    <row r="6253" spans="5:5" x14ac:dyDescent="0.25">
      <c r="E6253" t="s">
        <v>5899</v>
      </c>
    </row>
    <row r="6254" spans="5:5" x14ac:dyDescent="0.25">
      <c r="E6254" t="s">
        <v>5900</v>
      </c>
    </row>
    <row r="6255" spans="5:5" x14ac:dyDescent="0.25">
      <c r="E6255" t="s">
        <v>5901</v>
      </c>
    </row>
    <row r="6256" spans="5:5" x14ac:dyDescent="0.25">
      <c r="E6256" t="s">
        <v>5902</v>
      </c>
    </row>
    <row r="6257" spans="5:5" x14ac:dyDescent="0.25">
      <c r="E6257" t="s">
        <v>5903</v>
      </c>
    </row>
    <row r="6258" spans="5:5" x14ac:dyDescent="0.25">
      <c r="E6258" t="s">
        <v>5904</v>
      </c>
    </row>
    <row r="6259" spans="5:5" x14ac:dyDescent="0.25">
      <c r="E6259" t="s">
        <v>5905</v>
      </c>
    </row>
    <row r="6260" spans="5:5" x14ac:dyDescent="0.25">
      <c r="E6260" t="s">
        <v>5906</v>
      </c>
    </row>
    <row r="6261" spans="5:5" x14ac:dyDescent="0.25">
      <c r="E6261" t="s">
        <v>5907</v>
      </c>
    </row>
    <row r="6262" spans="5:5" x14ac:dyDescent="0.25">
      <c r="E6262" t="s">
        <v>5908</v>
      </c>
    </row>
    <row r="6263" spans="5:5" x14ac:dyDescent="0.25">
      <c r="E6263" t="s">
        <v>5909</v>
      </c>
    </row>
    <row r="6264" spans="5:5" x14ac:dyDescent="0.25">
      <c r="E6264" t="s">
        <v>5910</v>
      </c>
    </row>
    <row r="6265" spans="5:5" x14ac:dyDescent="0.25">
      <c r="E6265" t="s">
        <v>5911</v>
      </c>
    </row>
    <row r="6266" spans="5:5" x14ac:dyDescent="0.25">
      <c r="E6266" t="s">
        <v>5912</v>
      </c>
    </row>
    <row r="6267" spans="5:5" x14ac:dyDescent="0.25">
      <c r="E6267" t="s">
        <v>5913</v>
      </c>
    </row>
    <row r="6268" spans="5:5" x14ac:dyDescent="0.25">
      <c r="E6268" t="s">
        <v>5914</v>
      </c>
    </row>
    <row r="6269" spans="5:5" x14ac:dyDescent="0.25">
      <c r="E6269" t="s">
        <v>5915</v>
      </c>
    </row>
    <row r="6270" spans="5:5" x14ac:dyDescent="0.25">
      <c r="E6270" t="s">
        <v>5916</v>
      </c>
    </row>
    <row r="6271" spans="5:5" x14ac:dyDescent="0.25">
      <c r="E6271" t="s">
        <v>5917</v>
      </c>
    </row>
    <row r="6272" spans="5:5" x14ac:dyDescent="0.25">
      <c r="E6272" t="s">
        <v>5918</v>
      </c>
    </row>
    <row r="6273" spans="5:5" x14ac:dyDescent="0.25">
      <c r="E6273" t="s">
        <v>5919</v>
      </c>
    </row>
    <row r="6274" spans="5:5" x14ac:dyDescent="0.25">
      <c r="E6274" t="s">
        <v>5920</v>
      </c>
    </row>
    <row r="6275" spans="5:5" x14ac:dyDescent="0.25">
      <c r="E6275" t="s">
        <v>5921</v>
      </c>
    </row>
    <row r="6276" spans="5:5" x14ac:dyDescent="0.25">
      <c r="E6276" t="s">
        <v>5922</v>
      </c>
    </row>
    <row r="6277" spans="5:5" x14ac:dyDescent="0.25">
      <c r="E6277" t="s">
        <v>5923</v>
      </c>
    </row>
    <row r="6278" spans="5:5" x14ac:dyDescent="0.25">
      <c r="E6278" t="s">
        <v>5924</v>
      </c>
    </row>
    <row r="6279" spans="5:5" x14ac:dyDescent="0.25">
      <c r="E6279" t="s">
        <v>5925</v>
      </c>
    </row>
    <row r="6280" spans="5:5" x14ac:dyDescent="0.25">
      <c r="E6280" t="s">
        <v>5926</v>
      </c>
    </row>
    <row r="6281" spans="5:5" x14ac:dyDescent="0.25">
      <c r="E6281" t="s">
        <v>5927</v>
      </c>
    </row>
    <row r="6282" spans="5:5" x14ac:dyDescent="0.25">
      <c r="E6282" t="s">
        <v>5928</v>
      </c>
    </row>
    <row r="6283" spans="5:5" x14ac:dyDescent="0.25">
      <c r="E6283" t="s">
        <v>5929</v>
      </c>
    </row>
    <row r="6284" spans="5:5" x14ac:dyDescent="0.25">
      <c r="E6284" t="s">
        <v>5930</v>
      </c>
    </row>
    <row r="6285" spans="5:5" x14ac:dyDescent="0.25">
      <c r="E6285" t="s">
        <v>5931</v>
      </c>
    </row>
    <row r="6286" spans="5:5" x14ac:dyDescent="0.25">
      <c r="E6286" t="s">
        <v>5932</v>
      </c>
    </row>
    <row r="6287" spans="5:5" x14ac:dyDescent="0.25">
      <c r="E6287" t="s">
        <v>5933</v>
      </c>
    </row>
    <row r="6288" spans="5:5" x14ac:dyDescent="0.25">
      <c r="E6288" t="s">
        <v>5934</v>
      </c>
    </row>
    <row r="6289" spans="5:5" x14ac:dyDescent="0.25">
      <c r="E6289" t="s">
        <v>5935</v>
      </c>
    </row>
    <row r="6290" spans="5:5" x14ac:dyDescent="0.25">
      <c r="E6290" t="s">
        <v>5936</v>
      </c>
    </row>
    <row r="6291" spans="5:5" x14ac:dyDescent="0.25">
      <c r="E6291" t="s">
        <v>5937</v>
      </c>
    </row>
    <row r="6292" spans="5:5" x14ac:dyDescent="0.25">
      <c r="E6292" t="s">
        <v>5938</v>
      </c>
    </row>
    <row r="6293" spans="5:5" x14ac:dyDescent="0.25">
      <c r="E6293" t="s">
        <v>5939</v>
      </c>
    </row>
    <row r="6294" spans="5:5" x14ac:dyDescent="0.25">
      <c r="E6294" t="s">
        <v>5940</v>
      </c>
    </row>
    <row r="6295" spans="5:5" x14ac:dyDescent="0.25">
      <c r="E6295" t="s">
        <v>5941</v>
      </c>
    </row>
    <row r="6296" spans="5:5" x14ac:dyDescent="0.25">
      <c r="E6296" t="s">
        <v>5942</v>
      </c>
    </row>
    <row r="6297" spans="5:5" x14ac:dyDescent="0.25">
      <c r="E6297" t="s">
        <v>5943</v>
      </c>
    </row>
    <row r="6298" spans="5:5" x14ac:dyDescent="0.25">
      <c r="E6298" t="s">
        <v>5944</v>
      </c>
    </row>
    <row r="6299" spans="5:5" x14ac:dyDescent="0.25">
      <c r="E6299" t="s">
        <v>5945</v>
      </c>
    </row>
    <row r="6300" spans="5:5" x14ac:dyDescent="0.25">
      <c r="E6300" t="s">
        <v>5946</v>
      </c>
    </row>
    <row r="6301" spans="5:5" x14ac:dyDescent="0.25">
      <c r="E6301" t="s">
        <v>5947</v>
      </c>
    </row>
    <row r="6302" spans="5:5" x14ac:dyDescent="0.25">
      <c r="E6302" t="s">
        <v>5948</v>
      </c>
    </row>
    <row r="6303" spans="5:5" x14ac:dyDescent="0.25">
      <c r="E6303" t="s">
        <v>5949</v>
      </c>
    </row>
    <row r="6304" spans="5:5" x14ac:dyDescent="0.25">
      <c r="E6304" t="s">
        <v>5950</v>
      </c>
    </row>
    <row r="6305" spans="5:5" x14ac:dyDescent="0.25">
      <c r="E6305" t="s">
        <v>5951</v>
      </c>
    </row>
    <row r="6306" spans="5:5" x14ac:dyDescent="0.25">
      <c r="E6306" t="s">
        <v>5952</v>
      </c>
    </row>
    <row r="6307" spans="5:5" x14ac:dyDescent="0.25">
      <c r="E6307" t="s">
        <v>5953</v>
      </c>
    </row>
    <row r="6308" spans="5:5" x14ac:dyDescent="0.25">
      <c r="E6308" t="s">
        <v>5954</v>
      </c>
    </row>
    <row r="6309" spans="5:5" x14ac:dyDescent="0.25">
      <c r="E6309" t="s">
        <v>5955</v>
      </c>
    </row>
    <row r="6310" spans="5:5" x14ac:dyDescent="0.25">
      <c r="E6310" t="s">
        <v>5956</v>
      </c>
    </row>
    <row r="6311" spans="5:5" x14ac:dyDescent="0.25">
      <c r="E6311" t="s">
        <v>5957</v>
      </c>
    </row>
    <row r="6312" spans="5:5" x14ac:dyDescent="0.25">
      <c r="E6312" t="s">
        <v>5958</v>
      </c>
    </row>
    <row r="6313" spans="5:5" x14ac:dyDescent="0.25">
      <c r="E6313" t="s">
        <v>5959</v>
      </c>
    </row>
    <row r="6314" spans="5:5" x14ac:dyDescent="0.25">
      <c r="E6314" t="s">
        <v>5960</v>
      </c>
    </row>
    <row r="6315" spans="5:5" x14ac:dyDescent="0.25">
      <c r="E6315" t="s">
        <v>5961</v>
      </c>
    </row>
    <row r="6316" spans="5:5" x14ac:dyDescent="0.25">
      <c r="E6316" t="s">
        <v>5962</v>
      </c>
    </row>
    <row r="6317" spans="5:5" x14ac:dyDescent="0.25">
      <c r="E6317" t="s">
        <v>5963</v>
      </c>
    </row>
    <row r="6318" spans="5:5" x14ac:dyDescent="0.25">
      <c r="E6318" t="s">
        <v>5964</v>
      </c>
    </row>
    <row r="6319" spans="5:5" x14ac:dyDescent="0.25">
      <c r="E6319" t="s">
        <v>5965</v>
      </c>
    </row>
    <row r="6320" spans="5:5" x14ac:dyDescent="0.25">
      <c r="E6320" t="s">
        <v>5966</v>
      </c>
    </row>
    <row r="6321" spans="5:5" x14ac:dyDescent="0.25">
      <c r="E6321" t="s">
        <v>5967</v>
      </c>
    </row>
    <row r="6322" spans="5:5" x14ac:dyDescent="0.25">
      <c r="E6322" t="s">
        <v>5968</v>
      </c>
    </row>
    <row r="6323" spans="5:5" x14ac:dyDescent="0.25">
      <c r="E6323" t="s">
        <v>5969</v>
      </c>
    </row>
    <row r="6324" spans="5:5" x14ac:dyDescent="0.25">
      <c r="E6324" t="s">
        <v>5970</v>
      </c>
    </row>
    <row r="6325" spans="5:5" x14ac:dyDescent="0.25">
      <c r="E6325" t="s">
        <v>5971</v>
      </c>
    </row>
    <row r="6326" spans="5:5" x14ac:dyDescent="0.25">
      <c r="E6326" t="s">
        <v>5972</v>
      </c>
    </row>
    <row r="6327" spans="5:5" x14ac:dyDescent="0.25">
      <c r="E6327" t="s">
        <v>5973</v>
      </c>
    </row>
    <row r="6328" spans="5:5" x14ac:dyDescent="0.25">
      <c r="E6328" t="s">
        <v>5974</v>
      </c>
    </row>
    <row r="6329" spans="5:5" x14ac:dyDescent="0.25">
      <c r="E6329" t="s">
        <v>5975</v>
      </c>
    </row>
    <row r="6330" spans="5:5" x14ac:dyDescent="0.25">
      <c r="E6330" t="s">
        <v>5976</v>
      </c>
    </row>
    <row r="6331" spans="5:5" x14ac:dyDescent="0.25">
      <c r="E6331" t="s">
        <v>5977</v>
      </c>
    </row>
    <row r="6332" spans="5:5" x14ac:dyDescent="0.25">
      <c r="E6332" t="s">
        <v>5978</v>
      </c>
    </row>
    <row r="6333" spans="5:5" x14ac:dyDescent="0.25">
      <c r="E6333" t="s">
        <v>5979</v>
      </c>
    </row>
    <row r="6334" spans="5:5" x14ac:dyDescent="0.25">
      <c r="E6334" t="s">
        <v>5980</v>
      </c>
    </row>
    <row r="6335" spans="5:5" x14ac:dyDescent="0.25">
      <c r="E6335" t="s">
        <v>5981</v>
      </c>
    </row>
    <row r="6336" spans="5:5" x14ac:dyDescent="0.25">
      <c r="E6336" t="s">
        <v>5982</v>
      </c>
    </row>
    <row r="6337" spans="5:5" x14ac:dyDescent="0.25">
      <c r="E6337" t="s">
        <v>5983</v>
      </c>
    </row>
    <row r="6338" spans="5:5" x14ac:dyDescent="0.25">
      <c r="E6338" t="s">
        <v>5984</v>
      </c>
    </row>
    <row r="6339" spans="5:5" x14ac:dyDescent="0.25">
      <c r="E6339" t="s">
        <v>5985</v>
      </c>
    </row>
    <row r="6340" spans="5:5" x14ac:dyDescent="0.25">
      <c r="E6340" t="s">
        <v>5986</v>
      </c>
    </row>
    <row r="6341" spans="5:5" x14ac:dyDescent="0.25">
      <c r="E6341" t="s">
        <v>5987</v>
      </c>
    </row>
    <row r="6342" spans="5:5" x14ac:dyDescent="0.25">
      <c r="E6342" t="s">
        <v>5988</v>
      </c>
    </row>
    <row r="6343" spans="5:5" x14ac:dyDescent="0.25">
      <c r="E6343" t="s">
        <v>5989</v>
      </c>
    </row>
    <row r="6344" spans="5:5" x14ac:dyDescent="0.25">
      <c r="E6344" t="s">
        <v>5990</v>
      </c>
    </row>
    <row r="6345" spans="5:5" x14ac:dyDescent="0.25">
      <c r="E6345" t="s">
        <v>5991</v>
      </c>
    </row>
    <row r="6346" spans="5:5" x14ac:dyDescent="0.25">
      <c r="E6346" t="s">
        <v>5992</v>
      </c>
    </row>
    <row r="6347" spans="5:5" x14ac:dyDescent="0.25">
      <c r="E6347" t="s">
        <v>5993</v>
      </c>
    </row>
    <row r="6348" spans="5:5" x14ac:dyDescent="0.25">
      <c r="E6348" t="s">
        <v>5994</v>
      </c>
    </row>
    <row r="6349" spans="5:5" x14ac:dyDescent="0.25">
      <c r="E6349" t="s">
        <v>5995</v>
      </c>
    </row>
    <row r="6350" spans="5:5" x14ac:dyDescent="0.25">
      <c r="E6350" t="s">
        <v>5996</v>
      </c>
    </row>
    <row r="6351" spans="5:5" x14ac:dyDescent="0.25">
      <c r="E6351" t="s">
        <v>5997</v>
      </c>
    </row>
    <row r="6352" spans="5:5" x14ac:dyDescent="0.25">
      <c r="E6352" t="s">
        <v>5998</v>
      </c>
    </row>
    <row r="6353" spans="5:5" x14ac:dyDescent="0.25">
      <c r="E6353" t="s">
        <v>5999</v>
      </c>
    </row>
    <row r="6354" spans="5:5" x14ac:dyDescent="0.25">
      <c r="E6354" t="s">
        <v>6000</v>
      </c>
    </row>
    <row r="6355" spans="5:5" x14ac:dyDescent="0.25">
      <c r="E6355" t="s">
        <v>6001</v>
      </c>
    </row>
    <row r="6356" spans="5:5" x14ac:dyDescent="0.25">
      <c r="E6356" t="s">
        <v>6002</v>
      </c>
    </row>
    <row r="6357" spans="5:5" x14ac:dyDescent="0.25">
      <c r="E6357" t="s">
        <v>6003</v>
      </c>
    </row>
    <row r="6358" spans="5:5" x14ac:dyDescent="0.25">
      <c r="E6358" t="s">
        <v>6004</v>
      </c>
    </row>
    <row r="6359" spans="5:5" x14ac:dyDescent="0.25">
      <c r="E6359" t="s">
        <v>6005</v>
      </c>
    </row>
    <row r="6360" spans="5:5" x14ac:dyDescent="0.25">
      <c r="E6360" t="s">
        <v>6006</v>
      </c>
    </row>
    <row r="6361" spans="5:5" x14ac:dyDescent="0.25">
      <c r="E6361" t="s">
        <v>6007</v>
      </c>
    </row>
    <row r="6362" spans="5:5" x14ac:dyDescent="0.25">
      <c r="E6362" t="s">
        <v>6008</v>
      </c>
    </row>
    <row r="6363" spans="5:5" x14ac:dyDescent="0.25">
      <c r="E6363" t="s">
        <v>6009</v>
      </c>
    </row>
    <row r="6364" spans="5:5" x14ac:dyDescent="0.25">
      <c r="E6364" t="s">
        <v>6010</v>
      </c>
    </row>
    <row r="6365" spans="5:5" x14ac:dyDescent="0.25">
      <c r="E6365" t="s">
        <v>6011</v>
      </c>
    </row>
    <row r="6366" spans="5:5" x14ac:dyDescent="0.25">
      <c r="E6366" t="s">
        <v>6012</v>
      </c>
    </row>
    <row r="6367" spans="5:5" x14ac:dyDescent="0.25">
      <c r="E6367" t="s">
        <v>6013</v>
      </c>
    </row>
    <row r="6368" spans="5:5" x14ac:dyDescent="0.25">
      <c r="E6368" t="s">
        <v>6014</v>
      </c>
    </row>
    <row r="6369" spans="5:5" x14ac:dyDescent="0.25">
      <c r="E6369" t="s">
        <v>6015</v>
      </c>
    </row>
    <row r="6370" spans="5:5" x14ac:dyDescent="0.25">
      <c r="E6370" t="s">
        <v>6016</v>
      </c>
    </row>
    <row r="6371" spans="5:5" x14ac:dyDescent="0.25">
      <c r="E6371" t="s">
        <v>6017</v>
      </c>
    </row>
    <row r="6372" spans="5:5" x14ac:dyDescent="0.25">
      <c r="E6372" t="s">
        <v>6018</v>
      </c>
    </row>
    <row r="6373" spans="5:5" x14ac:dyDescent="0.25">
      <c r="E6373" t="s">
        <v>6019</v>
      </c>
    </row>
    <row r="6374" spans="5:5" x14ac:dyDescent="0.25">
      <c r="E6374" t="s">
        <v>6020</v>
      </c>
    </row>
    <row r="6375" spans="5:5" x14ac:dyDescent="0.25">
      <c r="E6375" t="s">
        <v>6021</v>
      </c>
    </row>
    <row r="6376" spans="5:5" x14ac:dyDescent="0.25">
      <c r="E6376" t="s">
        <v>6022</v>
      </c>
    </row>
    <row r="6377" spans="5:5" x14ac:dyDescent="0.25">
      <c r="E6377" t="s">
        <v>6023</v>
      </c>
    </row>
    <row r="6378" spans="5:5" x14ac:dyDescent="0.25">
      <c r="E6378" t="s">
        <v>6024</v>
      </c>
    </row>
    <row r="6379" spans="5:5" x14ac:dyDescent="0.25">
      <c r="E6379" t="s">
        <v>6025</v>
      </c>
    </row>
    <row r="6380" spans="5:5" x14ac:dyDescent="0.25">
      <c r="E6380" t="s">
        <v>6026</v>
      </c>
    </row>
    <row r="6381" spans="5:5" x14ac:dyDescent="0.25">
      <c r="E6381" t="s">
        <v>6027</v>
      </c>
    </row>
    <row r="6382" spans="5:5" x14ac:dyDescent="0.25">
      <c r="E6382" t="s">
        <v>6028</v>
      </c>
    </row>
    <row r="6383" spans="5:5" x14ac:dyDescent="0.25">
      <c r="E6383" t="s">
        <v>6029</v>
      </c>
    </row>
    <row r="6384" spans="5:5" x14ac:dyDescent="0.25">
      <c r="E6384" t="s">
        <v>6030</v>
      </c>
    </row>
    <row r="6385" spans="5:5" x14ac:dyDescent="0.25">
      <c r="E6385" t="s">
        <v>6031</v>
      </c>
    </row>
    <row r="6386" spans="5:5" x14ac:dyDescent="0.25">
      <c r="E6386" t="s">
        <v>6032</v>
      </c>
    </row>
    <row r="6387" spans="5:5" x14ac:dyDescent="0.25">
      <c r="E6387" t="s">
        <v>6033</v>
      </c>
    </row>
    <row r="6388" spans="5:5" x14ac:dyDescent="0.25">
      <c r="E6388" t="s">
        <v>6034</v>
      </c>
    </row>
    <row r="6389" spans="5:5" x14ac:dyDescent="0.25">
      <c r="E6389" t="s">
        <v>6035</v>
      </c>
    </row>
    <row r="6390" spans="5:5" x14ac:dyDescent="0.25">
      <c r="E6390" t="s">
        <v>6036</v>
      </c>
    </row>
    <row r="6391" spans="5:5" x14ac:dyDescent="0.25">
      <c r="E6391" t="s">
        <v>6037</v>
      </c>
    </row>
    <row r="6392" spans="5:5" x14ac:dyDescent="0.25">
      <c r="E6392" t="s">
        <v>6038</v>
      </c>
    </row>
    <row r="6393" spans="5:5" x14ac:dyDescent="0.25">
      <c r="E6393" t="s">
        <v>6039</v>
      </c>
    </row>
    <row r="6394" spans="5:5" x14ac:dyDescent="0.25">
      <c r="E6394" t="s">
        <v>6040</v>
      </c>
    </row>
    <row r="6395" spans="5:5" x14ac:dyDescent="0.25">
      <c r="E6395" t="s">
        <v>6041</v>
      </c>
    </row>
    <row r="6396" spans="5:5" x14ac:dyDescent="0.25">
      <c r="E6396" t="s">
        <v>6042</v>
      </c>
    </row>
    <row r="6397" spans="5:5" x14ac:dyDescent="0.25">
      <c r="E6397" t="s">
        <v>6043</v>
      </c>
    </row>
    <row r="6398" spans="5:5" x14ac:dyDescent="0.25">
      <c r="E6398" t="s">
        <v>6044</v>
      </c>
    </row>
    <row r="6400" spans="5:5" x14ac:dyDescent="0.25">
      <c r="E6400" t="s">
        <v>6045</v>
      </c>
    </row>
    <row r="6401" spans="5:5" x14ac:dyDescent="0.25">
      <c r="E6401" t="s">
        <v>6046</v>
      </c>
    </row>
    <row r="6402" spans="5:5" x14ac:dyDescent="0.25">
      <c r="E6402" t="s">
        <v>6047</v>
      </c>
    </row>
    <row r="6403" spans="5:5" x14ac:dyDescent="0.25">
      <c r="E6403" t="s">
        <v>6048</v>
      </c>
    </row>
    <row r="6404" spans="5:5" x14ac:dyDescent="0.25">
      <c r="E6404" t="s">
        <v>6049</v>
      </c>
    </row>
    <row r="6405" spans="5:5" x14ac:dyDescent="0.25">
      <c r="E6405" t="s">
        <v>6050</v>
      </c>
    </row>
    <row r="6406" spans="5:5" x14ac:dyDescent="0.25">
      <c r="E6406" t="s">
        <v>6051</v>
      </c>
    </row>
    <row r="6407" spans="5:5" x14ac:dyDescent="0.25">
      <c r="E6407" t="s">
        <v>6052</v>
      </c>
    </row>
    <row r="6408" spans="5:5" x14ac:dyDescent="0.25">
      <c r="E6408" t="s">
        <v>6053</v>
      </c>
    </row>
    <row r="6409" spans="5:5" x14ac:dyDescent="0.25">
      <c r="E6409" t="s">
        <v>6054</v>
      </c>
    </row>
    <row r="6410" spans="5:5" x14ac:dyDescent="0.25">
      <c r="E6410" t="s">
        <v>6055</v>
      </c>
    </row>
    <row r="6411" spans="5:5" x14ac:dyDescent="0.25">
      <c r="E6411" t="s">
        <v>6056</v>
      </c>
    </row>
    <row r="6412" spans="5:5" x14ac:dyDescent="0.25">
      <c r="E6412" t="s">
        <v>6057</v>
      </c>
    </row>
    <row r="6413" spans="5:5" x14ac:dyDescent="0.25">
      <c r="E6413" t="s">
        <v>6058</v>
      </c>
    </row>
    <row r="6414" spans="5:5" x14ac:dyDescent="0.25">
      <c r="E6414" t="s">
        <v>6059</v>
      </c>
    </row>
    <row r="6415" spans="5:5" x14ac:dyDescent="0.25">
      <c r="E6415" t="s">
        <v>6060</v>
      </c>
    </row>
    <row r="6416" spans="5:5" x14ac:dyDescent="0.25">
      <c r="E6416" t="s">
        <v>6061</v>
      </c>
    </row>
    <row r="6417" spans="5:5" x14ac:dyDescent="0.25">
      <c r="E6417" t="s">
        <v>6062</v>
      </c>
    </row>
    <row r="6418" spans="5:5" x14ac:dyDescent="0.25">
      <c r="E6418" t="s">
        <v>6063</v>
      </c>
    </row>
    <row r="6419" spans="5:5" x14ac:dyDescent="0.25">
      <c r="E6419" t="s">
        <v>6064</v>
      </c>
    </row>
    <row r="6420" spans="5:5" x14ac:dyDescent="0.25">
      <c r="E6420" t="s">
        <v>6065</v>
      </c>
    </row>
    <row r="6421" spans="5:5" x14ac:dyDescent="0.25">
      <c r="E6421" t="s">
        <v>6066</v>
      </c>
    </row>
    <row r="6422" spans="5:5" x14ac:dyDescent="0.25">
      <c r="E6422" t="s">
        <v>6067</v>
      </c>
    </row>
    <row r="6423" spans="5:5" x14ac:dyDescent="0.25">
      <c r="E6423" t="s">
        <v>6068</v>
      </c>
    </row>
    <row r="6424" spans="5:5" x14ac:dyDescent="0.25">
      <c r="E6424" t="s">
        <v>6069</v>
      </c>
    </row>
    <row r="6425" spans="5:5" x14ac:dyDescent="0.25">
      <c r="E6425" t="s">
        <v>6070</v>
      </c>
    </row>
    <row r="6426" spans="5:5" x14ac:dyDescent="0.25">
      <c r="E6426" t="s">
        <v>6071</v>
      </c>
    </row>
    <row r="6427" spans="5:5" x14ac:dyDescent="0.25">
      <c r="E6427" t="s">
        <v>6072</v>
      </c>
    </row>
    <row r="6428" spans="5:5" x14ac:dyDescent="0.25">
      <c r="E6428" t="s">
        <v>6073</v>
      </c>
    </row>
    <row r="6429" spans="5:5" x14ac:dyDescent="0.25">
      <c r="E6429" t="s">
        <v>6074</v>
      </c>
    </row>
    <row r="6430" spans="5:5" x14ac:dyDescent="0.25">
      <c r="E6430" t="s">
        <v>6075</v>
      </c>
    </row>
    <row r="6431" spans="5:5" x14ac:dyDescent="0.25">
      <c r="E6431" t="s">
        <v>6076</v>
      </c>
    </row>
    <row r="6432" spans="5:5" x14ac:dyDescent="0.25">
      <c r="E6432" t="s">
        <v>6077</v>
      </c>
    </row>
    <row r="6433" spans="5:5" x14ac:dyDescent="0.25">
      <c r="E6433" t="s">
        <v>6078</v>
      </c>
    </row>
    <row r="6434" spans="5:5" x14ac:dyDescent="0.25">
      <c r="E6434" t="s">
        <v>6079</v>
      </c>
    </row>
    <row r="6435" spans="5:5" x14ac:dyDescent="0.25">
      <c r="E6435" t="s">
        <v>6080</v>
      </c>
    </row>
    <row r="6436" spans="5:5" x14ac:dyDescent="0.25">
      <c r="E6436" t="s">
        <v>6081</v>
      </c>
    </row>
    <row r="6437" spans="5:5" x14ac:dyDescent="0.25">
      <c r="E6437" t="s">
        <v>6082</v>
      </c>
    </row>
    <row r="6438" spans="5:5" x14ac:dyDescent="0.25">
      <c r="E6438" t="s">
        <v>6083</v>
      </c>
    </row>
    <row r="6439" spans="5:5" x14ac:dyDescent="0.25">
      <c r="E6439" t="s">
        <v>6084</v>
      </c>
    </row>
    <row r="6440" spans="5:5" x14ac:dyDescent="0.25">
      <c r="E6440" t="s">
        <v>6085</v>
      </c>
    </row>
    <row r="6441" spans="5:5" x14ac:dyDescent="0.25">
      <c r="E6441" t="s">
        <v>6086</v>
      </c>
    </row>
    <row r="6442" spans="5:5" x14ac:dyDescent="0.25">
      <c r="E6442" t="s">
        <v>6087</v>
      </c>
    </row>
    <row r="6443" spans="5:5" x14ac:dyDescent="0.25">
      <c r="E6443" t="s">
        <v>6088</v>
      </c>
    </row>
    <row r="6444" spans="5:5" x14ac:dyDescent="0.25">
      <c r="E6444" t="s">
        <v>6089</v>
      </c>
    </row>
    <row r="6445" spans="5:5" x14ac:dyDescent="0.25">
      <c r="E6445" t="s">
        <v>6090</v>
      </c>
    </row>
    <row r="6446" spans="5:5" x14ac:dyDescent="0.25">
      <c r="E6446" t="s">
        <v>6091</v>
      </c>
    </row>
    <row r="6447" spans="5:5" x14ac:dyDescent="0.25">
      <c r="E6447" t="s">
        <v>6092</v>
      </c>
    </row>
    <row r="6448" spans="5:5" x14ac:dyDescent="0.25">
      <c r="E6448" t="s">
        <v>6093</v>
      </c>
    </row>
    <row r="6449" spans="5:5" x14ac:dyDescent="0.25">
      <c r="E6449" t="s">
        <v>6094</v>
      </c>
    </row>
    <row r="6450" spans="5:5" x14ac:dyDescent="0.25">
      <c r="E6450" t="s">
        <v>6095</v>
      </c>
    </row>
    <row r="6451" spans="5:5" x14ac:dyDescent="0.25">
      <c r="E6451" t="s">
        <v>6096</v>
      </c>
    </row>
    <row r="6452" spans="5:5" x14ac:dyDescent="0.25">
      <c r="E6452" t="s">
        <v>6097</v>
      </c>
    </row>
    <row r="6453" spans="5:5" x14ac:dyDescent="0.25">
      <c r="E6453" t="s">
        <v>6098</v>
      </c>
    </row>
    <row r="6454" spans="5:5" x14ac:dyDescent="0.25">
      <c r="E6454" t="s">
        <v>6099</v>
      </c>
    </row>
    <row r="6455" spans="5:5" x14ac:dyDescent="0.25">
      <c r="E6455" t="s">
        <v>6100</v>
      </c>
    </row>
    <row r="6456" spans="5:5" x14ac:dyDescent="0.25">
      <c r="E6456" t="s">
        <v>6101</v>
      </c>
    </row>
    <row r="6457" spans="5:5" x14ac:dyDescent="0.25">
      <c r="E6457" t="s">
        <v>6102</v>
      </c>
    </row>
    <row r="6458" spans="5:5" x14ac:dyDescent="0.25">
      <c r="E6458" t="s">
        <v>6103</v>
      </c>
    </row>
    <row r="6459" spans="5:5" x14ac:dyDescent="0.25">
      <c r="E6459" t="s">
        <v>6104</v>
      </c>
    </row>
    <row r="6460" spans="5:5" x14ac:dyDescent="0.25">
      <c r="E6460" t="s">
        <v>6105</v>
      </c>
    </row>
    <row r="6461" spans="5:5" x14ac:dyDescent="0.25">
      <c r="E6461" t="s">
        <v>6106</v>
      </c>
    </row>
    <row r="6462" spans="5:5" x14ac:dyDescent="0.25">
      <c r="E6462" t="s">
        <v>6107</v>
      </c>
    </row>
    <row r="6463" spans="5:5" x14ac:dyDescent="0.25">
      <c r="E6463" t="s">
        <v>6108</v>
      </c>
    </row>
    <row r="6464" spans="5:5" x14ac:dyDescent="0.25">
      <c r="E6464" t="s">
        <v>6109</v>
      </c>
    </row>
    <row r="6465" spans="5:5" x14ac:dyDescent="0.25">
      <c r="E6465" t="s">
        <v>6110</v>
      </c>
    </row>
    <row r="6466" spans="5:5" x14ac:dyDescent="0.25">
      <c r="E6466" t="s">
        <v>6111</v>
      </c>
    </row>
    <row r="6467" spans="5:5" x14ac:dyDescent="0.25">
      <c r="E6467" t="s">
        <v>6112</v>
      </c>
    </row>
    <row r="6468" spans="5:5" x14ac:dyDescent="0.25">
      <c r="E6468" t="s">
        <v>6113</v>
      </c>
    </row>
    <row r="6469" spans="5:5" x14ac:dyDescent="0.25">
      <c r="E6469" t="s">
        <v>6114</v>
      </c>
    </row>
    <row r="6470" spans="5:5" x14ac:dyDescent="0.25">
      <c r="E6470" t="s">
        <v>6115</v>
      </c>
    </row>
    <row r="6471" spans="5:5" x14ac:dyDescent="0.25">
      <c r="E6471" t="s">
        <v>6116</v>
      </c>
    </row>
    <row r="6472" spans="5:5" x14ac:dyDescent="0.25">
      <c r="E6472" t="s">
        <v>6117</v>
      </c>
    </row>
    <row r="6473" spans="5:5" x14ac:dyDescent="0.25">
      <c r="E6473" t="s">
        <v>6118</v>
      </c>
    </row>
    <row r="6474" spans="5:5" x14ac:dyDescent="0.25">
      <c r="E6474" t="s">
        <v>6119</v>
      </c>
    </row>
    <row r="6475" spans="5:5" x14ac:dyDescent="0.25">
      <c r="E6475" t="s">
        <v>6120</v>
      </c>
    </row>
    <row r="6476" spans="5:5" x14ac:dyDescent="0.25">
      <c r="E6476" t="s">
        <v>6121</v>
      </c>
    </row>
    <row r="6477" spans="5:5" x14ac:dyDescent="0.25">
      <c r="E6477" t="s">
        <v>6122</v>
      </c>
    </row>
    <row r="6478" spans="5:5" x14ac:dyDescent="0.25">
      <c r="E6478" t="s">
        <v>6123</v>
      </c>
    </row>
    <row r="6479" spans="5:5" x14ac:dyDescent="0.25">
      <c r="E6479" t="s">
        <v>6124</v>
      </c>
    </row>
    <row r="6480" spans="5:5" x14ac:dyDescent="0.25">
      <c r="E6480" t="s">
        <v>6125</v>
      </c>
    </row>
    <row r="6481" spans="5:5" x14ac:dyDescent="0.25">
      <c r="E6481" t="s">
        <v>6126</v>
      </c>
    </row>
    <row r="6482" spans="5:5" x14ac:dyDescent="0.25">
      <c r="E6482" t="s">
        <v>6127</v>
      </c>
    </row>
    <row r="6483" spans="5:5" x14ac:dyDescent="0.25">
      <c r="E6483" t="s">
        <v>6128</v>
      </c>
    </row>
    <row r="6484" spans="5:5" x14ac:dyDescent="0.25">
      <c r="E6484" t="s">
        <v>6129</v>
      </c>
    </row>
    <row r="6485" spans="5:5" x14ac:dyDescent="0.25">
      <c r="E6485" t="s">
        <v>6130</v>
      </c>
    </row>
    <row r="6486" spans="5:5" x14ac:dyDescent="0.25">
      <c r="E6486" t="s">
        <v>6131</v>
      </c>
    </row>
    <row r="6487" spans="5:5" x14ac:dyDescent="0.25">
      <c r="E6487" t="s">
        <v>6132</v>
      </c>
    </row>
    <row r="6488" spans="5:5" x14ac:dyDescent="0.25">
      <c r="E6488" t="s">
        <v>6133</v>
      </c>
    </row>
    <row r="6489" spans="5:5" x14ac:dyDescent="0.25">
      <c r="E6489" t="s">
        <v>6134</v>
      </c>
    </row>
    <row r="6490" spans="5:5" x14ac:dyDescent="0.25">
      <c r="E6490" t="s">
        <v>6135</v>
      </c>
    </row>
    <row r="6491" spans="5:5" x14ac:dyDescent="0.25">
      <c r="E6491" t="s">
        <v>6136</v>
      </c>
    </row>
    <row r="6492" spans="5:5" x14ac:dyDescent="0.25">
      <c r="E6492" t="s">
        <v>6137</v>
      </c>
    </row>
    <row r="6493" spans="5:5" x14ac:dyDescent="0.25">
      <c r="E6493" t="s">
        <v>6138</v>
      </c>
    </row>
    <row r="6494" spans="5:5" x14ac:dyDescent="0.25">
      <c r="E6494" t="s">
        <v>6139</v>
      </c>
    </row>
    <row r="6495" spans="5:5" x14ac:dyDescent="0.25">
      <c r="E6495" t="s">
        <v>6140</v>
      </c>
    </row>
    <row r="6496" spans="5:5" x14ac:dyDescent="0.25">
      <c r="E6496" t="s">
        <v>6141</v>
      </c>
    </row>
    <row r="6497" spans="5:5" x14ac:dyDescent="0.25">
      <c r="E6497" t="s">
        <v>6142</v>
      </c>
    </row>
    <row r="6498" spans="5:5" x14ac:dyDescent="0.25">
      <c r="E6498" t="s">
        <v>6143</v>
      </c>
    </row>
    <row r="6499" spans="5:5" x14ac:dyDescent="0.25">
      <c r="E6499" t="s">
        <v>6144</v>
      </c>
    </row>
    <row r="6500" spans="5:5" x14ac:dyDescent="0.25">
      <c r="E6500" t="s">
        <v>6145</v>
      </c>
    </row>
    <row r="6501" spans="5:5" x14ac:dyDescent="0.25">
      <c r="E6501" t="s">
        <v>6146</v>
      </c>
    </row>
    <row r="6502" spans="5:5" x14ac:dyDescent="0.25">
      <c r="E6502" t="s">
        <v>6147</v>
      </c>
    </row>
    <row r="6503" spans="5:5" x14ac:dyDescent="0.25">
      <c r="E6503" t="s">
        <v>6148</v>
      </c>
    </row>
    <row r="6504" spans="5:5" x14ac:dyDescent="0.25">
      <c r="E6504" t="s">
        <v>6149</v>
      </c>
    </row>
    <row r="6505" spans="5:5" x14ac:dyDescent="0.25">
      <c r="E6505" t="s">
        <v>6150</v>
      </c>
    </row>
    <row r="6506" spans="5:5" x14ac:dyDescent="0.25">
      <c r="E6506" t="s">
        <v>6151</v>
      </c>
    </row>
    <row r="6507" spans="5:5" x14ac:dyDescent="0.25">
      <c r="E6507" t="s">
        <v>6152</v>
      </c>
    </row>
    <row r="6508" spans="5:5" x14ac:dyDescent="0.25">
      <c r="E6508" t="s">
        <v>6153</v>
      </c>
    </row>
    <row r="6509" spans="5:5" x14ac:dyDescent="0.25">
      <c r="E6509" t="s">
        <v>6154</v>
      </c>
    </row>
    <row r="6510" spans="5:5" x14ac:dyDescent="0.25">
      <c r="E6510" t="s">
        <v>6155</v>
      </c>
    </row>
    <row r="6511" spans="5:5" x14ac:dyDescent="0.25">
      <c r="E6511" t="s">
        <v>6156</v>
      </c>
    </row>
    <row r="6512" spans="5:5" x14ac:dyDescent="0.25">
      <c r="E6512" t="s">
        <v>6157</v>
      </c>
    </row>
    <row r="6513" spans="5:5" x14ac:dyDescent="0.25">
      <c r="E6513" t="s">
        <v>6158</v>
      </c>
    </row>
    <row r="6514" spans="5:5" x14ac:dyDescent="0.25">
      <c r="E6514" t="s">
        <v>6159</v>
      </c>
    </row>
    <row r="6515" spans="5:5" x14ac:dyDescent="0.25">
      <c r="E6515" t="s">
        <v>6160</v>
      </c>
    </row>
    <row r="6516" spans="5:5" x14ac:dyDescent="0.25">
      <c r="E6516" t="s">
        <v>6161</v>
      </c>
    </row>
    <row r="6517" spans="5:5" x14ac:dyDescent="0.25">
      <c r="E6517" t="s">
        <v>6162</v>
      </c>
    </row>
    <row r="6518" spans="5:5" x14ac:dyDescent="0.25">
      <c r="E6518" t="s">
        <v>6163</v>
      </c>
    </row>
    <row r="6519" spans="5:5" x14ac:dyDescent="0.25">
      <c r="E6519" t="s">
        <v>6164</v>
      </c>
    </row>
    <row r="6520" spans="5:5" x14ac:dyDescent="0.25">
      <c r="E6520" t="s">
        <v>6165</v>
      </c>
    </row>
    <row r="6521" spans="5:5" x14ac:dyDescent="0.25">
      <c r="E6521" t="s">
        <v>6166</v>
      </c>
    </row>
    <row r="6522" spans="5:5" x14ac:dyDescent="0.25">
      <c r="E6522" t="s">
        <v>6167</v>
      </c>
    </row>
    <row r="6523" spans="5:5" x14ac:dyDescent="0.25">
      <c r="E6523" t="s">
        <v>6168</v>
      </c>
    </row>
    <row r="6524" spans="5:5" x14ac:dyDescent="0.25">
      <c r="E6524" t="s">
        <v>6169</v>
      </c>
    </row>
    <row r="6525" spans="5:5" x14ac:dyDescent="0.25">
      <c r="E6525" t="s">
        <v>6170</v>
      </c>
    </row>
    <row r="6526" spans="5:5" x14ac:dyDescent="0.25">
      <c r="E6526" t="s">
        <v>6171</v>
      </c>
    </row>
    <row r="6527" spans="5:5" x14ac:dyDescent="0.25">
      <c r="E6527" t="s">
        <v>6172</v>
      </c>
    </row>
    <row r="6528" spans="5:5" x14ac:dyDescent="0.25">
      <c r="E6528" t="s">
        <v>6173</v>
      </c>
    </row>
    <row r="6529" spans="5:5" x14ac:dyDescent="0.25">
      <c r="E6529" t="s">
        <v>6174</v>
      </c>
    </row>
    <row r="6530" spans="5:5" x14ac:dyDescent="0.25">
      <c r="E6530" t="s">
        <v>6175</v>
      </c>
    </row>
    <row r="6531" spans="5:5" x14ac:dyDescent="0.25">
      <c r="E6531" t="s">
        <v>6176</v>
      </c>
    </row>
    <row r="6532" spans="5:5" x14ac:dyDescent="0.25">
      <c r="E6532" t="s">
        <v>6177</v>
      </c>
    </row>
    <row r="6533" spans="5:5" x14ac:dyDescent="0.25">
      <c r="E6533" t="s">
        <v>6178</v>
      </c>
    </row>
    <row r="6534" spans="5:5" x14ac:dyDescent="0.25">
      <c r="E6534" t="s">
        <v>6179</v>
      </c>
    </row>
    <row r="6535" spans="5:5" x14ac:dyDescent="0.25">
      <c r="E6535" t="s">
        <v>6180</v>
      </c>
    </row>
    <row r="6536" spans="5:5" x14ac:dyDescent="0.25">
      <c r="E6536" t="s">
        <v>6181</v>
      </c>
    </row>
    <row r="6537" spans="5:5" x14ac:dyDescent="0.25">
      <c r="E6537" t="s">
        <v>6182</v>
      </c>
    </row>
    <row r="6538" spans="5:5" x14ac:dyDescent="0.25">
      <c r="E6538" t="s">
        <v>6183</v>
      </c>
    </row>
    <row r="6539" spans="5:5" x14ac:dyDescent="0.25">
      <c r="E6539" t="s">
        <v>6184</v>
      </c>
    </row>
    <row r="6540" spans="5:5" x14ac:dyDescent="0.25">
      <c r="E6540" t="s">
        <v>6185</v>
      </c>
    </row>
    <row r="6541" spans="5:5" x14ac:dyDescent="0.25">
      <c r="E6541" t="s">
        <v>6186</v>
      </c>
    </row>
    <row r="6542" spans="5:5" x14ac:dyDescent="0.25">
      <c r="E6542" t="s">
        <v>6187</v>
      </c>
    </row>
    <row r="6543" spans="5:5" x14ac:dyDescent="0.25">
      <c r="E6543" t="s">
        <v>6188</v>
      </c>
    </row>
    <row r="6544" spans="5:5" x14ac:dyDescent="0.25">
      <c r="E6544" t="s">
        <v>6189</v>
      </c>
    </row>
    <row r="6545" spans="5:5" x14ac:dyDescent="0.25">
      <c r="E6545" t="s">
        <v>6190</v>
      </c>
    </row>
    <row r="6546" spans="5:5" x14ac:dyDescent="0.25">
      <c r="E6546" t="s">
        <v>6191</v>
      </c>
    </row>
    <row r="6547" spans="5:5" x14ac:dyDescent="0.25">
      <c r="E6547" t="s">
        <v>6192</v>
      </c>
    </row>
    <row r="6548" spans="5:5" x14ac:dyDescent="0.25">
      <c r="E6548" t="s">
        <v>6193</v>
      </c>
    </row>
    <row r="6549" spans="5:5" x14ac:dyDescent="0.25">
      <c r="E6549" t="s">
        <v>6194</v>
      </c>
    </row>
    <row r="6550" spans="5:5" x14ac:dyDescent="0.25">
      <c r="E6550" t="s">
        <v>6195</v>
      </c>
    </row>
    <row r="6551" spans="5:5" x14ac:dyDescent="0.25">
      <c r="E6551" t="s">
        <v>6196</v>
      </c>
    </row>
    <row r="6552" spans="5:5" x14ac:dyDescent="0.25">
      <c r="E6552" t="s">
        <v>6197</v>
      </c>
    </row>
    <row r="6553" spans="5:5" x14ac:dyDescent="0.25">
      <c r="E6553" t="s">
        <v>6198</v>
      </c>
    </row>
    <row r="6554" spans="5:5" x14ac:dyDescent="0.25">
      <c r="E6554" t="s">
        <v>6199</v>
      </c>
    </row>
    <row r="6555" spans="5:5" x14ac:dyDescent="0.25">
      <c r="E6555" t="s">
        <v>6200</v>
      </c>
    </row>
    <row r="6556" spans="5:5" x14ac:dyDescent="0.25">
      <c r="E6556" t="s">
        <v>6201</v>
      </c>
    </row>
    <row r="6557" spans="5:5" x14ac:dyDescent="0.25">
      <c r="E6557" t="s">
        <v>6202</v>
      </c>
    </row>
    <row r="6558" spans="5:5" x14ac:dyDescent="0.25">
      <c r="E6558" t="s">
        <v>6203</v>
      </c>
    </row>
    <row r="6559" spans="5:5" x14ac:dyDescent="0.25">
      <c r="E6559" t="s">
        <v>6204</v>
      </c>
    </row>
    <row r="6560" spans="5:5" x14ac:dyDescent="0.25">
      <c r="E6560" t="s">
        <v>6205</v>
      </c>
    </row>
    <row r="6561" spans="5:5" x14ac:dyDescent="0.25">
      <c r="E6561" t="s">
        <v>6206</v>
      </c>
    </row>
    <row r="6562" spans="5:5" x14ac:dyDescent="0.25">
      <c r="E6562" t="s">
        <v>6207</v>
      </c>
    </row>
    <row r="6563" spans="5:5" x14ac:dyDescent="0.25">
      <c r="E6563" t="s">
        <v>6208</v>
      </c>
    </row>
    <row r="6564" spans="5:5" x14ac:dyDescent="0.25">
      <c r="E6564" t="s">
        <v>6209</v>
      </c>
    </row>
    <row r="6565" spans="5:5" x14ac:dyDescent="0.25">
      <c r="E6565" t="s">
        <v>6210</v>
      </c>
    </row>
    <row r="6566" spans="5:5" x14ac:dyDescent="0.25">
      <c r="E6566" t="s">
        <v>6211</v>
      </c>
    </row>
    <row r="6567" spans="5:5" x14ac:dyDescent="0.25">
      <c r="E6567" t="s">
        <v>6212</v>
      </c>
    </row>
    <row r="6568" spans="5:5" x14ac:dyDescent="0.25">
      <c r="E6568" t="s">
        <v>6213</v>
      </c>
    </row>
    <row r="6569" spans="5:5" x14ac:dyDescent="0.25">
      <c r="E6569" t="s">
        <v>6214</v>
      </c>
    </row>
    <row r="6570" spans="5:5" x14ac:dyDescent="0.25">
      <c r="E6570" t="s">
        <v>6215</v>
      </c>
    </row>
    <row r="6571" spans="5:5" x14ac:dyDescent="0.25">
      <c r="E6571" t="s">
        <v>6216</v>
      </c>
    </row>
    <row r="6572" spans="5:5" x14ac:dyDescent="0.25">
      <c r="E6572" t="s">
        <v>6217</v>
      </c>
    </row>
    <row r="6573" spans="5:5" x14ac:dyDescent="0.25">
      <c r="E6573" t="s">
        <v>6218</v>
      </c>
    </row>
    <row r="6574" spans="5:5" x14ac:dyDescent="0.25">
      <c r="E6574" t="s">
        <v>6219</v>
      </c>
    </row>
    <row r="6575" spans="5:5" x14ac:dyDescent="0.25">
      <c r="E6575" t="s">
        <v>6220</v>
      </c>
    </row>
    <row r="6576" spans="5:5" x14ac:dyDescent="0.25">
      <c r="E6576" t="s">
        <v>6221</v>
      </c>
    </row>
    <row r="6577" spans="5:5" x14ac:dyDescent="0.25">
      <c r="E6577" t="s">
        <v>6222</v>
      </c>
    </row>
    <row r="6578" spans="5:5" x14ac:dyDescent="0.25">
      <c r="E6578" t="s">
        <v>6223</v>
      </c>
    </row>
    <row r="6579" spans="5:5" x14ac:dyDescent="0.25">
      <c r="E6579" t="s">
        <v>6224</v>
      </c>
    </row>
    <row r="6580" spans="5:5" x14ac:dyDescent="0.25">
      <c r="E6580" t="s">
        <v>6225</v>
      </c>
    </row>
    <row r="6581" spans="5:5" x14ac:dyDescent="0.25">
      <c r="E6581" t="s">
        <v>6226</v>
      </c>
    </row>
    <row r="6582" spans="5:5" x14ac:dyDescent="0.25">
      <c r="E6582" t="s">
        <v>6227</v>
      </c>
    </row>
    <row r="6583" spans="5:5" x14ac:dyDescent="0.25">
      <c r="E6583" t="s">
        <v>6228</v>
      </c>
    </row>
    <row r="6584" spans="5:5" x14ac:dyDescent="0.25">
      <c r="E6584" t="s">
        <v>6229</v>
      </c>
    </row>
    <row r="6585" spans="5:5" x14ac:dyDescent="0.25">
      <c r="E6585" t="s">
        <v>6230</v>
      </c>
    </row>
    <row r="6586" spans="5:5" x14ac:dyDescent="0.25">
      <c r="E6586" t="s">
        <v>6231</v>
      </c>
    </row>
    <row r="6587" spans="5:5" x14ac:dyDescent="0.25">
      <c r="E6587" t="s">
        <v>6232</v>
      </c>
    </row>
    <row r="6588" spans="5:5" x14ac:dyDescent="0.25">
      <c r="E6588" t="s">
        <v>6233</v>
      </c>
    </row>
    <row r="6589" spans="5:5" x14ac:dyDescent="0.25">
      <c r="E6589" t="s">
        <v>6234</v>
      </c>
    </row>
    <row r="6590" spans="5:5" x14ac:dyDescent="0.25">
      <c r="E6590" t="s">
        <v>6235</v>
      </c>
    </row>
    <row r="6591" spans="5:5" x14ac:dyDescent="0.25">
      <c r="E6591" t="s">
        <v>6236</v>
      </c>
    </row>
    <row r="6592" spans="5:5" x14ac:dyDescent="0.25">
      <c r="E6592" t="s">
        <v>6237</v>
      </c>
    </row>
    <row r="6593" spans="5:5" x14ac:dyDescent="0.25">
      <c r="E6593" t="s">
        <v>6238</v>
      </c>
    </row>
    <row r="6594" spans="5:5" x14ac:dyDescent="0.25">
      <c r="E6594" t="s">
        <v>6239</v>
      </c>
    </row>
    <row r="6595" spans="5:5" x14ac:dyDescent="0.25">
      <c r="E6595" t="s">
        <v>6240</v>
      </c>
    </row>
    <row r="6596" spans="5:5" x14ac:dyDescent="0.25">
      <c r="E6596" t="s">
        <v>6241</v>
      </c>
    </row>
    <row r="6597" spans="5:5" x14ac:dyDescent="0.25">
      <c r="E6597" t="s">
        <v>6242</v>
      </c>
    </row>
    <row r="6598" spans="5:5" x14ac:dyDescent="0.25">
      <c r="E6598" t="s">
        <v>6243</v>
      </c>
    </row>
    <row r="6599" spans="5:5" x14ac:dyDescent="0.25">
      <c r="E6599" t="s">
        <v>6244</v>
      </c>
    </row>
    <row r="6600" spans="5:5" x14ac:dyDescent="0.25">
      <c r="E6600" t="s">
        <v>6245</v>
      </c>
    </row>
    <row r="6601" spans="5:5" x14ac:dyDescent="0.25">
      <c r="E6601" t="s">
        <v>6246</v>
      </c>
    </row>
    <row r="6602" spans="5:5" x14ac:dyDescent="0.25">
      <c r="E6602" t="s">
        <v>6247</v>
      </c>
    </row>
    <row r="6603" spans="5:5" x14ac:dyDescent="0.25">
      <c r="E6603" t="s">
        <v>6248</v>
      </c>
    </row>
    <row r="6604" spans="5:5" x14ac:dyDescent="0.25">
      <c r="E6604" t="s">
        <v>6249</v>
      </c>
    </row>
    <row r="6605" spans="5:5" x14ac:dyDescent="0.25">
      <c r="E6605" t="s">
        <v>6250</v>
      </c>
    </row>
    <row r="6606" spans="5:5" x14ac:dyDescent="0.25">
      <c r="E6606" t="s">
        <v>6251</v>
      </c>
    </row>
    <row r="6607" spans="5:5" x14ac:dyDescent="0.25">
      <c r="E6607" t="s">
        <v>6252</v>
      </c>
    </row>
    <row r="6608" spans="5:5" x14ac:dyDescent="0.25">
      <c r="E6608" t="s">
        <v>6253</v>
      </c>
    </row>
    <row r="6609" spans="5:5" x14ac:dyDescent="0.25">
      <c r="E6609" t="s">
        <v>6254</v>
      </c>
    </row>
    <row r="6610" spans="5:5" x14ac:dyDescent="0.25">
      <c r="E6610" t="s">
        <v>6255</v>
      </c>
    </row>
    <row r="6611" spans="5:5" x14ac:dyDescent="0.25">
      <c r="E6611" t="s">
        <v>6256</v>
      </c>
    </row>
    <row r="6612" spans="5:5" x14ac:dyDescent="0.25">
      <c r="E6612" t="s">
        <v>6257</v>
      </c>
    </row>
    <row r="6613" spans="5:5" x14ac:dyDescent="0.25">
      <c r="E6613" t="s">
        <v>6258</v>
      </c>
    </row>
    <row r="6614" spans="5:5" x14ac:dyDescent="0.25">
      <c r="E6614" t="s">
        <v>6259</v>
      </c>
    </row>
    <row r="6615" spans="5:5" x14ac:dyDescent="0.25">
      <c r="E6615" t="s">
        <v>6260</v>
      </c>
    </row>
    <row r="6616" spans="5:5" x14ac:dyDescent="0.25">
      <c r="E6616" t="s">
        <v>6261</v>
      </c>
    </row>
    <row r="6617" spans="5:5" x14ac:dyDescent="0.25">
      <c r="E6617" t="s">
        <v>6262</v>
      </c>
    </row>
    <row r="6618" spans="5:5" x14ac:dyDescent="0.25">
      <c r="E6618" t="s">
        <v>6263</v>
      </c>
    </row>
    <row r="6619" spans="5:5" x14ac:dyDescent="0.25">
      <c r="E6619" t="s">
        <v>6264</v>
      </c>
    </row>
    <row r="6620" spans="5:5" x14ac:dyDescent="0.25">
      <c r="E6620" t="s">
        <v>6265</v>
      </c>
    </row>
    <row r="6621" spans="5:5" x14ac:dyDescent="0.25">
      <c r="E6621" t="s">
        <v>6266</v>
      </c>
    </row>
    <row r="6622" spans="5:5" x14ac:dyDescent="0.25">
      <c r="E6622" t="s">
        <v>6267</v>
      </c>
    </row>
    <row r="6623" spans="5:5" x14ac:dyDescent="0.25">
      <c r="E6623" t="s">
        <v>6268</v>
      </c>
    </row>
    <row r="6624" spans="5:5" x14ac:dyDescent="0.25">
      <c r="E6624" t="s">
        <v>6269</v>
      </c>
    </row>
    <row r="6626" spans="5:5" x14ac:dyDescent="0.25">
      <c r="E6626" t="s">
        <v>6270</v>
      </c>
    </row>
    <row r="6627" spans="5:5" x14ac:dyDescent="0.25">
      <c r="E6627" t="s">
        <v>6271</v>
      </c>
    </row>
    <row r="6628" spans="5:5" x14ac:dyDescent="0.25">
      <c r="E6628" t="s">
        <v>6272</v>
      </c>
    </row>
    <row r="6629" spans="5:5" x14ac:dyDescent="0.25">
      <c r="E6629" t="s">
        <v>6273</v>
      </c>
    </row>
    <row r="6630" spans="5:5" x14ac:dyDescent="0.25">
      <c r="E6630" t="s">
        <v>6274</v>
      </c>
    </row>
    <row r="6631" spans="5:5" x14ac:dyDescent="0.25">
      <c r="E6631" t="s">
        <v>6275</v>
      </c>
    </row>
    <row r="6632" spans="5:5" x14ac:dyDescent="0.25">
      <c r="E6632" t="s">
        <v>6276</v>
      </c>
    </row>
    <row r="6633" spans="5:5" x14ac:dyDescent="0.25">
      <c r="E6633" t="s">
        <v>6277</v>
      </c>
    </row>
    <row r="6634" spans="5:5" x14ac:dyDescent="0.25">
      <c r="E6634" t="s">
        <v>6278</v>
      </c>
    </row>
    <row r="6635" spans="5:5" x14ac:dyDescent="0.25">
      <c r="E6635" t="s">
        <v>6279</v>
      </c>
    </row>
    <row r="6636" spans="5:5" x14ac:dyDescent="0.25">
      <c r="E6636" t="s">
        <v>6280</v>
      </c>
    </row>
    <row r="6637" spans="5:5" x14ac:dyDescent="0.25">
      <c r="E6637" t="s">
        <v>6281</v>
      </c>
    </row>
    <row r="6638" spans="5:5" x14ac:dyDescent="0.25">
      <c r="E6638" t="s">
        <v>6282</v>
      </c>
    </row>
    <row r="6639" spans="5:5" x14ac:dyDescent="0.25">
      <c r="E6639" t="s">
        <v>6283</v>
      </c>
    </row>
    <row r="6640" spans="5:5" x14ac:dyDescent="0.25">
      <c r="E6640" t="s">
        <v>6284</v>
      </c>
    </row>
    <row r="6641" spans="5:5" x14ac:dyDescent="0.25">
      <c r="E6641" t="s">
        <v>6285</v>
      </c>
    </row>
    <row r="6642" spans="5:5" x14ac:dyDescent="0.25">
      <c r="E6642" t="s">
        <v>6286</v>
      </c>
    </row>
    <row r="6643" spans="5:5" x14ac:dyDescent="0.25">
      <c r="E6643" t="s">
        <v>6287</v>
      </c>
    </row>
    <row r="6644" spans="5:5" x14ac:dyDescent="0.25">
      <c r="E6644" t="s">
        <v>6288</v>
      </c>
    </row>
    <row r="6645" spans="5:5" x14ac:dyDescent="0.25">
      <c r="E6645" t="s">
        <v>6289</v>
      </c>
    </row>
    <row r="6646" spans="5:5" x14ac:dyDescent="0.25">
      <c r="E6646" t="s">
        <v>6290</v>
      </c>
    </row>
    <row r="6647" spans="5:5" x14ac:dyDescent="0.25">
      <c r="E6647" t="s">
        <v>6291</v>
      </c>
    </row>
    <row r="6648" spans="5:5" x14ac:dyDescent="0.25">
      <c r="E6648" t="s">
        <v>6292</v>
      </c>
    </row>
    <row r="6649" spans="5:5" x14ac:dyDescent="0.25">
      <c r="E6649" t="s">
        <v>6293</v>
      </c>
    </row>
    <row r="6650" spans="5:5" x14ac:dyDescent="0.25">
      <c r="E6650" t="s">
        <v>6294</v>
      </c>
    </row>
    <row r="6651" spans="5:5" x14ac:dyDescent="0.25">
      <c r="E6651" t="s">
        <v>6295</v>
      </c>
    </row>
    <row r="6652" spans="5:5" x14ac:dyDescent="0.25">
      <c r="E6652" t="s">
        <v>6296</v>
      </c>
    </row>
    <row r="6653" spans="5:5" x14ac:dyDescent="0.25">
      <c r="E6653" t="s">
        <v>6297</v>
      </c>
    </row>
    <row r="6654" spans="5:5" x14ac:dyDescent="0.25">
      <c r="E6654" t="s">
        <v>6298</v>
      </c>
    </row>
    <row r="6655" spans="5:5" x14ac:dyDescent="0.25">
      <c r="E6655" t="s">
        <v>6299</v>
      </c>
    </row>
    <row r="6656" spans="5:5" x14ac:dyDescent="0.25">
      <c r="E6656" t="s">
        <v>6300</v>
      </c>
    </row>
    <row r="6657" spans="5:5" x14ac:dyDescent="0.25">
      <c r="E6657" t="s">
        <v>6301</v>
      </c>
    </row>
    <row r="6658" spans="5:5" x14ac:dyDescent="0.25">
      <c r="E6658" t="s">
        <v>6302</v>
      </c>
    </row>
    <row r="6659" spans="5:5" x14ac:dyDescent="0.25">
      <c r="E6659" t="s">
        <v>6303</v>
      </c>
    </row>
    <row r="6660" spans="5:5" x14ac:dyDescent="0.25">
      <c r="E6660" t="s">
        <v>6304</v>
      </c>
    </row>
    <row r="6661" spans="5:5" x14ac:dyDescent="0.25">
      <c r="E6661" t="s">
        <v>6305</v>
      </c>
    </row>
    <row r="6662" spans="5:5" x14ac:dyDescent="0.25">
      <c r="E6662" t="s">
        <v>6306</v>
      </c>
    </row>
    <row r="6663" spans="5:5" x14ac:dyDescent="0.25">
      <c r="E6663" t="s">
        <v>6307</v>
      </c>
    </row>
    <row r="6664" spans="5:5" x14ac:dyDescent="0.25">
      <c r="E6664" t="s">
        <v>6308</v>
      </c>
    </row>
    <row r="6665" spans="5:5" x14ac:dyDescent="0.25">
      <c r="E6665" t="s">
        <v>6309</v>
      </c>
    </row>
    <row r="6666" spans="5:5" x14ac:dyDescent="0.25">
      <c r="E6666" t="s">
        <v>6310</v>
      </c>
    </row>
    <row r="6667" spans="5:5" x14ac:dyDescent="0.25">
      <c r="E6667" t="s">
        <v>6311</v>
      </c>
    </row>
    <row r="6668" spans="5:5" x14ac:dyDescent="0.25">
      <c r="E6668" t="s">
        <v>6312</v>
      </c>
    </row>
    <row r="6669" spans="5:5" x14ac:dyDescent="0.25">
      <c r="E6669" t="s">
        <v>6313</v>
      </c>
    </row>
    <row r="6670" spans="5:5" x14ac:dyDescent="0.25">
      <c r="E6670" t="s">
        <v>6314</v>
      </c>
    </row>
    <row r="6671" spans="5:5" x14ac:dyDescent="0.25">
      <c r="E6671" t="s">
        <v>6315</v>
      </c>
    </row>
    <row r="6672" spans="5:5" x14ac:dyDescent="0.25">
      <c r="E6672" t="s">
        <v>6316</v>
      </c>
    </row>
    <row r="6673" spans="5:5" x14ac:dyDescent="0.25">
      <c r="E6673" t="s">
        <v>6317</v>
      </c>
    </row>
    <row r="6674" spans="5:5" x14ac:dyDescent="0.25">
      <c r="E6674" t="s">
        <v>6318</v>
      </c>
    </row>
    <row r="6675" spans="5:5" x14ac:dyDescent="0.25">
      <c r="E6675" t="s">
        <v>6319</v>
      </c>
    </row>
    <row r="6676" spans="5:5" x14ac:dyDescent="0.25">
      <c r="E6676" t="s">
        <v>6320</v>
      </c>
    </row>
    <row r="6677" spans="5:5" x14ac:dyDescent="0.25">
      <c r="E6677" t="s">
        <v>6321</v>
      </c>
    </row>
    <row r="6678" spans="5:5" x14ac:dyDescent="0.25">
      <c r="E6678" t="s">
        <v>6322</v>
      </c>
    </row>
    <row r="6679" spans="5:5" x14ac:dyDescent="0.25">
      <c r="E6679" t="s">
        <v>6323</v>
      </c>
    </row>
    <row r="6680" spans="5:5" x14ac:dyDescent="0.25">
      <c r="E6680" t="s">
        <v>6324</v>
      </c>
    </row>
    <row r="6681" spans="5:5" x14ac:dyDescent="0.25">
      <c r="E6681" t="s">
        <v>6325</v>
      </c>
    </row>
    <row r="6682" spans="5:5" x14ac:dyDescent="0.25">
      <c r="E6682" t="s">
        <v>6326</v>
      </c>
    </row>
    <row r="6683" spans="5:5" x14ac:dyDescent="0.25">
      <c r="E6683" t="s">
        <v>6327</v>
      </c>
    </row>
    <row r="6684" spans="5:5" x14ac:dyDescent="0.25">
      <c r="E6684" t="s">
        <v>6328</v>
      </c>
    </row>
    <row r="6685" spans="5:5" x14ac:dyDescent="0.25">
      <c r="E6685" t="s">
        <v>6329</v>
      </c>
    </row>
    <row r="6686" spans="5:5" x14ac:dyDescent="0.25">
      <c r="E6686" t="s">
        <v>6330</v>
      </c>
    </row>
    <row r="6687" spans="5:5" x14ac:dyDescent="0.25">
      <c r="E6687" t="s">
        <v>6331</v>
      </c>
    </row>
    <row r="6688" spans="5:5" x14ac:dyDescent="0.25">
      <c r="E6688" t="s">
        <v>6332</v>
      </c>
    </row>
    <row r="6689" spans="5:5" x14ac:dyDescent="0.25">
      <c r="E6689" t="s">
        <v>6333</v>
      </c>
    </row>
    <row r="6690" spans="5:5" x14ac:dyDescent="0.25">
      <c r="E6690" t="s">
        <v>6334</v>
      </c>
    </row>
    <row r="6691" spans="5:5" x14ac:dyDescent="0.25">
      <c r="E6691" t="s">
        <v>6335</v>
      </c>
    </row>
    <row r="6692" spans="5:5" x14ac:dyDescent="0.25">
      <c r="E6692" t="s">
        <v>6336</v>
      </c>
    </row>
    <row r="6693" spans="5:5" x14ac:dyDescent="0.25">
      <c r="E6693" t="s">
        <v>6337</v>
      </c>
    </row>
    <row r="6694" spans="5:5" x14ac:dyDescent="0.25">
      <c r="E6694" t="s">
        <v>6338</v>
      </c>
    </row>
    <row r="6696" spans="5:5" x14ac:dyDescent="0.25">
      <c r="E6696" t="s">
        <v>6339</v>
      </c>
    </row>
    <row r="6697" spans="5:5" x14ac:dyDescent="0.25">
      <c r="E6697" t="s">
        <v>6340</v>
      </c>
    </row>
    <row r="6698" spans="5:5" x14ac:dyDescent="0.25">
      <c r="E6698" t="s">
        <v>6341</v>
      </c>
    </row>
    <row r="6699" spans="5:5" x14ac:dyDescent="0.25">
      <c r="E6699" t="s">
        <v>6342</v>
      </c>
    </row>
    <row r="6700" spans="5:5" x14ac:dyDescent="0.25">
      <c r="E6700" t="s">
        <v>6343</v>
      </c>
    </row>
    <row r="6701" spans="5:5" x14ac:dyDescent="0.25">
      <c r="E6701" t="s">
        <v>6344</v>
      </c>
    </row>
    <row r="6702" spans="5:5" x14ac:dyDescent="0.25">
      <c r="E6702" t="s">
        <v>6345</v>
      </c>
    </row>
    <row r="6703" spans="5:5" x14ac:dyDescent="0.25">
      <c r="E6703" t="s">
        <v>6346</v>
      </c>
    </row>
    <row r="6704" spans="5:5" x14ac:dyDescent="0.25">
      <c r="E6704" t="s">
        <v>6347</v>
      </c>
    </row>
    <row r="6705" spans="5:5" x14ac:dyDescent="0.25">
      <c r="E6705" t="s">
        <v>6348</v>
      </c>
    </row>
    <row r="6706" spans="5:5" x14ac:dyDescent="0.25">
      <c r="E6706" t="s">
        <v>6349</v>
      </c>
    </row>
    <row r="6707" spans="5:5" x14ac:dyDescent="0.25">
      <c r="E6707" t="s">
        <v>6350</v>
      </c>
    </row>
    <row r="6708" spans="5:5" x14ac:dyDescent="0.25">
      <c r="E6708" t="s">
        <v>6351</v>
      </c>
    </row>
    <row r="6709" spans="5:5" x14ac:dyDescent="0.25">
      <c r="E6709" t="s">
        <v>6352</v>
      </c>
    </row>
    <row r="6710" spans="5:5" x14ac:dyDescent="0.25">
      <c r="E6710" t="s">
        <v>6353</v>
      </c>
    </row>
    <row r="6711" spans="5:5" x14ac:dyDescent="0.25">
      <c r="E6711" t="s">
        <v>6354</v>
      </c>
    </row>
    <row r="6712" spans="5:5" x14ac:dyDescent="0.25">
      <c r="E6712" t="s">
        <v>6355</v>
      </c>
    </row>
    <row r="6713" spans="5:5" x14ac:dyDescent="0.25">
      <c r="E6713" t="s">
        <v>6356</v>
      </c>
    </row>
    <row r="6714" spans="5:5" x14ac:dyDescent="0.25">
      <c r="E6714" t="s">
        <v>6357</v>
      </c>
    </row>
    <row r="6715" spans="5:5" x14ac:dyDescent="0.25">
      <c r="E6715" t="s">
        <v>6358</v>
      </c>
    </row>
    <row r="6716" spans="5:5" x14ac:dyDescent="0.25">
      <c r="E6716" t="s">
        <v>6359</v>
      </c>
    </row>
    <row r="6717" spans="5:5" x14ac:dyDescent="0.25">
      <c r="E6717" t="s">
        <v>6360</v>
      </c>
    </row>
    <row r="6718" spans="5:5" x14ac:dyDescent="0.25">
      <c r="E6718" t="s">
        <v>6361</v>
      </c>
    </row>
    <row r="6719" spans="5:5" x14ac:dyDescent="0.25">
      <c r="E6719" t="s">
        <v>6362</v>
      </c>
    </row>
    <row r="6720" spans="5:5" x14ac:dyDescent="0.25">
      <c r="E6720" t="s">
        <v>6363</v>
      </c>
    </row>
    <row r="6721" spans="5:5" x14ac:dyDescent="0.25">
      <c r="E6721" t="s">
        <v>6364</v>
      </c>
    </row>
    <row r="6722" spans="5:5" x14ac:dyDescent="0.25">
      <c r="E6722" t="s">
        <v>6365</v>
      </c>
    </row>
    <row r="6723" spans="5:5" x14ac:dyDescent="0.25">
      <c r="E6723" t="s">
        <v>6366</v>
      </c>
    </row>
    <row r="6724" spans="5:5" x14ac:dyDescent="0.25">
      <c r="E6724" t="s">
        <v>6367</v>
      </c>
    </row>
    <row r="6725" spans="5:5" x14ac:dyDescent="0.25">
      <c r="E6725" t="s">
        <v>6368</v>
      </c>
    </row>
    <row r="6726" spans="5:5" x14ac:dyDescent="0.25">
      <c r="E6726" t="s">
        <v>6369</v>
      </c>
    </row>
    <row r="6727" spans="5:5" x14ac:dyDescent="0.25">
      <c r="E6727" t="s">
        <v>6370</v>
      </c>
    </row>
    <row r="6728" spans="5:5" x14ac:dyDescent="0.25">
      <c r="E6728" t="s">
        <v>6371</v>
      </c>
    </row>
    <row r="6729" spans="5:5" x14ac:dyDescent="0.25">
      <c r="E6729" t="s">
        <v>6372</v>
      </c>
    </row>
    <row r="6730" spans="5:5" x14ac:dyDescent="0.25">
      <c r="E6730" t="s">
        <v>6373</v>
      </c>
    </row>
    <row r="6731" spans="5:5" x14ac:dyDescent="0.25">
      <c r="E6731" t="s">
        <v>6374</v>
      </c>
    </row>
    <row r="6732" spans="5:5" x14ac:dyDescent="0.25">
      <c r="E6732" t="s">
        <v>6375</v>
      </c>
    </row>
    <row r="6733" spans="5:5" x14ac:dyDescent="0.25">
      <c r="E6733" t="s">
        <v>6376</v>
      </c>
    </row>
    <row r="6734" spans="5:5" x14ac:dyDescent="0.25">
      <c r="E6734" t="s">
        <v>6377</v>
      </c>
    </row>
    <row r="6735" spans="5:5" x14ac:dyDescent="0.25">
      <c r="E6735" t="s">
        <v>6378</v>
      </c>
    </row>
    <row r="6736" spans="5:5" x14ac:dyDescent="0.25">
      <c r="E6736" t="s">
        <v>6379</v>
      </c>
    </row>
    <row r="6737" spans="5:5" x14ac:dyDescent="0.25">
      <c r="E6737" t="s">
        <v>6380</v>
      </c>
    </row>
    <row r="6738" spans="5:5" x14ac:dyDescent="0.25">
      <c r="E6738" t="s">
        <v>6381</v>
      </c>
    </row>
    <row r="6739" spans="5:5" x14ac:dyDescent="0.25">
      <c r="E6739" t="s">
        <v>6382</v>
      </c>
    </row>
    <row r="6740" spans="5:5" x14ac:dyDescent="0.25">
      <c r="E6740" t="s">
        <v>6383</v>
      </c>
    </row>
    <row r="6741" spans="5:5" x14ac:dyDescent="0.25">
      <c r="E6741" t="s">
        <v>6384</v>
      </c>
    </row>
    <row r="6742" spans="5:5" x14ac:dyDescent="0.25">
      <c r="E6742" t="s">
        <v>6385</v>
      </c>
    </row>
    <row r="6743" spans="5:5" x14ac:dyDescent="0.25">
      <c r="E6743" t="s">
        <v>6386</v>
      </c>
    </row>
    <row r="6744" spans="5:5" x14ac:dyDescent="0.25">
      <c r="E6744" t="s">
        <v>6387</v>
      </c>
    </row>
    <row r="6745" spans="5:5" x14ac:dyDescent="0.25">
      <c r="E6745" t="s">
        <v>6388</v>
      </c>
    </row>
    <row r="6746" spans="5:5" x14ac:dyDescent="0.25">
      <c r="E6746" t="s">
        <v>6389</v>
      </c>
    </row>
    <row r="6747" spans="5:5" x14ac:dyDescent="0.25">
      <c r="E6747" t="s">
        <v>6390</v>
      </c>
    </row>
    <row r="6748" spans="5:5" x14ac:dyDescent="0.25">
      <c r="E6748" t="s">
        <v>6391</v>
      </c>
    </row>
    <row r="6749" spans="5:5" x14ac:dyDescent="0.25">
      <c r="E6749" t="s">
        <v>6392</v>
      </c>
    </row>
    <row r="6750" spans="5:5" x14ac:dyDescent="0.25">
      <c r="E6750" t="s">
        <v>6393</v>
      </c>
    </row>
    <row r="6751" spans="5:5" x14ac:dyDescent="0.25">
      <c r="E6751" t="s">
        <v>6394</v>
      </c>
    </row>
    <row r="6752" spans="5:5" x14ac:dyDescent="0.25">
      <c r="E6752" t="s">
        <v>6395</v>
      </c>
    </row>
    <row r="6753" spans="5:5" x14ac:dyDescent="0.25">
      <c r="E6753" t="s">
        <v>6396</v>
      </c>
    </row>
    <row r="6754" spans="5:5" x14ac:dyDescent="0.25">
      <c r="E6754" t="s">
        <v>6397</v>
      </c>
    </row>
    <row r="6755" spans="5:5" x14ac:dyDescent="0.25">
      <c r="E6755" t="s">
        <v>6398</v>
      </c>
    </row>
    <row r="6756" spans="5:5" x14ac:dyDescent="0.25">
      <c r="E6756" t="s">
        <v>6399</v>
      </c>
    </row>
    <row r="6757" spans="5:5" x14ac:dyDescent="0.25">
      <c r="E6757" t="s">
        <v>6400</v>
      </c>
    </row>
    <row r="6758" spans="5:5" x14ac:dyDescent="0.25">
      <c r="E6758" t="s">
        <v>6401</v>
      </c>
    </row>
    <row r="6759" spans="5:5" x14ac:dyDescent="0.25">
      <c r="E6759" t="s">
        <v>6402</v>
      </c>
    </row>
    <row r="6760" spans="5:5" x14ac:dyDescent="0.25">
      <c r="E6760" t="s">
        <v>6403</v>
      </c>
    </row>
    <row r="6761" spans="5:5" x14ac:dyDescent="0.25">
      <c r="E6761" t="s">
        <v>6404</v>
      </c>
    </row>
    <row r="6762" spans="5:5" x14ac:dyDescent="0.25">
      <c r="E6762" t="s">
        <v>6405</v>
      </c>
    </row>
    <row r="6763" spans="5:5" x14ac:dyDescent="0.25">
      <c r="E6763" t="s">
        <v>6406</v>
      </c>
    </row>
    <row r="6764" spans="5:5" x14ac:dyDescent="0.25">
      <c r="E6764" t="s">
        <v>6407</v>
      </c>
    </row>
    <row r="6765" spans="5:5" x14ac:dyDescent="0.25">
      <c r="E6765" t="s">
        <v>6408</v>
      </c>
    </row>
    <row r="6766" spans="5:5" x14ac:dyDescent="0.25">
      <c r="E6766" t="s">
        <v>6409</v>
      </c>
    </row>
    <row r="6767" spans="5:5" x14ac:dyDescent="0.25">
      <c r="E6767" t="s">
        <v>6410</v>
      </c>
    </row>
    <row r="6768" spans="5:5" x14ac:dyDescent="0.25">
      <c r="E6768" t="s">
        <v>6411</v>
      </c>
    </row>
    <row r="6769" spans="5:5" x14ac:dyDescent="0.25">
      <c r="E6769" t="s">
        <v>6412</v>
      </c>
    </row>
    <row r="6770" spans="5:5" x14ac:dyDescent="0.25">
      <c r="E6770" t="s">
        <v>6413</v>
      </c>
    </row>
    <row r="6771" spans="5:5" x14ac:dyDescent="0.25">
      <c r="E6771" t="s">
        <v>6414</v>
      </c>
    </row>
    <row r="6772" spans="5:5" x14ac:dyDescent="0.25">
      <c r="E6772" t="s">
        <v>6415</v>
      </c>
    </row>
    <row r="6773" spans="5:5" x14ac:dyDescent="0.25">
      <c r="E6773" t="s">
        <v>6416</v>
      </c>
    </row>
    <row r="6774" spans="5:5" x14ac:dyDescent="0.25">
      <c r="E6774" t="s">
        <v>6417</v>
      </c>
    </row>
    <row r="6775" spans="5:5" x14ac:dyDescent="0.25">
      <c r="E6775" t="s">
        <v>6418</v>
      </c>
    </row>
    <row r="6776" spans="5:5" x14ac:dyDescent="0.25">
      <c r="E6776" t="s">
        <v>6419</v>
      </c>
    </row>
    <row r="6777" spans="5:5" x14ac:dyDescent="0.25">
      <c r="E6777" t="s">
        <v>6420</v>
      </c>
    </row>
    <row r="6778" spans="5:5" x14ac:dyDescent="0.25">
      <c r="E6778" t="s">
        <v>6421</v>
      </c>
    </row>
    <row r="6779" spans="5:5" x14ac:dyDescent="0.25">
      <c r="E6779" t="s">
        <v>6422</v>
      </c>
    </row>
    <row r="6780" spans="5:5" x14ac:dyDescent="0.25">
      <c r="E6780" t="s">
        <v>6423</v>
      </c>
    </row>
    <row r="6781" spans="5:5" x14ac:dyDescent="0.25">
      <c r="E6781" t="s">
        <v>6424</v>
      </c>
    </row>
    <row r="6782" spans="5:5" x14ac:dyDescent="0.25">
      <c r="E6782" t="s">
        <v>6425</v>
      </c>
    </row>
    <row r="6783" spans="5:5" x14ac:dyDescent="0.25">
      <c r="E6783" t="s">
        <v>6426</v>
      </c>
    </row>
    <row r="6784" spans="5:5" x14ac:dyDescent="0.25">
      <c r="E6784" t="s">
        <v>6427</v>
      </c>
    </row>
    <row r="6785" spans="5:5" x14ac:dyDescent="0.25">
      <c r="E6785" t="s">
        <v>6428</v>
      </c>
    </row>
    <row r="6786" spans="5:5" x14ac:dyDescent="0.25">
      <c r="E6786" t="s">
        <v>6429</v>
      </c>
    </row>
    <row r="6787" spans="5:5" x14ac:dyDescent="0.25">
      <c r="E6787" t="s">
        <v>6430</v>
      </c>
    </row>
    <row r="6788" spans="5:5" x14ac:dyDescent="0.25">
      <c r="E6788" t="s">
        <v>6431</v>
      </c>
    </row>
    <row r="6789" spans="5:5" x14ac:dyDescent="0.25">
      <c r="E6789" t="s">
        <v>6432</v>
      </c>
    </row>
    <row r="6790" spans="5:5" x14ac:dyDescent="0.25">
      <c r="E6790" t="s">
        <v>6433</v>
      </c>
    </row>
    <row r="6791" spans="5:5" x14ac:dyDescent="0.25">
      <c r="E6791" t="s">
        <v>6434</v>
      </c>
    </row>
    <row r="6792" spans="5:5" x14ac:dyDescent="0.25">
      <c r="E6792" t="s">
        <v>6435</v>
      </c>
    </row>
    <row r="6793" spans="5:5" x14ac:dyDescent="0.25">
      <c r="E6793" t="s">
        <v>6436</v>
      </c>
    </row>
    <row r="6794" spans="5:5" x14ac:dyDescent="0.25">
      <c r="E6794" t="s">
        <v>6437</v>
      </c>
    </row>
    <row r="6795" spans="5:5" x14ac:dyDescent="0.25">
      <c r="E6795" t="s">
        <v>6438</v>
      </c>
    </row>
    <row r="6796" spans="5:5" x14ac:dyDescent="0.25">
      <c r="E6796" t="s">
        <v>6439</v>
      </c>
    </row>
    <row r="6797" spans="5:5" x14ac:dyDescent="0.25">
      <c r="E6797" t="s">
        <v>6440</v>
      </c>
    </row>
    <row r="6798" spans="5:5" x14ac:dyDescent="0.25">
      <c r="E6798" t="s">
        <v>6441</v>
      </c>
    </row>
    <row r="6799" spans="5:5" x14ac:dyDescent="0.25">
      <c r="E6799" t="s">
        <v>6442</v>
      </c>
    </row>
    <row r="6800" spans="5:5" x14ac:dyDescent="0.25">
      <c r="E6800" t="s">
        <v>6443</v>
      </c>
    </row>
    <row r="6801" spans="5:5" x14ac:dyDescent="0.25">
      <c r="E6801" t="s">
        <v>6444</v>
      </c>
    </row>
    <row r="6802" spans="5:5" x14ac:dyDescent="0.25">
      <c r="E6802" t="s">
        <v>6445</v>
      </c>
    </row>
    <row r="6803" spans="5:5" x14ac:dyDescent="0.25">
      <c r="E6803" t="s">
        <v>6446</v>
      </c>
    </row>
    <row r="6804" spans="5:5" x14ac:dyDescent="0.25">
      <c r="E6804" t="s">
        <v>6447</v>
      </c>
    </row>
    <row r="6805" spans="5:5" x14ac:dyDescent="0.25">
      <c r="E6805" t="s">
        <v>6448</v>
      </c>
    </row>
    <row r="6806" spans="5:5" x14ac:dyDescent="0.25">
      <c r="E6806" t="s">
        <v>6449</v>
      </c>
    </row>
    <row r="6807" spans="5:5" x14ac:dyDescent="0.25">
      <c r="E6807" t="s">
        <v>6450</v>
      </c>
    </row>
    <row r="6808" spans="5:5" x14ac:dyDescent="0.25">
      <c r="E6808" t="s">
        <v>6451</v>
      </c>
    </row>
    <row r="6809" spans="5:5" x14ac:dyDescent="0.25">
      <c r="E6809" t="s">
        <v>6452</v>
      </c>
    </row>
    <row r="6810" spans="5:5" x14ac:dyDescent="0.25">
      <c r="E6810" t="s">
        <v>6453</v>
      </c>
    </row>
    <row r="6811" spans="5:5" x14ac:dyDescent="0.25">
      <c r="E6811" t="s">
        <v>6454</v>
      </c>
    </row>
    <row r="6812" spans="5:5" x14ac:dyDescent="0.25">
      <c r="E6812" t="s">
        <v>6455</v>
      </c>
    </row>
    <row r="6813" spans="5:5" x14ac:dyDescent="0.25">
      <c r="E6813" t="s">
        <v>6456</v>
      </c>
    </row>
    <row r="6814" spans="5:5" x14ac:dyDescent="0.25">
      <c r="E6814" t="s">
        <v>6457</v>
      </c>
    </row>
    <row r="6815" spans="5:5" x14ac:dyDescent="0.25">
      <c r="E6815" t="s">
        <v>6458</v>
      </c>
    </row>
    <row r="6816" spans="5:5" x14ac:dyDescent="0.25">
      <c r="E6816" t="s">
        <v>6459</v>
      </c>
    </row>
    <row r="6817" spans="5:5" x14ac:dyDescent="0.25">
      <c r="E6817" t="s">
        <v>6460</v>
      </c>
    </row>
    <row r="6818" spans="5:5" x14ac:dyDescent="0.25">
      <c r="E6818" t="s">
        <v>6461</v>
      </c>
    </row>
    <row r="6819" spans="5:5" x14ac:dyDescent="0.25">
      <c r="E6819" t="s">
        <v>6462</v>
      </c>
    </row>
    <row r="6820" spans="5:5" x14ac:dyDescent="0.25">
      <c r="E6820" t="s">
        <v>6463</v>
      </c>
    </row>
    <row r="6833" spans="5:5" x14ac:dyDescent="0.25">
      <c r="E6833" t="s">
        <v>6464</v>
      </c>
    </row>
    <row r="6838" spans="5:5" x14ac:dyDescent="0.25">
      <c r="E6838" t="s">
        <v>6465</v>
      </c>
    </row>
    <row r="6851" spans="5:5" x14ac:dyDescent="0.25">
      <c r="E6851" t="s">
        <v>6466</v>
      </c>
    </row>
    <row r="6852" spans="5:5" x14ac:dyDescent="0.25">
      <c r="E6852" t="s">
        <v>6467</v>
      </c>
    </row>
    <row r="6853" spans="5:5" x14ac:dyDescent="0.25">
      <c r="E6853" t="s">
        <v>6468</v>
      </c>
    </row>
    <row r="6855" spans="5:5" x14ac:dyDescent="0.25">
      <c r="E6855" t="s">
        <v>6469</v>
      </c>
    </row>
    <row r="6856" spans="5:5" x14ac:dyDescent="0.25">
      <c r="E6856" t="s">
        <v>6470</v>
      </c>
    </row>
    <row r="6857" spans="5:5" x14ac:dyDescent="0.25">
      <c r="E6857" t="s">
        <v>6471</v>
      </c>
    </row>
    <row r="6859" spans="5:5" x14ac:dyDescent="0.25">
      <c r="E6859" t="s">
        <v>6472</v>
      </c>
    </row>
    <row r="6861" spans="5:5" x14ac:dyDescent="0.25">
      <c r="E6861" t="s">
        <v>6473</v>
      </c>
    </row>
    <row r="6862" spans="5:5" x14ac:dyDescent="0.25">
      <c r="E6862" t="s">
        <v>6474</v>
      </c>
    </row>
    <row r="6863" spans="5:5" x14ac:dyDescent="0.25">
      <c r="E6863" t="s">
        <v>6475</v>
      </c>
    </row>
    <row r="6864" spans="5:5" x14ac:dyDescent="0.25">
      <c r="E6864" t="s">
        <v>6476</v>
      </c>
    </row>
    <row r="6865" spans="5:5" x14ac:dyDescent="0.25">
      <c r="E6865" t="s">
        <v>6477</v>
      </c>
    </row>
    <row r="6866" spans="5:5" x14ac:dyDescent="0.25">
      <c r="E6866" t="s">
        <v>6478</v>
      </c>
    </row>
    <row r="6867" spans="5:5" x14ac:dyDescent="0.25">
      <c r="E6867" t="s">
        <v>6479</v>
      </c>
    </row>
    <row r="6868" spans="5:5" x14ac:dyDescent="0.25">
      <c r="E6868" t="s">
        <v>6480</v>
      </c>
    </row>
    <row r="6869" spans="5:5" x14ac:dyDescent="0.25">
      <c r="E6869" t="s">
        <v>6481</v>
      </c>
    </row>
    <row r="6870" spans="5:5" x14ac:dyDescent="0.25">
      <c r="E6870" t="s">
        <v>6482</v>
      </c>
    </row>
    <row r="6871" spans="5:5" x14ac:dyDescent="0.25">
      <c r="E6871" t="s">
        <v>6483</v>
      </c>
    </row>
    <row r="6872" spans="5:5" x14ac:dyDescent="0.25">
      <c r="E6872" t="s">
        <v>6484</v>
      </c>
    </row>
    <row r="6873" spans="5:5" x14ac:dyDescent="0.25">
      <c r="E6873" t="s">
        <v>6485</v>
      </c>
    </row>
    <row r="6874" spans="5:5" x14ac:dyDescent="0.25">
      <c r="E6874" t="s">
        <v>6486</v>
      </c>
    </row>
    <row r="6875" spans="5:5" x14ac:dyDescent="0.25">
      <c r="E6875" t="s">
        <v>6487</v>
      </c>
    </row>
    <row r="6876" spans="5:5" x14ac:dyDescent="0.25">
      <c r="E6876" t="s">
        <v>6488</v>
      </c>
    </row>
    <row r="6877" spans="5:5" x14ac:dyDescent="0.25">
      <c r="E6877" t="s">
        <v>6489</v>
      </c>
    </row>
    <row r="6878" spans="5:5" x14ac:dyDescent="0.25">
      <c r="E6878" t="s">
        <v>6490</v>
      </c>
    </row>
    <row r="6879" spans="5:5" x14ac:dyDescent="0.25">
      <c r="E6879" t="s">
        <v>6491</v>
      </c>
    </row>
    <row r="6880" spans="5:5" x14ac:dyDescent="0.25">
      <c r="E6880" t="s">
        <v>6492</v>
      </c>
    </row>
    <row r="6881" spans="5:5" x14ac:dyDescent="0.25">
      <c r="E6881" t="s">
        <v>6493</v>
      </c>
    </row>
    <row r="6882" spans="5:5" x14ac:dyDescent="0.25">
      <c r="E6882" t="s">
        <v>6494</v>
      </c>
    </row>
    <row r="6883" spans="5:5" x14ac:dyDescent="0.25">
      <c r="E6883" t="s">
        <v>6495</v>
      </c>
    </row>
    <row r="6884" spans="5:5" x14ac:dyDescent="0.25">
      <c r="E6884" t="s">
        <v>6496</v>
      </c>
    </row>
    <row r="6885" spans="5:5" x14ac:dyDescent="0.25">
      <c r="E6885" t="s">
        <v>6497</v>
      </c>
    </row>
    <row r="6886" spans="5:5" x14ac:dyDescent="0.25">
      <c r="E6886" t="s">
        <v>6498</v>
      </c>
    </row>
    <row r="6887" spans="5:5" x14ac:dyDescent="0.25">
      <c r="E6887" t="s">
        <v>6499</v>
      </c>
    </row>
    <row r="6888" spans="5:5" x14ac:dyDescent="0.25">
      <c r="E6888" t="s">
        <v>6500</v>
      </c>
    </row>
    <row r="6889" spans="5:5" x14ac:dyDescent="0.25">
      <c r="E6889" t="s">
        <v>6501</v>
      </c>
    </row>
    <row r="6890" spans="5:5" x14ac:dyDescent="0.25">
      <c r="E6890" t="s">
        <v>6502</v>
      </c>
    </row>
    <row r="6891" spans="5:5" x14ac:dyDescent="0.25">
      <c r="E6891" t="s">
        <v>6503</v>
      </c>
    </row>
    <row r="6892" spans="5:5" x14ac:dyDescent="0.25">
      <c r="E6892" t="s">
        <v>6504</v>
      </c>
    </row>
    <row r="6893" spans="5:5" x14ac:dyDescent="0.25">
      <c r="E6893" t="s">
        <v>6505</v>
      </c>
    </row>
    <row r="6894" spans="5:5" x14ac:dyDescent="0.25">
      <c r="E6894" t="s">
        <v>6506</v>
      </c>
    </row>
    <row r="6895" spans="5:5" x14ac:dyDescent="0.25">
      <c r="E6895" t="s">
        <v>6507</v>
      </c>
    </row>
    <row r="6896" spans="5:5" x14ac:dyDescent="0.25">
      <c r="E6896" t="s">
        <v>6508</v>
      </c>
    </row>
    <row r="6897" spans="5:5" x14ac:dyDescent="0.25">
      <c r="E6897" t="s">
        <v>6509</v>
      </c>
    </row>
    <row r="6898" spans="5:5" x14ac:dyDescent="0.25">
      <c r="E6898" t="s">
        <v>6510</v>
      </c>
    </row>
    <row r="6899" spans="5:5" x14ac:dyDescent="0.25">
      <c r="E6899" t="s">
        <v>6511</v>
      </c>
    </row>
    <row r="6900" spans="5:5" x14ac:dyDescent="0.25">
      <c r="E6900" t="s">
        <v>6512</v>
      </c>
    </row>
    <row r="6901" spans="5:5" x14ac:dyDescent="0.25">
      <c r="E6901" t="s">
        <v>6513</v>
      </c>
    </row>
    <row r="6902" spans="5:5" x14ac:dyDescent="0.25">
      <c r="E6902" t="s">
        <v>6514</v>
      </c>
    </row>
    <row r="6903" spans="5:5" x14ac:dyDescent="0.25">
      <c r="E6903" t="s">
        <v>6515</v>
      </c>
    </row>
    <row r="6904" spans="5:5" x14ac:dyDescent="0.25">
      <c r="E6904" t="s">
        <v>6516</v>
      </c>
    </row>
    <row r="6905" spans="5:5" x14ac:dyDescent="0.25">
      <c r="E6905" t="s">
        <v>6517</v>
      </c>
    </row>
    <row r="6906" spans="5:5" x14ac:dyDescent="0.25">
      <c r="E6906" t="s">
        <v>6518</v>
      </c>
    </row>
    <row r="6907" spans="5:5" x14ac:dyDescent="0.25">
      <c r="E6907" t="s">
        <v>6519</v>
      </c>
    </row>
    <row r="6908" spans="5:5" x14ac:dyDescent="0.25">
      <c r="E6908" t="s">
        <v>6520</v>
      </c>
    </row>
    <row r="6909" spans="5:5" x14ac:dyDescent="0.25">
      <c r="E6909" t="s">
        <v>6521</v>
      </c>
    </row>
    <row r="6910" spans="5:5" x14ac:dyDescent="0.25">
      <c r="E6910" t="s">
        <v>6522</v>
      </c>
    </row>
    <row r="6911" spans="5:5" x14ac:dyDescent="0.25">
      <c r="E6911" t="s">
        <v>6523</v>
      </c>
    </row>
    <row r="6912" spans="5:5" x14ac:dyDescent="0.25">
      <c r="E6912" t="s">
        <v>6524</v>
      </c>
    </row>
    <row r="6913" spans="5:5" x14ac:dyDescent="0.25">
      <c r="E6913" t="s">
        <v>6525</v>
      </c>
    </row>
    <row r="6914" spans="5:5" x14ac:dyDescent="0.25">
      <c r="E6914" t="s">
        <v>6526</v>
      </c>
    </row>
    <row r="6915" spans="5:5" x14ac:dyDescent="0.25">
      <c r="E6915" t="s">
        <v>6527</v>
      </c>
    </row>
    <row r="6916" spans="5:5" x14ac:dyDescent="0.25">
      <c r="E6916" t="s">
        <v>6528</v>
      </c>
    </row>
    <row r="6917" spans="5:5" x14ac:dyDescent="0.25">
      <c r="E6917" t="s">
        <v>6529</v>
      </c>
    </row>
    <row r="6918" spans="5:5" x14ac:dyDescent="0.25">
      <c r="E6918" t="s">
        <v>6530</v>
      </c>
    </row>
    <row r="6919" spans="5:5" x14ac:dyDescent="0.25">
      <c r="E6919" t="s">
        <v>6531</v>
      </c>
    </row>
    <row r="6920" spans="5:5" x14ac:dyDescent="0.25">
      <c r="E6920" t="s">
        <v>6532</v>
      </c>
    </row>
    <row r="6921" spans="5:5" x14ac:dyDescent="0.25">
      <c r="E6921" t="s">
        <v>6533</v>
      </c>
    </row>
    <row r="6922" spans="5:5" x14ac:dyDescent="0.25">
      <c r="E6922" t="s">
        <v>6534</v>
      </c>
    </row>
    <row r="6923" spans="5:5" x14ac:dyDescent="0.25">
      <c r="E6923" t="s">
        <v>6535</v>
      </c>
    </row>
    <row r="6924" spans="5:5" x14ac:dyDescent="0.25">
      <c r="E6924" t="s">
        <v>6536</v>
      </c>
    </row>
    <row r="6925" spans="5:5" x14ac:dyDescent="0.25">
      <c r="E6925" t="s">
        <v>6537</v>
      </c>
    </row>
    <row r="6926" spans="5:5" x14ac:dyDescent="0.25">
      <c r="E6926" t="s">
        <v>6538</v>
      </c>
    </row>
    <row r="6927" spans="5:5" x14ac:dyDescent="0.25">
      <c r="E6927" t="s">
        <v>6539</v>
      </c>
    </row>
    <row r="6928" spans="5:5" x14ac:dyDescent="0.25">
      <c r="E6928" t="s">
        <v>6540</v>
      </c>
    </row>
    <row r="6929" spans="5:5" x14ac:dyDescent="0.25">
      <c r="E6929" t="s">
        <v>6541</v>
      </c>
    </row>
    <row r="6930" spans="5:5" x14ac:dyDescent="0.25">
      <c r="E6930" t="s">
        <v>6542</v>
      </c>
    </row>
    <row r="6931" spans="5:5" x14ac:dyDescent="0.25">
      <c r="E6931" t="s">
        <v>6543</v>
      </c>
    </row>
    <row r="6932" spans="5:5" x14ac:dyDescent="0.25">
      <c r="E6932" t="s">
        <v>6544</v>
      </c>
    </row>
    <row r="6933" spans="5:5" x14ac:dyDescent="0.25">
      <c r="E6933" t="s">
        <v>6545</v>
      </c>
    </row>
    <row r="6934" spans="5:5" x14ac:dyDescent="0.25">
      <c r="E6934" t="s">
        <v>6546</v>
      </c>
    </row>
    <row r="6935" spans="5:5" x14ac:dyDescent="0.25">
      <c r="E6935" t="s">
        <v>6547</v>
      </c>
    </row>
    <row r="6936" spans="5:5" x14ac:dyDescent="0.25">
      <c r="E6936" t="s">
        <v>6548</v>
      </c>
    </row>
    <row r="6937" spans="5:5" x14ac:dyDescent="0.25">
      <c r="E6937" t="s">
        <v>6549</v>
      </c>
    </row>
    <row r="6938" spans="5:5" x14ac:dyDescent="0.25">
      <c r="E6938" t="s">
        <v>6550</v>
      </c>
    </row>
    <row r="6939" spans="5:5" x14ac:dyDescent="0.25">
      <c r="E6939" t="s">
        <v>6551</v>
      </c>
    </row>
    <row r="6940" spans="5:5" x14ac:dyDescent="0.25">
      <c r="E6940" t="s">
        <v>6552</v>
      </c>
    </row>
    <row r="6941" spans="5:5" x14ac:dyDescent="0.25">
      <c r="E6941" t="s">
        <v>6553</v>
      </c>
    </row>
    <row r="6942" spans="5:5" x14ac:dyDescent="0.25">
      <c r="E6942" t="s">
        <v>6554</v>
      </c>
    </row>
    <row r="6943" spans="5:5" x14ac:dyDescent="0.25">
      <c r="E6943" t="s">
        <v>6555</v>
      </c>
    </row>
    <row r="6944" spans="5:5" x14ac:dyDescent="0.25">
      <c r="E6944" t="s">
        <v>6556</v>
      </c>
    </row>
    <row r="6945" spans="5:5" x14ac:dyDescent="0.25">
      <c r="E6945" t="s">
        <v>6557</v>
      </c>
    </row>
    <row r="6946" spans="5:5" x14ac:dyDescent="0.25">
      <c r="E6946" t="s">
        <v>6558</v>
      </c>
    </row>
    <row r="6947" spans="5:5" x14ac:dyDescent="0.25">
      <c r="E6947" t="s">
        <v>6559</v>
      </c>
    </row>
    <row r="6948" spans="5:5" x14ac:dyDescent="0.25">
      <c r="E6948" t="s">
        <v>6560</v>
      </c>
    </row>
    <row r="6949" spans="5:5" x14ac:dyDescent="0.25">
      <c r="E6949" t="s">
        <v>6561</v>
      </c>
    </row>
    <row r="6950" spans="5:5" x14ac:dyDescent="0.25">
      <c r="E6950" t="s">
        <v>6562</v>
      </c>
    </row>
    <row r="6951" spans="5:5" x14ac:dyDescent="0.25">
      <c r="E6951" t="s">
        <v>6563</v>
      </c>
    </row>
    <row r="6952" spans="5:5" x14ac:dyDescent="0.25">
      <c r="E6952" t="s">
        <v>6564</v>
      </c>
    </row>
    <row r="6953" spans="5:5" x14ac:dyDescent="0.25">
      <c r="E6953" t="s">
        <v>6565</v>
      </c>
    </row>
    <row r="6954" spans="5:5" x14ac:dyDescent="0.25">
      <c r="E6954" t="s">
        <v>6566</v>
      </c>
    </row>
    <row r="6955" spans="5:5" x14ac:dyDescent="0.25">
      <c r="E6955" t="s">
        <v>6567</v>
      </c>
    </row>
    <row r="6956" spans="5:5" x14ac:dyDescent="0.25">
      <c r="E6956" t="s">
        <v>6568</v>
      </c>
    </row>
    <row r="6957" spans="5:5" x14ac:dyDescent="0.25">
      <c r="E6957" t="s">
        <v>6569</v>
      </c>
    </row>
    <row r="6958" spans="5:5" x14ac:dyDescent="0.25">
      <c r="E6958" t="s">
        <v>6570</v>
      </c>
    </row>
    <row r="6959" spans="5:5" x14ac:dyDescent="0.25">
      <c r="E6959" t="s">
        <v>6571</v>
      </c>
    </row>
    <row r="6960" spans="5:5" x14ac:dyDescent="0.25">
      <c r="E6960" t="s">
        <v>6572</v>
      </c>
    </row>
    <row r="6961" spans="5:5" x14ac:dyDescent="0.25">
      <c r="E6961" t="s">
        <v>6573</v>
      </c>
    </row>
    <row r="6962" spans="5:5" x14ac:dyDescent="0.25">
      <c r="E6962" t="s">
        <v>6574</v>
      </c>
    </row>
    <row r="6963" spans="5:5" x14ac:dyDescent="0.25">
      <c r="E6963" t="s">
        <v>6575</v>
      </c>
    </row>
    <row r="6964" spans="5:5" x14ac:dyDescent="0.25">
      <c r="E6964" t="s">
        <v>6576</v>
      </c>
    </row>
    <row r="6965" spans="5:5" x14ac:dyDescent="0.25">
      <c r="E6965" t="s">
        <v>6577</v>
      </c>
    </row>
    <row r="6966" spans="5:5" x14ac:dyDescent="0.25">
      <c r="E6966" t="s">
        <v>6578</v>
      </c>
    </row>
    <row r="6967" spans="5:5" x14ac:dyDescent="0.25">
      <c r="E6967" t="s">
        <v>6579</v>
      </c>
    </row>
    <row r="6968" spans="5:5" x14ac:dyDescent="0.25">
      <c r="E6968" t="s">
        <v>6580</v>
      </c>
    </row>
    <row r="6969" spans="5:5" x14ac:dyDescent="0.25">
      <c r="E6969" t="s">
        <v>6581</v>
      </c>
    </row>
    <row r="6970" spans="5:5" x14ac:dyDescent="0.25">
      <c r="E6970" t="s">
        <v>6582</v>
      </c>
    </row>
    <row r="6971" spans="5:5" x14ac:dyDescent="0.25">
      <c r="E6971" t="s">
        <v>6583</v>
      </c>
    </row>
    <row r="6972" spans="5:5" x14ac:dyDescent="0.25">
      <c r="E6972" t="s">
        <v>6584</v>
      </c>
    </row>
    <row r="6973" spans="5:5" x14ac:dyDescent="0.25">
      <c r="E6973" t="s">
        <v>6585</v>
      </c>
    </row>
    <row r="6974" spans="5:5" x14ac:dyDescent="0.25">
      <c r="E6974" t="s">
        <v>6586</v>
      </c>
    </row>
    <row r="6975" spans="5:5" x14ac:dyDescent="0.25">
      <c r="E6975" t="s">
        <v>6587</v>
      </c>
    </row>
    <row r="6976" spans="5:5" x14ac:dyDescent="0.25">
      <c r="E6976" t="s">
        <v>6588</v>
      </c>
    </row>
    <row r="6977" spans="5:5" x14ac:dyDescent="0.25">
      <c r="E6977" t="s">
        <v>6589</v>
      </c>
    </row>
    <row r="6978" spans="5:5" x14ac:dyDescent="0.25">
      <c r="E6978" t="s">
        <v>6590</v>
      </c>
    </row>
    <row r="6979" spans="5:5" x14ac:dyDescent="0.25">
      <c r="E6979" t="s">
        <v>6591</v>
      </c>
    </row>
    <row r="6980" spans="5:5" x14ac:dyDescent="0.25">
      <c r="E6980" t="s">
        <v>6592</v>
      </c>
    </row>
    <row r="6981" spans="5:5" x14ac:dyDescent="0.25">
      <c r="E6981" t="s">
        <v>6593</v>
      </c>
    </row>
    <row r="6982" spans="5:5" x14ac:dyDescent="0.25">
      <c r="E6982" t="s">
        <v>6594</v>
      </c>
    </row>
    <row r="6983" spans="5:5" x14ac:dyDescent="0.25">
      <c r="E6983" t="s">
        <v>6595</v>
      </c>
    </row>
    <row r="6984" spans="5:5" x14ac:dyDescent="0.25">
      <c r="E6984" t="s">
        <v>6596</v>
      </c>
    </row>
    <row r="6985" spans="5:5" x14ac:dyDescent="0.25">
      <c r="E6985" t="s">
        <v>6597</v>
      </c>
    </row>
    <row r="6986" spans="5:5" x14ac:dyDescent="0.25">
      <c r="E6986" t="s">
        <v>6598</v>
      </c>
    </row>
    <row r="6987" spans="5:5" x14ac:dyDescent="0.25">
      <c r="E6987" t="s">
        <v>6599</v>
      </c>
    </row>
    <row r="6988" spans="5:5" x14ac:dyDescent="0.25">
      <c r="E6988" t="s">
        <v>6600</v>
      </c>
    </row>
    <row r="6989" spans="5:5" x14ac:dyDescent="0.25">
      <c r="E6989" t="s">
        <v>6601</v>
      </c>
    </row>
    <row r="6991" spans="5:5" x14ac:dyDescent="0.25">
      <c r="E6991" t="s">
        <v>6602</v>
      </c>
    </row>
    <row r="6992" spans="5:5" x14ac:dyDescent="0.25">
      <c r="E6992" t="s">
        <v>6603</v>
      </c>
    </row>
    <row r="6993" spans="5:5" x14ac:dyDescent="0.25">
      <c r="E6993" t="s">
        <v>6604</v>
      </c>
    </row>
    <row r="6994" spans="5:5" x14ac:dyDescent="0.25">
      <c r="E6994" t="s">
        <v>6605</v>
      </c>
    </row>
    <row r="6995" spans="5:5" x14ac:dyDescent="0.25">
      <c r="E6995" t="s">
        <v>6606</v>
      </c>
    </row>
    <row r="6996" spans="5:5" x14ac:dyDescent="0.25">
      <c r="E6996" t="s">
        <v>6607</v>
      </c>
    </row>
    <row r="6997" spans="5:5" x14ac:dyDescent="0.25">
      <c r="E6997" t="s">
        <v>6608</v>
      </c>
    </row>
    <row r="6998" spans="5:5" x14ac:dyDescent="0.25">
      <c r="E6998" t="s">
        <v>6609</v>
      </c>
    </row>
    <row r="6999" spans="5:5" x14ac:dyDescent="0.25">
      <c r="E6999" t="s">
        <v>6610</v>
      </c>
    </row>
    <row r="7000" spans="5:5" x14ac:dyDescent="0.25">
      <c r="E7000" t="s">
        <v>6611</v>
      </c>
    </row>
    <row r="7002" spans="5:5" x14ac:dyDescent="0.25">
      <c r="E7002" t="s">
        <v>6612</v>
      </c>
    </row>
    <row r="7003" spans="5:5" x14ac:dyDescent="0.25">
      <c r="E7003" t="s">
        <v>6613</v>
      </c>
    </row>
    <row r="7004" spans="5:5" x14ac:dyDescent="0.25">
      <c r="E7004" t="s">
        <v>6614</v>
      </c>
    </row>
    <row r="7005" spans="5:5" x14ac:dyDescent="0.25">
      <c r="E7005" t="s">
        <v>6615</v>
      </c>
    </row>
    <row r="7006" spans="5:5" x14ac:dyDescent="0.25">
      <c r="E7006" t="s">
        <v>6616</v>
      </c>
    </row>
    <row r="7007" spans="5:5" x14ac:dyDescent="0.25">
      <c r="E7007" t="s">
        <v>6617</v>
      </c>
    </row>
    <row r="7008" spans="5:5" x14ac:dyDescent="0.25">
      <c r="E7008" t="s">
        <v>6618</v>
      </c>
    </row>
    <row r="7009" spans="5:5" x14ac:dyDescent="0.25">
      <c r="E7009" t="s">
        <v>6619</v>
      </c>
    </row>
    <row r="7010" spans="5:5" x14ac:dyDescent="0.25">
      <c r="E7010" t="s">
        <v>6620</v>
      </c>
    </row>
    <row r="7011" spans="5:5" x14ac:dyDescent="0.25">
      <c r="E7011" t="s">
        <v>6621</v>
      </c>
    </row>
    <row r="7012" spans="5:5" x14ac:dyDescent="0.25">
      <c r="E7012" t="s">
        <v>6622</v>
      </c>
    </row>
    <row r="7013" spans="5:5" x14ac:dyDescent="0.25">
      <c r="E7013" t="s">
        <v>6623</v>
      </c>
    </row>
    <row r="7014" spans="5:5" x14ac:dyDescent="0.25">
      <c r="E7014" t="s">
        <v>6624</v>
      </c>
    </row>
    <row r="7015" spans="5:5" x14ac:dyDescent="0.25">
      <c r="E7015" t="s">
        <v>6625</v>
      </c>
    </row>
    <row r="7016" spans="5:5" x14ac:dyDescent="0.25">
      <c r="E7016" t="s">
        <v>6626</v>
      </c>
    </row>
    <row r="7017" spans="5:5" x14ac:dyDescent="0.25">
      <c r="E7017" t="s">
        <v>6627</v>
      </c>
    </row>
    <row r="7018" spans="5:5" x14ac:dyDescent="0.25">
      <c r="E7018" t="s">
        <v>6628</v>
      </c>
    </row>
    <row r="7019" spans="5:5" x14ac:dyDescent="0.25">
      <c r="E7019" t="s">
        <v>6629</v>
      </c>
    </row>
    <row r="7020" spans="5:5" x14ac:dyDescent="0.25">
      <c r="E7020" t="s">
        <v>6630</v>
      </c>
    </row>
    <row r="7021" spans="5:5" x14ac:dyDescent="0.25">
      <c r="E7021" t="s">
        <v>6631</v>
      </c>
    </row>
    <row r="7022" spans="5:5" x14ac:dyDescent="0.25">
      <c r="E7022" t="s">
        <v>6632</v>
      </c>
    </row>
    <row r="7023" spans="5:5" x14ac:dyDescent="0.25">
      <c r="E7023" t="s">
        <v>6633</v>
      </c>
    </row>
    <row r="7024" spans="5:5" x14ac:dyDescent="0.25">
      <c r="E7024" t="s">
        <v>6634</v>
      </c>
    </row>
    <row r="7025" spans="5:5" x14ac:dyDescent="0.25">
      <c r="E7025" t="s">
        <v>6635</v>
      </c>
    </row>
    <row r="7026" spans="5:5" x14ac:dyDescent="0.25">
      <c r="E7026" t="s">
        <v>6636</v>
      </c>
    </row>
    <row r="7027" spans="5:5" x14ac:dyDescent="0.25">
      <c r="E7027" t="s">
        <v>6637</v>
      </c>
    </row>
    <row r="7028" spans="5:5" x14ac:dyDescent="0.25">
      <c r="E7028" t="s">
        <v>6638</v>
      </c>
    </row>
    <row r="7029" spans="5:5" x14ac:dyDescent="0.25">
      <c r="E7029" t="s">
        <v>6639</v>
      </c>
    </row>
    <row r="7030" spans="5:5" x14ac:dyDescent="0.25">
      <c r="E7030" t="s">
        <v>6640</v>
      </c>
    </row>
    <row r="7031" spans="5:5" x14ac:dyDescent="0.25">
      <c r="E7031" t="s">
        <v>6641</v>
      </c>
    </row>
    <row r="7032" spans="5:5" x14ac:dyDescent="0.25">
      <c r="E7032" t="s">
        <v>6642</v>
      </c>
    </row>
    <row r="7033" spans="5:5" x14ac:dyDescent="0.25">
      <c r="E7033" t="s">
        <v>6643</v>
      </c>
    </row>
    <row r="7034" spans="5:5" x14ac:dyDescent="0.25">
      <c r="E7034" t="s">
        <v>6644</v>
      </c>
    </row>
    <row r="7035" spans="5:5" x14ac:dyDescent="0.25">
      <c r="E7035" t="s">
        <v>6645</v>
      </c>
    </row>
    <row r="7036" spans="5:5" x14ac:dyDescent="0.25">
      <c r="E7036" t="s">
        <v>6646</v>
      </c>
    </row>
    <row r="7037" spans="5:5" x14ac:dyDescent="0.25">
      <c r="E7037" t="s">
        <v>6647</v>
      </c>
    </row>
    <row r="7038" spans="5:5" x14ac:dyDescent="0.25">
      <c r="E7038" t="s">
        <v>6648</v>
      </c>
    </row>
    <row r="7039" spans="5:5" x14ac:dyDescent="0.25">
      <c r="E7039" t="s">
        <v>6649</v>
      </c>
    </row>
    <row r="7040" spans="5:5" x14ac:dyDescent="0.25">
      <c r="E7040" t="s">
        <v>6650</v>
      </c>
    </row>
    <row r="7041" spans="5:5" x14ac:dyDescent="0.25">
      <c r="E7041" t="s">
        <v>6651</v>
      </c>
    </row>
    <row r="7042" spans="5:5" x14ac:dyDescent="0.25">
      <c r="E7042" t="s">
        <v>6652</v>
      </c>
    </row>
    <row r="7043" spans="5:5" x14ac:dyDescent="0.25">
      <c r="E7043" t="s">
        <v>6653</v>
      </c>
    </row>
    <row r="7044" spans="5:5" x14ac:dyDescent="0.25">
      <c r="E7044" t="s">
        <v>6654</v>
      </c>
    </row>
    <row r="7046" spans="5:5" x14ac:dyDescent="0.25">
      <c r="E7046" t="s">
        <v>6655</v>
      </c>
    </row>
    <row r="7047" spans="5:5" x14ac:dyDescent="0.25">
      <c r="E7047" t="s">
        <v>6656</v>
      </c>
    </row>
    <row r="7048" spans="5:5" x14ac:dyDescent="0.25">
      <c r="E7048" t="s">
        <v>6657</v>
      </c>
    </row>
    <row r="7049" spans="5:5" x14ac:dyDescent="0.25">
      <c r="E7049" t="s">
        <v>6658</v>
      </c>
    </row>
    <row r="7050" spans="5:5" x14ac:dyDescent="0.25">
      <c r="E7050" t="s">
        <v>6659</v>
      </c>
    </row>
    <row r="7051" spans="5:5" x14ac:dyDescent="0.25">
      <c r="E7051" t="s">
        <v>6660</v>
      </c>
    </row>
    <row r="7052" spans="5:5" x14ac:dyDescent="0.25">
      <c r="E7052" t="s">
        <v>6661</v>
      </c>
    </row>
    <row r="7053" spans="5:5" x14ac:dyDescent="0.25">
      <c r="E7053" t="s">
        <v>6662</v>
      </c>
    </row>
    <row r="7055" spans="5:5" x14ac:dyDescent="0.25">
      <c r="E7055" t="s">
        <v>6663</v>
      </c>
    </row>
    <row r="7056" spans="5:5" x14ac:dyDescent="0.25">
      <c r="E7056" t="s">
        <v>6664</v>
      </c>
    </row>
    <row r="7057" spans="5:5" x14ac:dyDescent="0.25">
      <c r="E7057" t="s">
        <v>6665</v>
      </c>
    </row>
    <row r="7058" spans="5:5" x14ac:dyDescent="0.25">
      <c r="E7058" t="s">
        <v>6666</v>
      </c>
    </row>
    <row r="7059" spans="5:5" x14ac:dyDescent="0.25">
      <c r="E7059" t="s">
        <v>6667</v>
      </c>
    </row>
    <row r="7060" spans="5:5" x14ac:dyDescent="0.25">
      <c r="E7060" t="s">
        <v>6668</v>
      </c>
    </row>
    <row r="7061" spans="5:5" x14ac:dyDescent="0.25">
      <c r="E7061" t="s">
        <v>6669</v>
      </c>
    </row>
    <row r="7062" spans="5:5" x14ac:dyDescent="0.25">
      <c r="E7062" t="s">
        <v>6670</v>
      </c>
    </row>
    <row r="7063" spans="5:5" x14ac:dyDescent="0.25">
      <c r="E7063" t="s">
        <v>6671</v>
      </c>
    </row>
    <row r="7064" spans="5:5" x14ac:dyDescent="0.25">
      <c r="E7064" t="s">
        <v>6672</v>
      </c>
    </row>
    <row r="7065" spans="5:5" x14ac:dyDescent="0.25">
      <c r="E7065" t="s">
        <v>6673</v>
      </c>
    </row>
    <row r="7066" spans="5:5" x14ac:dyDescent="0.25">
      <c r="E7066" t="s">
        <v>6674</v>
      </c>
    </row>
    <row r="7067" spans="5:5" x14ac:dyDescent="0.25">
      <c r="E7067" t="s">
        <v>6675</v>
      </c>
    </row>
    <row r="7068" spans="5:5" x14ac:dyDescent="0.25">
      <c r="E7068" t="s">
        <v>6676</v>
      </c>
    </row>
    <row r="7069" spans="5:5" x14ac:dyDescent="0.25">
      <c r="E7069" t="s">
        <v>6677</v>
      </c>
    </row>
    <row r="7070" spans="5:5" x14ac:dyDescent="0.25">
      <c r="E7070" t="s">
        <v>6678</v>
      </c>
    </row>
    <row r="7071" spans="5:5" x14ac:dyDescent="0.25">
      <c r="E7071" t="s">
        <v>6679</v>
      </c>
    </row>
    <row r="7072" spans="5:5" x14ac:dyDescent="0.25">
      <c r="E7072" t="s">
        <v>6680</v>
      </c>
    </row>
    <row r="7073" spans="5:5" x14ac:dyDescent="0.25">
      <c r="E7073" t="s">
        <v>6681</v>
      </c>
    </row>
    <row r="7074" spans="5:5" x14ac:dyDescent="0.25">
      <c r="E7074" t="s">
        <v>6682</v>
      </c>
    </row>
    <row r="7075" spans="5:5" x14ac:dyDescent="0.25">
      <c r="E7075" t="s">
        <v>6683</v>
      </c>
    </row>
    <row r="7076" spans="5:5" x14ac:dyDescent="0.25">
      <c r="E7076" t="s">
        <v>6684</v>
      </c>
    </row>
    <row r="7077" spans="5:5" x14ac:dyDescent="0.25">
      <c r="E7077" t="s">
        <v>6685</v>
      </c>
    </row>
    <row r="7078" spans="5:5" x14ac:dyDescent="0.25">
      <c r="E7078" t="s">
        <v>6686</v>
      </c>
    </row>
    <row r="7079" spans="5:5" x14ac:dyDescent="0.25">
      <c r="E7079" t="s">
        <v>6687</v>
      </c>
    </row>
    <row r="7080" spans="5:5" x14ac:dyDescent="0.25">
      <c r="E7080" t="s">
        <v>6688</v>
      </c>
    </row>
    <row r="7081" spans="5:5" x14ac:dyDescent="0.25">
      <c r="E7081" t="s">
        <v>6689</v>
      </c>
    </row>
    <row r="7082" spans="5:5" x14ac:dyDescent="0.25">
      <c r="E7082" t="s">
        <v>6690</v>
      </c>
    </row>
    <row r="7083" spans="5:5" x14ac:dyDescent="0.25">
      <c r="E7083" t="s">
        <v>6691</v>
      </c>
    </row>
    <row r="7084" spans="5:5" x14ac:dyDescent="0.25">
      <c r="E7084" t="s">
        <v>6692</v>
      </c>
    </row>
    <row r="7085" spans="5:5" x14ac:dyDescent="0.25">
      <c r="E7085" t="s">
        <v>6693</v>
      </c>
    </row>
    <row r="7086" spans="5:5" x14ac:dyDescent="0.25">
      <c r="E7086" t="s">
        <v>6694</v>
      </c>
    </row>
    <row r="7087" spans="5:5" x14ac:dyDescent="0.25">
      <c r="E7087" t="s">
        <v>6695</v>
      </c>
    </row>
    <row r="7088" spans="5:5" x14ac:dyDescent="0.25">
      <c r="E7088" t="s">
        <v>6696</v>
      </c>
    </row>
    <row r="7089" spans="5:5" x14ac:dyDescent="0.25">
      <c r="E7089" t="s">
        <v>6697</v>
      </c>
    </row>
    <row r="7090" spans="5:5" x14ac:dyDescent="0.25">
      <c r="E7090" t="s">
        <v>6698</v>
      </c>
    </row>
    <row r="7091" spans="5:5" x14ac:dyDescent="0.25">
      <c r="E7091" t="s">
        <v>6699</v>
      </c>
    </row>
    <row r="7092" spans="5:5" x14ac:dyDescent="0.25">
      <c r="E7092" t="s">
        <v>6700</v>
      </c>
    </row>
    <row r="7093" spans="5:5" x14ac:dyDescent="0.25">
      <c r="E7093" t="s">
        <v>6701</v>
      </c>
    </row>
    <row r="7094" spans="5:5" x14ac:dyDescent="0.25">
      <c r="E7094" t="s">
        <v>6702</v>
      </c>
    </row>
    <row r="7095" spans="5:5" x14ac:dyDescent="0.25">
      <c r="E7095" t="s">
        <v>6703</v>
      </c>
    </row>
    <row r="7096" spans="5:5" x14ac:dyDescent="0.25">
      <c r="E7096" t="s">
        <v>6704</v>
      </c>
    </row>
    <row r="7097" spans="5:5" x14ac:dyDescent="0.25">
      <c r="E7097" t="s">
        <v>6705</v>
      </c>
    </row>
    <row r="7098" spans="5:5" x14ac:dyDescent="0.25">
      <c r="E7098" t="s">
        <v>6706</v>
      </c>
    </row>
    <row r="7099" spans="5:5" x14ac:dyDescent="0.25">
      <c r="E7099" t="s">
        <v>6707</v>
      </c>
    </row>
    <row r="7100" spans="5:5" x14ac:dyDescent="0.25">
      <c r="E7100" t="s">
        <v>6708</v>
      </c>
    </row>
    <row r="7101" spans="5:5" x14ac:dyDescent="0.25">
      <c r="E7101" t="s">
        <v>6709</v>
      </c>
    </row>
    <row r="7102" spans="5:5" x14ac:dyDescent="0.25">
      <c r="E7102" t="s">
        <v>6710</v>
      </c>
    </row>
    <row r="7103" spans="5:5" x14ac:dyDescent="0.25">
      <c r="E7103" t="s">
        <v>6711</v>
      </c>
    </row>
    <row r="7104" spans="5:5" x14ac:dyDescent="0.25">
      <c r="E7104" t="s">
        <v>6712</v>
      </c>
    </row>
    <row r="7105" spans="5:5" x14ac:dyDescent="0.25">
      <c r="E7105" t="s">
        <v>6713</v>
      </c>
    </row>
    <row r="7106" spans="5:5" x14ac:dyDescent="0.25">
      <c r="E7106" t="s">
        <v>6714</v>
      </c>
    </row>
    <row r="7107" spans="5:5" x14ac:dyDescent="0.25">
      <c r="E7107" t="s">
        <v>6715</v>
      </c>
    </row>
    <row r="7108" spans="5:5" x14ac:dyDescent="0.25">
      <c r="E7108" t="s">
        <v>6716</v>
      </c>
    </row>
    <row r="7109" spans="5:5" x14ac:dyDescent="0.25">
      <c r="E7109" t="s">
        <v>6717</v>
      </c>
    </row>
    <row r="7110" spans="5:5" x14ac:dyDescent="0.25">
      <c r="E7110" t="s">
        <v>6718</v>
      </c>
    </row>
    <row r="7111" spans="5:5" x14ac:dyDescent="0.25">
      <c r="E7111" t="s">
        <v>6719</v>
      </c>
    </row>
    <row r="7112" spans="5:5" x14ac:dyDescent="0.25">
      <c r="E7112" t="s">
        <v>6720</v>
      </c>
    </row>
    <row r="7113" spans="5:5" x14ac:dyDescent="0.25">
      <c r="E7113" t="s">
        <v>6721</v>
      </c>
    </row>
    <row r="7114" spans="5:5" x14ac:dyDescent="0.25">
      <c r="E7114" t="s">
        <v>6722</v>
      </c>
    </row>
    <row r="7115" spans="5:5" x14ac:dyDescent="0.25">
      <c r="E7115" t="s">
        <v>6723</v>
      </c>
    </row>
    <row r="7116" spans="5:5" x14ac:dyDescent="0.25">
      <c r="E7116" t="s">
        <v>6724</v>
      </c>
    </row>
    <row r="7118" spans="5:5" x14ac:dyDescent="0.25">
      <c r="E7118" t="s">
        <v>6725</v>
      </c>
    </row>
    <row r="7119" spans="5:5" x14ac:dyDescent="0.25">
      <c r="E7119" t="s">
        <v>6726</v>
      </c>
    </row>
    <row r="7120" spans="5:5" x14ac:dyDescent="0.25">
      <c r="E7120" t="s">
        <v>6727</v>
      </c>
    </row>
    <row r="7121" spans="5:5" x14ac:dyDescent="0.25">
      <c r="E7121" t="s">
        <v>6728</v>
      </c>
    </row>
    <row r="7122" spans="5:5" x14ac:dyDescent="0.25">
      <c r="E7122" t="s">
        <v>6729</v>
      </c>
    </row>
    <row r="7124" spans="5:5" x14ac:dyDescent="0.25">
      <c r="E7124" t="s">
        <v>6730</v>
      </c>
    </row>
    <row r="7125" spans="5:5" x14ac:dyDescent="0.25">
      <c r="E7125" t="s">
        <v>6731</v>
      </c>
    </row>
    <row r="7126" spans="5:5" x14ac:dyDescent="0.25">
      <c r="E7126" t="s">
        <v>6732</v>
      </c>
    </row>
    <row r="7127" spans="5:5" x14ac:dyDescent="0.25">
      <c r="E7127" t="s">
        <v>6733</v>
      </c>
    </row>
    <row r="7128" spans="5:5" x14ac:dyDescent="0.25">
      <c r="E7128" t="s">
        <v>6734</v>
      </c>
    </row>
    <row r="7129" spans="5:5" x14ac:dyDescent="0.25">
      <c r="E7129" t="s">
        <v>6735</v>
      </c>
    </row>
    <row r="7130" spans="5:5" x14ac:dyDescent="0.25">
      <c r="E7130" t="s">
        <v>6736</v>
      </c>
    </row>
    <row r="7132" spans="5:5" x14ac:dyDescent="0.25">
      <c r="E7132" t="s">
        <v>6737</v>
      </c>
    </row>
    <row r="7133" spans="5:5" x14ac:dyDescent="0.25">
      <c r="E7133" t="s">
        <v>6738</v>
      </c>
    </row>
    <row r="7134" spans="5:5" x14ac:dyDescent="0.25">
      <c r="E7134" t="s">
        <v>6739</v>
      </c>
    </row>
    <row r="7135" spans="5:5" x14ac:dyDescent="0.25">
      <c r="E7135" t="s">
        <v>6740</v>
      </c>
    </row>
    <row r="7136" spans="5:5" x14ac:dyDescent="0.25">
      <c r="E7136" t="s">
        <v>6741</v>
      </c>
    </row>
    <row r="7137" spans="5:5" x14ac:dyDescent="0.25">
      <c r="E7137" t="s">
        <v>6742</v>
      </c>
    </row>
    <row r="7138" spans="5:5" x14ac:dyDescent="0.25">
      <c r="E7138" t="s">
        <v>6743</v>
      </c>
    </row>
    <row r="7139" spans="5:5" x14ac:dyDescent="0.25">
      <c r="E7139" t="s">
        <v>6744</v>
      </c>
    </row>
    <row r="7140" spans="5:5" x14ac:dyDescent="0.25">
      <c r="E7140" t="s">
        <v>6745</v>
      </c>
    </row>
    <row r="7141" spans="5:5" x14ac:dyDescent="0.25">
      <c r="E7141" t="s">
        <v>6746</v>
      </c>
    </row>
    <row r="7142" spans="5:5" x14ac:dyDescent="0.25">
      <c r="E7142" t="s">
        <v>6747</v>
      </c>
    </row>
    <row r="7143" spans="5:5" x14ac:dyDescent="0.25">
      <c r="E7143" t="s">
        <v>6748</v>
      </c>
    </row>
    <row r="7144" spans="5:5" x14ac:dyDescent="0.25">
      <c r="E7144" t="s">
        <v>6749</v>
      </c>
    </row>
    <row r="7145" spans="5:5" x14ac:dyDescent="0.25">
      <c r="E7145" t="s">
        <v>6750</v>
      </c>
    </row>
    <row r="7146" spans="5:5" x14ac:dyDescent="0.25">
      <c r="E7146" t="s">
        <v>6751</v>
      </c>
    </row>
    <row r="7147" spans="5:5" x14ac:dyDescent="0.25">
      <c r="E7147" t="s">
        <v>6752</v>
      </c>
    </row>
    <row r="7148" spans="5:5" x14ac:dyDescent="0.25">
      <c r="E7148" t="s">
        <v>6753</v>
      </c>
    </row>
    <row r="7149" spans="5:5" x14ac:dyDescent="0.25">
      <c r="E7149" t="s">
        <v>6754</v>
      </c>
    </row>
    <row r="7150" spans="5:5" x14ac:dyDescent="0.25">
      <c r="E7150" t="s">
        <v>6755</v>
      </c>
    </row>
    <row r="7151" spans="5:5" x14ac:dyDescent="0.25">
      <c r="E7151" t="s">
        <v>6756</v>
      </c>
    </row>
    <row r="7152" spans="5:5" x14ac:dyDescent="0.25">
      <c r="E7152" t="s">
        <v>6757</v>
      </c>
    </row>
    <row r="7153" spans="5:5" x14ac:dyDescent="0.25">
      <c r="E7153" t="s">
        <v>6758</v>
      </c>
    </row>
    <row r="7154" spans="5:5" x14ac:dyDescent="0.25">
      <c r="E7154" t="s">
        <v>6759</v>
      </c>
    </row>
    <row r="7155" spans="5:5" x14ac:dyDescent="0.25">
      <c r="E7155" t="s">
        <v>6760</v>
      </c>
    </row>
    <row r="7156" spans="5:5" x14ac:dyDescent="0.25">
      <c r="E7156" t="s">
        <v>6761</v>
      </c>
    </row>
    <row r="7157" spans="5:5" x14ac:dyDescent="0.25">
      <c r="E7157" t="s">
        <v>6762</v>
      </c>
    </row>
    <row r="7158" spans="5:5" x14ac:dyDescent="0.25">
      <c r="E7158" t="s">
        <v>6763</v>
      </c>
    </row>
    <row r="7159" spans="5:5" x14ac:dyDescent="0.25">
      <c r="E7159" t="s">
        <v>6764</v>
      </c>
    </row>
    <row r="7160" spans="5:5" x14ac:dyDescent="0.25">
      <c r="E7160" t="s">
        <v>6765</v>
      </c>
    </row>
    <row r="7161" spans="5:5" x14ac:dyDescent="0.25">
      <c r="E7161" t="s">
        <v>6766</v>
      </c>
    </row>
    <row r="7162" spans="5:5" x14ac:dyDescent="0.25">
      <c r="E7162" t="s">
        <v>6767</v>
      </c>
    </row>
    <row r="7163" spans="5:5" x14ac:dyDescent="0.25">
      <c r="E7163" t="s">
        <v>6768</v>
      </c>
    </row>
    <row r="7164" spans="5:5" x14ac:dyDescent="0.25">
      <c r="E7164" t="s">
        <v>6769</v>
      </c>
    </row>
    <row r="7165" spans="5:5" x14ac:dyDescent="0.25">
      <c r="E7165" t="s">
        <v>6770</v>
      </c>
    </row>
    <row r="7166" spans="5:5" x14ac:dyDescent="0.25">
      <c r="E7166" t="s">
        <v>6771</v>
      </c>
    </row>
    <row r="7167" spans="5:5" x14ac:dyDescent="0.25">
      <c r="E7167" t="s">
        <v>6772</v>
      </c>
    </row>
    <row r="7168" spans="5:5" x14ac:dyDescent="0.25">
      <c r="E7168" t="s">
        <v>6773</v>
      </c>
    </row>
    <row r="7169" spans="5:5" x14ac:dyDescent="0.25">
      <c r="E7169" t="s">
        <v>6774</v>
      </c>
    </row>
    <row r="7170" spans="5:5" x14ac:dyDescent="0.25">
      <c r="E7170" t="s">
        <v>6775</v>
      </c>
    </row>
    <row r="7171" spans="5:5" x14ac:dyDescent="0.25">
      <c r="E7171" t="s">
        <v>6776</v>
      </c>
    </row>
    <row r="7172" spans="5:5" x14ac:dyDescent="0.25">
      <c r="E7172" t="s">
        <v>6777</v>
      </c>
    </row>
    <row r="7173" spans="5:5" x14ac:dyDescent="0.25">
      <c r="E7173" t="s">
        <v>6778</v>
      </c>
    </row>
    <row r="7174" spans="5:5" x14ac:dyDescent="0.25">
      <c r="E7174" t="s">
        <v>6779</v>
      </c>
    </row>
    <row r="7175" spans="5:5" x14ac:dyDescent="0.25">
      <c r="E7175" t="s">
        <v>6780</v>
      </c>
    </row>
    <row r="7176" spans="5:5" x14ac:dyDescent="0.25">
      <c r="E7176" t="s">
        <v>6781</v>
      </c>
    </row>
    <row r="7177" spans="5:5" x14ac:dyDescent="0.25">
      <c r="E7177" t="s">
        <v>6782</v>
      </c>
    </row>
    <row r="7178" spans="5:5" x14ac:dyDescent="0.25">
      <c r="E7178" t="s">
        <v>6783</v>
      </c>
    </row>
    <row r="7179" spans="5:5" x14ac:dyDescent="0.25">
      <c r="E7179" t="s">
        <v>6784</v>
      </c>
    </row>
    <row r="7180" spans="5:5" x14ac:dyDescent="0.25">
      <c r="E7180" t="s">
        <v>6785</v>
      </c>
    </row>
    <row r="7181" spans="5:5" x14ac:dyDescent="0.25">
      <c r="E7181" t="s">
        <v>6786</v>
      </c>
    </row>
    <row r="7182" spans="5:5" x14ac:dyDescent="0.25">
      <c r="E7182" t="s">
        <v>6787</v>
      </c>
    </row>
    <row r="7183" spans="5:5" x14ac:dyDescent="0.25">
      <c r="E7183" t="s">
        <v>6788</v>
      </c>
    </row>
    <row r="7184" spans="5:5" x14ac:dyDescent="0.25">
      <c r="E7184" t="s">
        <v>6789</v>
      </c>
    </row>
    <row r="7185" spans="5:5" x14ac:dyDescent="0.25">
      <c r="E7185" t="s">
        <v>6790</v>
      </c>
    </row>
    <row r="7186" spans="5:5" x14ac:dyDescent="0.25">
      <c r="E7186" t="s">
        <v>6791</v>
      </c>
    </row>
    <row r="7187" spans="5:5" x14ac:dyDescent="0.25">
      <c r="E7187" t="s">
        <v>6792</v>
      </c>
    </row>
    <row r="7188" spans="5:5" x14ac:dyDescent="0.25">
      <c r="E7188" t="s">
        <v>6793</v>
      </c>
    </row>
    <row r="7189" spans="5:5" x14ac:dyDescent="0.25">
      <c r="E7189" t="s">
        <v>6794</v>
      </c>
    </row>
    <row r="7190" spans="5:5" x14ac:dyDescent="0.25">
      <c r="E7190" t="s">
        <v>6795</v>
      </c>
    </row>
    <row r="7191" spans="5:5" x14ac:dyDescent="0.25">
      <c r="E7191" t="s">
        <v>6796</v>
      </c>
    </row>
    <row r="7192" spans="5:5" x14ac:dyDescent="0.25">
      <c r="E7192" t="s">
        <v>6797</v>
      </c>
    </row>
    <row r="7193" spans="5:5" x14ac:dyDescent="0.25">
      <c r="E7193" t="s">
        <v>6798</v>
      </c>
    </row>
    <row r="7194" spans="5:5" x14ac:dyDescent="0.25">
      <c r="E7194" t="s">
        <v>6799</v>
      </c>
    </row>
    <row r="7195" spans="5:5" x14ac:dyDescent="0.25">
      <c r="E7195" t="s">
        <v>6800</v>
      </c>
    </row>
    <row r="7196" spans="5:5" x14ac:dyDescent="0.25">
      <c r="E7196" t="s">
        <v>6801</v>
      </c>
    </row>
    <row r="7197" spans="5:5" x14ac:dyDescent="0.25">
      <c r="E7197" t="s">
        <v>6802</v>
      </c>
    </row>
    <row r="7198" spans="5:5" x14ac:dyDescent="0.25">
      <c r="E7198" t="s">
        <v>6803</v>
      </c>
    </row>
    <row r="7199" spans="5:5" x14ac:dyDescent="0.25">
      <c r="E7199" t="s">
        <v>6804</v>
      </c>
    </row>
    <row r="7200" spans="5:5" x14ac:dyDescent="0.25">
      <c r="E7200" t="s">
        <v>6805</v>
      </c>
    </row>
    <row r="7201" spans="5:5" x14ac:dyDescent="0.25">
      <c r="E7201" t="s">
        <v>6806</v>
      </c>
    </row>
    <row r="7202" spans="5:5" x14ac:dyDescent="0.25">
      <c r="E7202" t="s">
        <v>6807</v>
      </c>
    </row>
    <row r="7203" spans="5:5" x14ac:dyDescent="0.25">
      <c r="E7203" t="s">
        <v>6808</v>
      </c>
    </row>
    <row r="7204" spans="5:5" x14ac:dyDescent="0.25">
      <c r="E7204" t="s">
        <v>6809</v>
      </c>
    </row>
    <row r="7205" spans="5:5" x14ac:dyDescent="0.25">
      <c r="E7205" t="s">
        <v>6810</v>
      </c>
    </row>
    <row r="7206" spans="5:5" x14ac:dyDescent="0.25">
      <c r="E7206" t="s">
        <v>6811</v>
      </c>
    </row>
    <row r="7207" spans="5:5" x14ac:dyDescent="0.25">
      <c r="E7207" t="s">
        <v>6812</v>
      </c>
    </row>
    <row r="7208" spans="5:5" x14ac:dyDescent="0.25">
      <c r="E7208" t="s">
        <v>6813</v>
      </c>
    </row>
    <row r="7209" spans="5:5" x14ac:dyDescent="0.25">
      <c r="E7209" t="s">
        <v>6814</v>
      </c>
    </row>
    <row r="7212" spans="5:5" x14ac:dyDescent="0.25">
      <c r="E7212" t="s">
        <v>6815</v>
      </c>
    </row>
    <row r="7213" spans="5:5" x14ac:dyDescent="0.25">
      <c r="E7213" t="s">
        <v>6816</v>
      </c>
    </row>
    <row r="7214" spans="5:5" x14ac:dyDescent="0.25">
      <c r="E7214" t="s">
        <v>6817</v>
      </c>
    </row>
    <row r="7215" spans="5:5" x14ac:dyDescent="0.25">
      <c r="E7215" t="s">
        <v>6818</v>
      </c>
    </row>
    <row r="7216" spans="5:5" x14ac:dyDescent="0.25">
      <c r="E7216" t="s">
        <v>6819</v>
      </c>
    </row>
    <row r="7217" spans="5:5" x14ac:dyDescent="0.25">
      <c r="E7217" t="s">
        <v>6820</v>
      </c>
    </row>
    <row r="7218" spans="5:5" x14ac:dyDescent="0.25">
      <c r="E7218" t="s">
        <v>6821</v>
      </c>
    </row>
    <row r="7219" spans="5:5" x14ac:dyDescent="0.25">
      <c r="E7219" t="s">
        <v>6822</v>
      </c>
    </row>
    <row r="7220" spans="5:5" x14ac:dyDescent="0.25">
      <c r="E7220" t="s">
        <v>6823</v>
      </c>
    </row>
    <row r="7221" spans="5:5" x14ac:dyDescent="0.25">
      <c r="E7221" t="s">
        <v>6824</v>
      </c>
    </row>
    <row r="7222" spans="5:5" x14ac:dyDescent="0.25">
      <c r="E7222" t="s">
        <v>6825</v>
      </c>
    </row>
    <row r="7223" spans="5:5" x14ac:dyDescent="0.25">
      <c r="E7223" t="s">
        <v>6826</v>
      </c>
    </row>
    <row r="7224" spans="5:5" x14ac:dyDescent="0.25">
      <c r="E7224" t="s">
        <v>6827</v>
      </c>
    </row>
    <row r="7225" spans="5:5" x14ac:dyDescent="0.25">
      <c r="E7225" t="s">
        <v>6828</v>
      </c>
    </row>
    <row r="7226" spans="5:5" x14ac:dyDescent="0.25">
      <c r="E7226" t="s">
        <v>6829</v>
      </c>
    </row>
    <row r="7227" spans="5:5" x14ac:dyDescent="0.25">
      <c r="E7227" t="s">
        <v>6830</v>
      </c>
    </row>
    <row r="7228" spans="5:5" x14ac:dyDescent="0.25">
      <c r="E7228" t="s">
        <v>6831</v>
      </c>
    </row>
    <row r="7229" spans="5:5" x14ac:dyDescent="0.25">
      <c r="E7229" t="s">
        <v>6832</v>
      </c>
    </row>
    <row r="7230" spans="5:5" x14ac:dyDescent="0.25">
      <c r="E7230" t="s">
        <v>6833</v>
      </c>
    </row>
    <row r="7231" spans="5:5" x14ac:dyDescent="0.25">
      <c r="E7231" t="s">
        <v>6834</v>
      </c>
    </row>
    <row r="7232" spans="5:5" x14ac:dyDescent="0.25">
      <c r="E7232" t="s">
        <v>6835</v>
      </c>
    </row>
    <row r="7233" spans="5:5" x14ac:dyDescent="0.25">
      <c r="E7233" t="s">
        <v>6836</v>
      </c>
    </row>
    <row r="7234" spans="5:5" x14ac:dyDescent="0.25">
      <c r="E7234" t="s">
        <v>6837</v>
      </c>
    </row>
    <row r="7235" spans="5:5" x14ac:dyDescent="0.25">
      <c r="E7235" t="s">
        <v>6838</v>
      </c>
    </row>
    <row r="7236" spans="5:5" x14ac:dyDescent="0.25">
      <c r="E7236" t="s">
        <v>6839</v>
      </c>
    </row>
    <row r="7237" spans="5:5" x14ac:dyDescent="0.25">
      <c r="E7237" t="s">
        <v>6840</v>
      </c>
    </row>
    <row r="7238" spans="5:5" x14ac:dyDescent="0.25">
      <c r="E7238" t="s">
        <v>6841</v>
      </c>
    </row>
    <row r="7241" spans="5:5" x14ac:dyDescent="0.25">
      <c r="E7241" t="s">
        <v>6842</v>
      </c>
    </row>
    <row r="7242" spans="5:5" x14ac:dyDescent="0.25">
      <c r="E7242" t="s">
        <v>6843</v>
      </c>
    </row>
    <row r="7243" spans="5:5" x14ac:dyDescent="0.25">
      <c r="E7243" t="s">
        <v>6844</v>
      </c>
    </row>
    <row r="7244" spans="5:5" x14ac:dyDescent="0.25">
      <c r="E7244" t="s">
        <v>6845</v>
      </c>
    </row>
    <row r="7245" spans="5:5" x14ac:dyDescent="0.25">
      <c r="E7245" t="s">
        <v>6846</v>
      </c>
    </row>
    <row r="7246" spans="5:5" x14ac:dyDescent="0.25">
      <c r="E7246" t="s">
        <v>6847</v>
      </c>
    </row>
    <row r="7247" spans="5:5" x14ac:dyDescent="0.25">
      <c r="E7247" t="s">
        <v>6848</v>
      </c>
    </row>
    <row r="7248" spans="5:5" x14ac:dyDescent="0.25">
      <c r="E7248" t="s">
        <v>6849</v>
      </c>
    </row>
    <row r="7249" spans="5:5" x14ac:dyDescent="0.25">
      <c r="E7249" t="s">
        <v>6850</v>
      </c>
    </row>
    <row r="7250" spans="5:5" x14ac:dyDescent="0.25">
      <c r="E7250" t="s">
        <v>6851</v>
      </c>
    </row>
    <row r="7251" spans="5:5" x14ac:dyDescent="0.25">
      <c r="E7251" t="s">
        <v>6852</v>
      </c>
    </row>
    <row r="7252" spans="5:5" x14ac:dyDescent="0.25">
      <c r="E7252" t="s">
        <v>6853</v>
      </c>
    </row>
    <row r="7253" spans="5:5" x14ac:dyDescent="0.25">
      <c r="E7253" t="s">
        <v>6854</v>
      </c>
    </row>
    <row r="7254" spans="5:5" x14ac:dyDescent="0.25">
      <c r="E7254" t="s">
        <v>6855</v>
      </c>
    </row>
    <row r="7255" spans="5:5" x14ac:dyDescent="0.25">
      <c r="E7255" t="s">
        <v>6856</v>
      </c>
    </row>
    <row r="7256" spans="5:5" x14ac:dyDescent="0.25">
      <c r="E7256" t="s">
        <v>6857</v>
      </c>
    </row>
    <row r="7257" spans="5:5" x14ac:dyDescent="0.25">
      <c r="E7257" t="s">
        <v>6858</v>
      </c>
    </row>
    <row r="7258" spans="5:5" x14ac:dyDescent="0.25">
      <c r="E7258" t="s">
        <v>6859</v>
      </c>
    </row>
    <row r="7259" spans="5:5" x14ac:dyDescent="0.25">
      <c r="E7259" t="s">
        <v>6860</v>
      </c>
    </row>
    <row r="7260" spans="5:5" x14ac:dyDescent="0.25">
      <c r="E7260" t="s">
        <v>6861</v>
      </c>
    </row>
    <row r="7261" spans="5:5" x14ac:dyDescent="0.25">
      <c r="E7261" t="s">
        <v>6862</v>
      </c>
    </row>
    <row r="7262" spans="5:5" x14ac:dyDescent="0.25">
      <c r="E7262" t="s">
        <v>6863</v>
      </c>
    </row>
    <row r="7263" spans="5:5" x14ac:dyDescent="0.25">
      <c r="E7263" t="s">
        <v>6864</v>
      </c>
    </row>
    <row r="7264" spans="5:5" x14ac:dyDescent="0.25">
      <c r="E7264" t="s">
        <v>6865</v>
      </c>
    </row>
    <row r="7265" spans="5:5" x14ac:dyDescent="0.25">
      <c r="E7265" t="s">
        <v>6866</v>
      </c>
    </row>
    <row r="7266" spans="5:5" x14ac:dyDescent="0.25">
      <c r="E7266" t="s">
        <v>6867</v>
      </c>
    </row>
    <row r="7267" spans="5:5" x14ac:dyDescent="0.25">
      <c r="E7267" t="s">
        <v>6868</v>
      </c>
    </row>
    <row r="7268" spans="5:5" x14ac:dyDescent="0.25">
      <c r="E7268" t="s">
        <v>6869</v>
      </c>
    </row>
    <row r="7269" spans="5:5" x14ac:dyDescent="0.25">
      <c r="E7269" t="s">
        <v>6870</v>
      </c>
    </row>
    <row r="7270" spans="5:5" x14ac:dyDescent="0.25">
      <c r="E7270" t="s">
        <v>6871</v>
      </c>
    </row>
    <row r="7271" spans="5:5" x14ac:dyDescent="0.25">
      <c r="E7271" t="s">
        <v>6872</v>
      </c>
    </row>
    <row r="7272" spans="5:5" x14ac:dyDescent="0.25">
      <c r="E7272" t="s">
        <v>6873</v>
      </c>
    </row>
    <row r="7273" spans="5:5" x14ac:dyDescent="0.25">
      <c r="E7273" t="s">
        <v>6874</v>
      </c>
    </row>
    <row r="7274" spans="5:5" x14ac:dyDescent="0.25">
      <c r="E7274" t="s">
        <v>6875</v>
      </c>
    </row>
    <row r="7275" spans="5:5" x14ac:dyDescent="0.25">
      <c r="E7275" t="s">
        <v>6876</v>
      </c>
    </row>
    <row r="7276" spans="5:5" x14ac:dyDescent="0.25">
      <c r="E7276" t="s">
        <v>6877</v>
      </c>
    </row>
    <row r="7277" spans="5:5" x14ac:dyDescent="0.25">
      <c r="E7277" t="s">
        <v>6878</v>
      </c>
    </row>
    <row r="7278" spans="5:5" x14ac:dyDescent="0.25">
      <c r="E7278" t="s">
        <v>6879</v>
      </c>
    </row>
    <row r="7279" spans="5:5" x14ac:dyDescent="0.25">
      <c r="E7279" t="s">
        <v>6880</v>
      </c>
    </row>
    <row r="7280" spans="5:5" x14ac:dyDescent="0.25">
      <c r="E7280" t="s">
        <v>6881</v>
      </c>
    </row>
    <row r="7281" spans="5:5" x14ac:dyDescent="0.25">
      <c r="E7281" t="s">
        <v>6882</v>
      </c>
    </row>
    <row r="7282" spans="5:5" x14ac:dyDescent="0.25">
      <c r="E7282" t="s">
        <v>6883</v>
      </c>
    </row>
    <row r="7283" spans="5:5" x14ac:dyDescent="0.25">
      <c r="E7283" t="s">
        <v>6884</v>
      </c>
    </row>
    <row r="7284" spans="5:5" x14ac:dyDescent="0.25">
      <c r="E7284" t="s">
        <v>6885</v>
      </c>
    </row>
    <row r="7285" spans="5:5" x14ac:dyDescent="0.25">
      <c r="E7285" t="s">
        <v>6886</v>
      </c>
    </row>
    <row r="7286" spans="5:5" x14ac:dyDescent="0.25">
      <c r="E7286" t="s">
        <v>6887</v>
      </c>
    </row>
    <row r="7287" spans="5:5" x14ac:dyDescent="0.25">
      <c r="E7287" t="s">
        <v>6888</v>
      </c>
    </row>
    <row r="7288" spans="5:5" x14ac:dyDescent="0.25">
      <c r="E7288" t="s">
        <v>6889</v>
      </c>
    </row>
    <row r="7289" spans="5:5" x14ac:dyDescent="0.25">
      <c r="E7289" t="s">
        <v>6890</v>
      </c>
    </row>
    <row r="7290" spans="5:5" x14ac:dyDescent="0.25">
      <c r="E7290" t="s">
        <v>6891</v>
      </c>
    </row>
    <row r="7291" spans="5:5" x14ac:dyDescent="0.25">
      <c r="E7291" t="s">
        <v>6892</v>
      </c>
    </row>
    <row r="7292" spans="5:5" x14ac:dyDescent="0.25">
      <c r="E7292" t="s">
        <v>6893</v>
      </c>
    </row>
    <row r="7293" spans="5:5" x14ac:dyDescent="0.25">
      <c r="E7293" t="s">
        <v>6894</v>
      </c>
    </row>
    <row r="7294" spans="5:5" x14ac:dyDescent="0.25">
      <c r="E7294" t="s">
        <v>6895</v>
      </c>
    </row>
    <row r="7295" spans="5:5" x14ac:dyDescent="0.25">
      <c r="E7295" t="s">
        <v>6896</v>
      </c>
    </row>
    <row r="7297" spans="5:5" x14ac:dyDescent="0.25">
      <c r="E7297" t="s">
        <v>6897</v>
      </c>
    </row>
    <row r="7298" spans="5:5" x14ac:dyDescent="0.25">
      <c r="E7298" t="s">
        <v>6898</v>
      </c>
    </row>
    <row r="7299" spans="5:5" x14ac:dyDescent="0.25">
      <c r="E7299" t="s">
        <v>6899</v>
      </c>
    </row>
    <row r="7300" spans="5:5" x14ac:dyDescent="0.25">
      <c r="E7300" t="s">
        <v>6900</v>
      </c>
    </row>
    <row r="7301" spans="5:5" x14ac:dyDescent="0.25">
      <c r="E7301" t="s">
        <v>6901</v>
      </c>
    </row>
    <row r="7302" spans="5:5" x14ac:dyDescent="0.25">
      <c r="E7302" t="s">
        <v>6902</v>
      </c>
    </row>
    <row r="7303" spans="5:5" x14ac:dyDescent="0.25">
      <c r="E7303" t="s">
        <v>6903</v>
      </c>
    </row>
    <row r="7304" spans="5:5" x14ac:dyDescent="0.25">
      <c r="E7304" t="s">
        <v>6904</v>
      </c>
    </row>
    <row r="7305" spans="5:5" x14ac:dyDescent="0.25">
      <c r="E7305" t="s">
        <v>6905</v>
      </c>
    </row>
    <row r="7306" spans="5:5" x14ac:dyDescent="0.25">
      <c r="E7306" t="s">
        <v>6906</v>
      </c>
    </row>
    <row r="7307" spans="5:5" x14ac:dyDescent="0.25">
      <c r="E7307" t="s">
        <v>6907</v>
      </c>
    </row>
    <row r="7308" spans="5:5" x14ac:dyDescent="0.25">
      <c r="E7308" t="s">
        <v>6908</v>
      </c>
    </row>
    <row r="7309" spans="5:5" x14ac:dyDescent="0.25">
      <c r="E7309" t="s">
        <v>6909</v>
      </c>
    </row>
    <row r="7310" spans="5:5" x14ac:dyDescent="0.25">
      <c r="E7310" t="s">
        <v>6910</v>
      </c>
    </row>
    <row r="7311" spans="5:5" x14ac:dyDescent="0.25">
      <c r="E7311" t="s">
        <v>6911</v>
      </c>
    </row>
    <row r="7312" spans="5:5" x14ac:dyDescent="0.25">
      <c r="E7312" t="s">
        <v>6912</v>
      </c>
    </row>
    <row r="7313" spans="5:5" x14ac:dyDescent="0.25">
      <c r="E7313" t="s">
        <v>6913</v>
      </c>
    </row>
    <row r="7314" spans="5:5" x14ac:dyDescent="0.25">
      <c r="E7314" t="s">
        <v>6914</v>
      </c>
    </row>
    <row r="7315" spans="5:5" x14ac:dyDescent="0.25">
      <c r="E7315" t="s">
        <v>6915</v>
      </c>
    </row>
    <row r="7316" spans="5:5" x14ac:dyDescent="0.25">
      <c r="E7316" t="s">
        <v>6916</v>
      </c>
    </row>
    <row r="7317" spans="5:5" x14ac:dyDescent="0.25">
      <c r="E7317" t="s">
        <v>6917</v>
      </c>
    </row>
    <row r="7318" spans="5:5" x14ac:dyDescent="0.25">
      <c r="E7318" t="s">
        <v>6918</v>
      </c>
    </row>
    <row r="7319" spans="5:5" x14ac:dyDescent="0.25">
      <c r="E7319" t="s">
        <v>6919</v>
      </c>
    </row>
    <row r="7320" spans="5:5" x14ac:dyDescent="0.25">
      <c r="E7320" t="s">
        <v>6920</v>
      </c>
    </row>
    <row r="7321" spans="5:5" x14ac:dyDescent="0.25">
      <c r="E7321" t="s">
        <v>6921</v>
      </c>
    </row>
    <row r="7322" spans="5:5" x14ac:dyDescent="0.25">
      <c r="E7322" t="s">
        <v>6922</v>
      </c>
    </row>
    <row r="7323" spans="5:5" x14ac:dyDescent="0.25">
      <c r="E7323" t="s">
        <v>6923</v>
      </c>
    </row>
    <row r="7324" spans="5:5" x14ac:dyDescent="0.25">
      <c r="E7324" t="s">
        <v>6924</v>
      </c>
    </row>
    <row r="7325" spans="5:5" x14ac:dyDescent="0.25">
      <c r="E7325" t="s">
        <v>6925</v>
      </c>
    </row>
    <row r="7326" spans="5:5" x14ac:dyDescent="0.25">
      <c r="E7326" t="s">
        <v>6926</v>
      </c>
    </row>
    <row r="7330" spans="5:5" x14ac:dyDescent="0.25">
      <c r="E7330" t="s">
        <v>6927</v>
      </c>
    </row>
    <row r="7331" spans="5:5" x14ac:dyDescent="0.25">
      <c r="E7331" t="s">
        <v>6928</v>
      </c>
    </row>
    <row r="7332" spans="5:5" x14ac:dyDescent="0.25">
      <c r="E7332" t="s">
        <v>6929</v>
      </c>
    </row>
    <row r="7333" spans="5:5" x14ac:dyDescent="0.25">
      <c r="E7333" t="s">
        <v>6930</v>
      </c>
    </row>
    <row r="7334" spans="5:5" x14ac:dyDescent="0.25">
      <c r="E7334" t="s">
        <v>6931</v>
      </c>
    </row>
    <row r="7335" spans="5:5" x14ac:dyDescent="0.25">
      <c r="E7335" t="s">
        <v>6932</v>
      </c>
    </row>
    <row r="7336" spans="5:5" x14ac:dyDescent="0.25">
      <c r="E7336" t="s">
        <v>6933</v>
      </c>
    </row>
    <row r="7337" spans="5:5" x14ac:dyDescent="0.25">
      <c r="E7337" t="s">
        <v>6934</v>
      </c>
    </row>
    <row r="7338" spans="5:5" x14ac:dyDescent="0.25">
      <c r="E7338" t="s">
        <v>6935</v>
      </c>
    </row>
    <row r="7339" spans="5:5" x14ac:dyDescent="0.25">
      <c r="E7339" t="s">
        <v>6936</v>
      </c>
    </row>
    <row r="7340" spans="5:5" x14ac:dyDescent="0.25">
      <c r="E7340" t="s">
        <v>6937</v>
      </c>
    </row>
    <row r="7341" spans="5:5" x14ac:dyDescent="0.25">
      <c r="E7341" t="s">
        <v>6938</v>
      </c>
    </row>
    <row r="7342" spans="5:5" x14ac:dyDescent="0.25">
      <c r="E7342" t="s">
        <v>6939</v>
      </c>
    </row>
    <row r="7343" spans="5:5" x14ac:dyDescent="0.25">
      <c r="E7343" t="s">
        <v>6940</v>
      </c>
    </row>
    <row r="7344" spans="5:5" x14ac:dyDescent="0.25">
      <c r="E7344" t="s">
        <v>6941</v>
      </c>
    </row>
    <row r="7345" spans="5:5" x14ac:dyDescent="0.25">
      <c r="E7345" t="s">
        <v>6942</v>
      </c>
    </row>
    <row r="7346" spans="5:5" x14ac:dyDescent="0.25">
      <c r="E7346" t="s">
        <v>6943</v>
      </c>
    </row>
    <row r="7347" spans="5:5" x14ac:dyDescent="0.25">
      <c r="E7347" t="s">
        <v>6944</v>
      </c>
    </row>
    <row r="7348" spans="5:5" x14ac:dyDescent="0.25">
      <c r="E7348" t="s">
        <v>6945</v>
      </c>
    </row>
    <row r="7349" spans="5:5" x14ac:dyDescent="0.25">
      <c r="E7349" t="s">
        <v>6946</v>
      </c>
    </row>
    <row r="7350" spans="5:5" x14ac:dyDescent="0.25">
      <c r="E7350" t="s">
        <v>6947</v>
      </c>
    </row>
    <row r="7351" spans="5:5" x14ac:dyDescent="0.25">
      <c r="E7351" t="s">
        <v>6948</v>
      </c>
    </row>
    <row r="7352" spans="5:5" x14ac:dyDescent="0.25">
      <c r="E7352" t="s">
        <v>6949</v>
      </c>
    </row>
    <row r="7353" spans="5:5" x14ac:dyDescent="0.25">
      <c r="E7353" t="s">
        <v>6950</v>
      </c>
    </row>
    <row r="7354" spans="5:5" x14ac:dyDescent="0.25">
      <c r="E7354" t="s">
        <v>6951</v>
      </c>
    </row>
    <row r="7355" spans="5:5" x14ac:dyDescent="0.25">
      <c r="E7355" t="s">
        <v>6952</v>
      </c>
    </row>
    <row r="7356" spans="5:5" x14ac:dyDescent="0.25">
      <c r="E7356" t="s">
        <v>6953</v>
      </c>
    </row>
    <row r="7357" spans="5:5" x14ac:dyDescent="0.25">
      <c r="E7357" t="s">
        <v>6954</v>
      </c>
    </row>
    <row r="7358" spans="5:5" x14ac:dyDescent="0.25">
      <c r="E7358" t="s">
        <v>6955</v>
      </c>
    </row>
    <row r="7359" spans="5:5" x14ac:dyDescent="0.25">
      <c r="E7359" t="s">
        <v>6956</v>
      </c>
    </row>
    <row r="7360" spans="5:5" x14ac:dyDescent="0.25">
      <c r="E7360" t="s">
        <v>6957</v>
      </c>
    </row>
    <row r="7361" spans="5:5" x14ac:dyDescent="0.25">
      <c r="E7361" t="s">
        <v>6958</v>
      </c>
    </row>
    <row r="7362" spans="5:5" x14ac:dyDescent="0.25">
      <c r="E7362" t="s">
        <v>6959</v>
      </c>
    </row>
    <row r="7363" spans="5:5" x14ac:dyDescent="0.25">
      <c r="E7363" t="s">
        <v>6960</v>
      </c>
    </row>
    <row r="7364" spans="5:5" x14ac:dyDescent="0.25">
      <c r="E7364" t="s">
        <v>6961</v>
      </c>
    </row>
    <row r="7365" spans="5:5" x14ac:dyDescent="0.25">
      <c r="E7365" t="s">
        <v>6962</v>
      </c>
    </row>
    <row r="7366" spans="5:5" x14ac:dyDescent="0.25">
      <c r="E7366" t="s">
        <v>6963</v>
      </c>
    </row>
    <row r="7367" spans="5:5" x14ac:dyDescent="0.25">
      <c r="E7367" t="s">
        <v>6964</v>
      </c>
    </row>
    <row r="7368" spans="5:5" x14ac:dyDescent="0.25">
      <c r="E7368" t="s">
        <v>6965</v>
      </c>
    </row>
    <row r="7369" spans="5:5" x14ac:dyDescent="0.25">
      <c r="E7369" t="s">
        <v>6966</v>
      </c>
    </row>
    <row r="7370" spans="5:5" x14ac:dyDescent="0.25">
      <c r="E7370" t="s">
        <v>6967</v>
      </c>
    </row>
    <row r="7371" spans="5:5" x14ac:dyDescent="0.25">
      <c r="E7371" t="s">
        <v>6968</v>
      </c>
    </row>
    <row r="7372" spans="5:5" x14ac:dyDescent="0.25">
      <c r="E7372" t="s">
        <v>6969</v>
      </c>
    </row>
    <row r="7373" spans="5:5" x14ac:dyDescent="0.25">
      <c r="E7373" t="s">
        <v>6970</v>
      </c>
    </row>
    <row r="7374" spans="5:5" x14ac:dyDescent="0.25">
      <c r="E7374" t="s">
        <v>6971</v>
      </c>
    </row>
    <row r="7375" spans="5:5" x14ac:dyDescent="0.25">
      <c r="E7375" t="s">
        <v>6972</v>
      </c>
    </row>
    <row r="7376" spans="5:5" x14ac:dyDescent="0.25">
      <c r="E7376" t="s">
        <v>6973</v>
      </c>
    </row>
    <row r="7377" spans="5:5" x14ac:dyDescent="0.25">
      <c r="E7377" t="s">
        <v>6974</v>
      </c>
    </row>
    <row r="7378" spans="5:5" x14ac:dyDescent="0.25">
      <c r="E7378" t="s">
        <v>6975</v>
      </c>
    </row>
    <row r="7379" spans="5:5" x14ac:dyDescent="0.25">
      <c r="E7379" t="s">
        <v>6976</v>
      </c>
    </row>
    <row r="7380" spans="5:5" x14ac:dyDescent="0.25">
      <c r="E7380" t="s">
        <v>6977</v>
      </c>
    </row>
    <row r="7381" spans="5:5" x14ac:dyDescent="0.25">
      <c r="E7381" t="s">
        <v>6978</v>
      </c>
    </row>
    <row r="7382" spans="5:5" x14ac:dyDescent="0.25">
      <c r="E7382" t="s">
        <v>6979</v>
      </c>
    </row>
    <row r="7383" spans="5:5" x14ac:dyDescent="0.25">
      <c r="E7383" t="s">
        <v>6980</v>
      </c>
    </row>
    <row r="7384" spans="5:5" x14ac:dyDescent="0.25">
      <c r="E7384" t="s">
        <v>6981</v>
      </c>
    </row>
    <row r="7385" spans="5:5" x14ac:dyDescent="0.25">
      <c r="E7385" t="s">
        <v>6982</v>
      </c>
    </row>
    <row r="7386" spans="5:5" x14ac:dyDescent="0.25">
      <c r="E7386" t="s">
        <v>6983</v>
      </c>
    </row>
    <row r="7387" spans="5:5" x14ac:dyDescent="0.25">
      <c r="E7387" t="s">
        <v>6984</v>
      </c>
    </row>
    <row r="7388" spans="5:5" x14ac:dyDescent="0.25">
      <c r="E7388" t="s">
        <v>6985</v>
      </c>
    </row>
    <row r="7389" spans="5:5" x14ac:dyDescent="0.25">
      <c r="E7389" t="s">
        <v>6986</v>
      </c>
    </row>
    <row r="7390" spans="5:5" x14ac:dyDescent="0.25">
      <c r="E7390" t="s">
        <v>6987</v>
      </c>
    </row>
    <row r="7391" spans="5:5" x14ac:dyDescent="0.25">
      <c r="E7391" t="s">
        <v>6988</v>
      </c>
    </row>
    <row r="7393" spans="5:5" x14ac:dyDescent="0.25">
      <c r="E7393" t="s">
        <v>6989</v>
      </c>
    </row>
    <row r="7394" spans="5:5" x14ac:dyDescent="0.25">
      <c r="E7394" t="s">
        <v>6990</v>
      </c>
    </row>
    <row r="7395" spans="5:5" x14ac:dyDescent="0.25">
      <c r="E7395" t="s">
        <v>6991</v>
      </c>
    </row>
    <row r="7396" spans="5:5" x14ac:dyDescent="0.25">
      <c r="E7396" t="s">
        <v>6992</v>
      </c>
    </row>
    <row r="7397" spans="5:5" x14ac:dyDescent="0.25">
      <c r="E7397" t="s">
        <v>6993</v>
      </c>
    </row>
    <row r="7398" spans="5:5" x14ac:dyDescent="0.25">
      <c r="E7398" t="s">
        <v>6994</v>
      </c>
    </row>
    <row r="7399" spans="5:5" x14ac:dyDescent="0.25">
      <c r="E7399" t="s">
        <v>6995</v>
      </c>
    </row>
    <row r="7400" spans="5:5" x14ac:dyDescent="0.25">
      <c r="E7400" t="s">
        <v>6996</v>
      </c>
    </row>
    <row r="7401" spans="5:5" x14ac:dyDescent="0.25">
      <c r="E7401" t="s">
        <v>6997</v>
      </c>
    </row>
    <row r="7402" spans="5:5" x14ac:dyDescent="0.25">
      <c r="E7402" t="s">
        <v>6998</v>
      </c>
    </row>
    <row r="7403" spans="5:5" x14ac:dyDescent="0.25">
      <c r="E7403" t="s">
        <v>6999</v>
      </c>
    </row>
    <row r="7404" spans="5:5" x14ac:dyDescent="0.25">
      <c r="E7404" t="s">
        <v>7000</v>
      </c>
    </row>
    <row r="7405" spans="5:5" x14ac:dyDescent="0.25">
      <c r="E7405" t="s">
        <v>7001</v>
      </c>
    </row>
    <row r="7406" spans="5:5" x14ac:dyDescent="0.25">
      <c r="E7406" t="s">
        <v>7002</v>
      </c>
    </row>
    <row r="7408" spans="5:5" x14ac:dyDescent="0.25">
      <c r="E7408" t="s">
        <v>7003</v>
      </c>
    </row>
    <row r="7409" spans="5:5" x14ac:dyDescent="0.25">
      <c r="E7409" t="s">
        <v>7004</v>
      </c>
    </row>
    <row r="7410" spans="5:5" x14ac:dyDescent="0.25">
      <c r="E7410" t="s">
        <v>7005</v>
      </c>
    </row>
    <row r="7411" spans="5:5" x14ac:dyDescent="0.25">
      <c r="E7411" t="s">
        <v>7006</v>
      </c>
    </row>
    <row r="7412" spans="5:5" x14ac:dyDescent="0.25">
      <c r="E7412" t="s">
        <v>7007</v>
      </c>
    </row>
    <row r="7413" spans="5:5" x14ac:dyDescent="0.25">
      <c r="E7413" t="s">
        <v>7008</v>
      </c>
    </row>
    <row r="7414" spans="5:5" x14ac:dyDescent="0.25">
      <c r="E7414" t="s">
        <v>7009</v>
      </c>
    </row>
    <row r="7416" spans="5:5" x14ac:dyDescent="0.25">
      <c r="E7416" t="s">
        <v>7010</v>
      </c>
    </row>
    <row r="7417" spans="5:5" x14ac:dyDescent="0.25">
      <c r="E7417" t="s">
        <v>7011</v>
      </c>
    </row>
    <row r="7418" spans="5:5" x14ac:dyDescent="0.25">
      <c r="E7418" t="s">
        <v>7012</v>
      </c>
    </row>
    <row r="7419" spans="5:5" x14ac:dyDescent="0.25">
      <c r="E7419" t="s">
        <v>7013</v>
      </c>
    </row>
    <row r="7420" spans="5:5" x14ac:dyDescent="0.25">
      <c r="E7420" t="s">
        <v>7014</v>
      </c>
    </row>
    <row r="7421" spans="5:5" x14ac:dyDescent="0.25">
      <c r="E7421" t="s">
        <v>7015</v>
      </c>
    </row>
    <row r="7422" spans="5:5" x14ac:dyDescent="0.25">
      <c r="E7422" t="s">
        <v>7016</v>
      </c>
    </row>
    <row r="7423" spans="5:5" x14ac:dyDescent="0.25">
      <c r="E7423" t="s">
        <v>7017</v>
      </c>
    </row>
    <row r="7424" spans="5:5" x14ac:dyDescent="0.25">
      <c r="E7424" t="s">
        <v>7018</v>
      </c>
    </row>
    <row r="7425" spans="5:5" x14ac:dyDescent="0.25">
      <c r="E7425" t="s">
        <v>7019</v>
      </c>
    </row>
    <row r="7426" spans="5:5" x14ac:dyDescent="0.25">
      <c r="E7426" t="s">
        <v>7020</v>
      </c>
    </row>
    <row r="7427" spans="5:5" x14ac:dyDescent="0.25">
      <c r="E7427" t="s">
        <v>7021</v>
      </c>
    </row>
    <row r="7428" spans="5:5" x14ac:dyDescent="0.25">
      <c r="E7428" t="s">
        <v>7022</v>
      </c>
    </row>
    <row r="7429" spans="5:5" x14ac:dyDescent="0.25">
      <c r="E7429" t="s">
        <v>7023</v>
      </c>
    </row>
    <row r="7430" spans="5:5" x14ac:dyDescent="0.25">
      <c r="E7430" t="s">
        <v>7024</v>
      </c>
    </row>
    <row r="7431" spans="5:5" x14ac:dyDescent="0.25">
      <c r="E7431" t="s">
        <v>7025</v>
      </c>
    </row>
    <row r="7432" spans="5:5" x14ac:dyDescent="0.25">
      <c r="E7432" t="s">
        <v>7026</v>
      </c>
    </row>
    <row r="7433" spans="5:5" x14ac:dyDescent="0.25">
      <c r="E7433" t="s">
        <v>7027</v>
      </c>
    </row>
    <row r="7434" spans="5:5" x14ac:dyDescent="0.25">
      <c r="E7434" t="s">
        <v>7028</v>
      </c>
    </row>
    <row r="7435" spans="5:5" x14ac:dyDescent="0.25">
      <c r="E7435" t="s">
        <v>7029</v>
      </c>
    </row>
    <row r="7436" spans="5:5" x14ac:dyDescent="0.25">
      <c r="E7436" t="s">
        <v>7030</v>
      </c>
    </row>
    <row r="7437" spans="5:5" x14ac:dyDescent="0.25">
      <c r="E7437" t="s">
        <v>7031</v>
      </c>
    </row>
    <row r="7438" spans="5:5" x14ac:dyDescent="0.25">
      <c r="E7438" t="s">
        <v>7032</v>
      </c>
    </row>
    <row r="7439" spans="5:5" x14ac:dyDescent="0.25">
      <c r="E7439" t="s">
        <v>7033</v>
      </c>
    </row>
    <row r="7440" spans="5:5" x14ac:dyDescent="0.25">
      <c r="E7440" t="s">
        <v>7034</v>
      </c>
    </row>
    <row r="7441" spans="5:5" x14ac:dyDescent="0.25">
      <c r="E7441" t="s">
        <v>7035</v>
      </c>
    </row>
    <row r="7442" spans="5:5" x14ac:dyDescent="0.25">
      <c r="E7442" t="s">
        <v>7036</v>
      </c>
    </row>
    <row r="7443" spans="5:5" x14ac:dyDescent="0.25">
      <c r="E7443" t="s">
        <v>7037</v>
      </c>
    </row>
    <row r="7444" spans="5:5" x14ac:dyDescent="0.25">
      <c r="E7444" t="s">
        <v>7038</v>
      </c>
    </row>
    <row r="7445" spans="5:5" x14ac:dyDescent="0.25">
      <c r="E7445" t="s">
        <v>7039</v>
      </c>
    </row>
    <row r="7446" spans="5:5" x14ac:dyDescent="0.25">
      <c r="E7446" t="s">
        <v>7040</v>
      </c>
    </row>
    <row r="7447" spans="5:5" x14ac:dyDescent="0.25">
      <c r="E7447" t="s">
        <v>7041</v>
      </c>
    </row>
    <row r="7448" spans="5:5" x14ac:dyDescent="0.25">
      <c r="E7448" t="s">
        <v>7042</v>
      </c>
    </row>
    <row r="7449" spans="5:5" x14ac:dyDescent="0.25">
      <c r="E7449" t="s">
        <v>7043</v>
      </c>
    </row>
    <row r="7450" spans="5:5" x14ac:dyDescent="0.25">
      <c r="E7450" t="s">
        <v>7044</v>
      </c>
    </row>
    <row r="7451" spans="5:5" x14ac:dyDescent="0.25">
      <c r="E7451" t="s">
        <v>7045</v>
      </c>
    </row>
    <row r="7452" spans="5:5" x14ac:dyDescent="0.25">
      <c r="E7452" t="s">
        <v>7046</v>
      </c>
    </row>
    <row r="7453" spans="5:5" x14ac:dyDescent="0.25">
      <c r="E7453" t="s">
        <v>7047</v>
      </c>
    </row>
    <row r="7454" spans="5:5" x14ac:dyDescent="0.25">
      <c r="E7454" t="s">
        <v>7048</v>
      </c>
    </row>
    <row r="7455" spans="5:5" x14ac:dyDescent="0.25">
      <c r="E7455" t="s">
        <v>7049</v>
      </c>
    </row>
    <row r="7456" spans="5:5" x14ac:dyDescent="0.25">
      <c r="E7456" t="s">
        <v>7050</v>
      </c>
    </row>
    <row r="7457" spans="5:5" x14ac:dyDescent="0.25">
      <c r="E7457" t="s">
        <v>7051</v>
      </c>
    </row>
    <row r="7458" spans="5:5" x14ac:dyDescent="0.25">
      <c r="E7458" t="s">
        <v>7052</v>
      </c>
    </row>
    <row r="7459" spans="5:5" x14ac:dyDescent="0.25">
      <c r="E7459" t="s">
        <v>7053</v>
      </c>
    </row>
    <row r="7460" spans="5:5" x14ac:dyDescent="0.25">
      <c r="E7460" t="s">
        <v>7054</v>
      </c>
    </row>
    <row r="7461" spans="5:5" x14ac:dyDescent="0.25">
      <c r="E7461" t="s">
        <v>7055</v>
      </c>
    </row>
    <row r="7462" spans="5:5" x14ac:dyDescent="0.25">
      <c r="E7462" t="s">
        <v>7056</v>
      </c>
    </row>
    <row r="7463" spans="5:5" x14ac:dyDescent="0.25">
      <c r="E7463" t="s">
        <v>7057</v>
      </c>
    </row>
    <row r="7464" spans="5:5" x14ac:dyDescent="0.25">
      <c r="E7464" t="s">
        <v>7058</v>
      </c>
    </row>
    <row r="7466" spans="5:5" x14ac:dyDescent="0.25">
      <c r="E7466" t="s">
        <v>7059</v>
      </c>
    </row>
    <row r="7467" spans="5:5" x14ac:dyDescent="0.25">
      <c r="E7467" t="s">
        <v>7060</v>
      </c>
    </row>
    <row r="7468" spans="5:5" x14ac:dyDescent="0.25">
      <c r="E7468" t="s">
        <v>7061</v>
      </c>
    </row>
    <row r="7469" spans="5:5" x14ac:dyDescent="0.25">
      <c r="E7469" t="s">
        <v>7062</v>
      </c>
    </row>
    <row r="7470" spans="5:5" x14ac:dyDescent="0.25">
      <c r="E7470" t="s">
        <v>7063</v>
      </c>
    </row>
    <row r="7471" spans="5:5" x14ac:dyDescent="0.25">
      <c r="E7471" t="s">
        <v>7064</v>
      </c>
    </row>
    <row r="7472" spans="5:5" x14ac:dyDescent="0.25">
      <c r="E7472" t="s">
        <v>7065</v>
      </c>
    </row>
    <row r="7473" spans="5:5" x14ac:dyDescent="0.25">
      <c r="E7473" t="s">
        <v>7066</v>
      </c>
    </row>
    <row r="7474" spans="5:5" x14ac:dyDescent="0.25">
      <c r="E7474" t="s">
        <v>7067</v>
      </c>
    </row>
    <row r="7475" spans="5:5" x14ac:dyDescent="0.25">
      <c r="E7475" t="s">
        <v>7068</v>
      </c>
    </row>
    <row r="7476" spans="5:5" x14ac:dyDescent="0.25">
      <c r="E7476" t="s">
        <v>7069</v>
      </c>
    </row>
    <row r="7477" spans="5:5" x14ac:dyDescent="0.25">
      <c r="E7477" t="s">
        <v>7070</v>
      </c>
    </row>
    <row r="7478" spans="5:5" x14ac:dyDescent="0.25">
      <c r="E7478" t="s">
        <v>7071</v>
      </c>
    </row>
    <row r="7479" spans="5:5" x14ac:dyDescent="0.25">
      <c r="E7479" t="s">
        <v>7072</v>
      </c>
    </row>
    <row r="7480" spans="5:5" x14ac:dyDescent="0.25">
      <c r="E7480" t="s">
        <v>7073</v>
      </c>
    </row>
    <row r="7481" spans="5:5" x14ac:dyDescent="0.25">
      <c r="E7481" t="s">
        <v>7074</v>
      </c>
    </row>
    <row r="7482" spans="5:5" x14ac:dyDescent="0.25">
      <c r="E7482" t="s">
        <v>7075</v>
      </c>
    </row>
    <row r="7483" spans="5:5" x14ac:dyDescent="0.25">
      <c r="E7483" t="s">
        <v>7076</v>
      </c>
    </row>
    <row r="7484" spans="5:5" x14ac:dyDescent="0.25">
      <c r="E7484" t="s">
        <v>7077</v>
      </c>
    </row>
    <row r="7485" spans="5:5" x14ac:dyDescent="0.25">
      <c r="E7485" t="s">
        <v>7078</v>
      </c>
    </row>
    <row r="7486" spans="5:5" x14ac:dyDescent="0.25">
      <c r="E7486" t="s">
        <v>7079</v>
      </c>
    </row>
    <row r="7487" spans="5:5" x14ac:dyDescent="0.25">
      <c r="E7487" t="s">
        <v>7080</v>
      </c>
    </row>
    <row r="7488" spans="5:5" x14ac:dyDescent="0.25">
      <c r="E7488" t="s">
        <v>7081</v>
      </c>
    </row>
    <row r="7489" spans="5:5" x14ac:dyDescent="0.25">
      <c r="E7489" t="s">
        <v>7082</v>
      </c>
    </row>
    <row r="7490" spans="5:5" x14ac:dyDescent="0.25">
      <c r="E7490" t="s">
        <v>7083</v>
      </c>
    </row>
    <row r="7491" spans="5:5" x14ac:dyDescent="0.25">
      <c r="E7491" t="s">
        <v>7084</v>
      </c>
    </row>
    <row r="7492" spans="5:5" x14ac:dyDescent="0.25">
      <c r="E7492" t="s">
        <v>7085</v>
      </c>
    </row>
    <row r="7493" spans="5:5" x14ac:dyDescent="0.25">
      <c r="E7493" t="s">
        <v>7086</v>
      </c>
    </row>
    <row r="7494" spans="5:5" x14ac:dyDescent="0.25">
      <c r="E7494" t="s">
        <v>7087</v>
      </c>
    </row>
    <row r="7495" spans="5:5" x14ac:dyDescent="0.25">
      <c r="E7495" t="s">
        <v>7088</v>
      </c>
    </row>
    <row r="7496" spans="5:5" x14ac:dyDescent="0.25">
      <c r="E7496" t="s">
        <v>7089</v>
      </c>
    </row>
    <row r="7497" spans="5:5" x14ac:dyDescent="0.25">
      <c r="E7497" t="s">
        <v>7090</v>
      </c>
    </row>
    <row r="7498" spans="5:5" x14ac:dyDescent="0.25">
      <c r="E7498" t="s">
        <v>7091</v>
      </c>
    </row>
    <row r="7499" spans="5:5" x14ac:dyDescent="0.25">
      <c r="E7499" t="s">
        <v>7092</v>
      </c>
    </row>
    <row r="7500" spans="5:5" x14ac:dyDescent="0.25">
      <c r="E7500" t="s">
        <v>7093</v>
      </c>
    </row>
    <row r="7501" spans="5:5" x14ac:dyDescent="0.25">
      <c r="E7501" t="s">
        <v>7094</v>
      </c>
    </row>
    <row r="7502" spans="5:5" x14ac:dyDescent="0.25">
      <c r="E7502" t="s">
        <v>7095</v>
      </c>
    </row>
    <row r="7503" spans="5:5" x14ac:dyDescent="0.25">
      <c r="E7503" t="s">
        <v>7096</v>
      </c>
    </row>
    <row r="7504" spans="5:5" x14ac:dyDescent="0.25">
      <c r="E7504" t="s">
        <v>7097</v>
      </c>
    </row>
    <row r="7505" spans="5:5" x14ac:dyDescent="0.25">
      <c r="E7505" t="s">
        <v>7098</v>
      </c>
    </row>
    <row r="7506" spans="5:5" x14ac:dyDescent="0.25">
      <c r="E7506" t="s">
        <v>7099</v>
      </c>
    </row>
    <row r="7507" spans="5:5" x14ac:dyDescent="0.25">
      <c r="E7507" t="s">
        <v>7100</v>
      </c>
    </row>
    <row r="7508" spans="5:5" x14ac:dyDescent="0.25">
      <c r="E7508" t="s">
        <v>7101</v>
      </c>
    </row>
    <row r="7509" spans="5:5" x14ac:dyDescent="0.25">
      <c r="E7509" t="s">
        <v>7102</v>
      </c>
    </row>
    <row r="7510" spans="5:5" x14ac:dyDescent="0.25">
      <c r="E7510" t="s">
        <v>7103</v>
      </c>
    </row>
    <row r="7511" spans="5:5" x14ac:dyDescent="0.25">
      <c r="E7511" t="s">
        <v>7104</v>
      </c>
    </row>
    <row r="7512" spans="5:5" x14ac:dyDescent="0.25">
      <c r="E7512" t="s">
        <v>7105</v>
      </c>
    </row>
    <row r="7513" spans="5:5" x14ac:dyDescent="0.25">
      <c r="E7513" t="s">
        <v>7106</v>
      </c>
    </row>
    <row r="7514" spans="5:5" x14ac:dyDescent="0.25">
      <c r="E7514" t="s">
        <v>7107</v>
      </c>
    </row>
    <row r="7515" spans="5:5" x14ac:dyDescent="0.25">
      <c r="E7515" t="s">
        <v>7108</v>
      </c>
    </row>
    <row r="7516" spans="5:5" x14ac:dyDescent="0.25">
      <c r="E7516" t="s">
        <v>7109</v>
      </c>
    </row>
    <row r="7517" spans="5:5" x14ac:dyDescent="0.25">
      <c r="E7517" t="s">
        <v>7110</v>
      </c>
    </row>
    <row r="7518" spans="5:5" x14ac:dyDescent="0.25">
      <c r="E7518" t="s">
        <v>7111</v>
      </c>
    </row>
    <row r="7519" spans="5:5" x14ac:dyDescent="0.25">
      <c r="E7519" t="s">
        <v>7112</v>
      </c>
    </row>
    <row r="7520" spans="5:5" x14ac:dyDescent="0.25">
      <c r="E7520" t="s">
        <v>7113</v>
      </c>
    </row>
    <row r="7521" spans="5:5" x14ac:dyDescent="0.25">
      <c r="E7521" t="s">
        <v>7114</v>
      </c>
    </row>
    <row r="7522" spans="5:5" x14ac:dyDescent="0.25">
      <c r="E7522" t="s">
        <v>7115</v>
      </c>
    </row>
    <row r="7523" spans="5:5" x14ac:dyDescent="0.25">
      <c r="E7523" t="s">
        <v>7116</v>
      </c>
    </row>
    <row r="7524" spans="5:5" x14ac:dyDescent="0.25">
      <c r="E7524" t="s">
        <v>7117</v>
      </c>
    </row>
    <row r="7525" spans="5:5" x14ac:dyDescent="0.25">
      <c r="E7525" t="s">
        <v>7118</v>
      </c>
    </row>
    <row r="7526" spans="5:5" x14ac:dyDescent="0.25">
      <c r="E7526" t="s">
        <v>7119</v>
      </c>
    </row>
    <row r="7527" spans="5:5" x14ac:dyDescent="0.25">
      <c r="E7527" t="s">
        <v>7120</v>
      </c>
    </row>
    <row r="7528" spans="5:5" x14ac:dyDescent="0.25">
      <c r="E7528" t="s">
        <v>7121</v>
      </c>
    </row>
    <row r="7529" spans="5:5" x14ac:dyDescent="0.25">
      <c r="E7529" t="s">
        <v>7122</v>
      </c>
    </row>
    <row r="7530" spans="5:5" x14ac:dyDescent="0.25">
      <c r="E7530" t="s">
        <v>7123</v>
      </c>
    </row>
    <row r="7531" spans="5:5" x14ac:dyDescent="0.25">
      <c r="E7531" t="s">
        <v>7124</v>
      </c>
    </row>
    <row r="7532" spans="5:5" x14ac:dyDescent="0.25">
      <c r="E7532" t="s">
        <v>7125</v>
      </c>
    </row>
    <row r="7533" spans="5:5" x14ac:dyDescent="0.25">
      <c r="E7533" t="s">
        <v>7126</v>
      </c>
    </row>
    <row r="7534" spans="5:5" x14ac:dyDescent="0.25">
      <c r="E7534" t="s">
        <v>7127</v>
      </c>
    </row>
    <row r="7535" spans="5:5" x14ac:dyDescent="0.25">
      <c r="E7535" t="s">
        <v>7128</v>
      </c>
    </row>
    <row r="7536" spans="5:5" x14ac:dyDescent="0.25">
      <c r="E7536" t="s">
        <v>7129</v>
      </c>
    </row>
    <row r="7537" spans="5:5" x14ac:dyDescent="0.25">
      <c r="E7537" t="s">
        <v>7130</v>
      </c>
    </row>
    <row r="7538" spans="5:5" x14ac:dyDescent="0.25">
      <c r="E7538" t="s">
        <v>7131</v>
      </c>
    </row>
    <row r="7539" spans="5:5" x14ac:dyDescent="0.25">
      <c r="E7539" t="s">
        <v>7132</v>
      </c>
    </row>
    <row r="7540" spans="5:5" x14ac:dyDescent="0.25">
      <c r="E7540" t="s">
        <v>7133</v>
      </c>
    </row>
    <row r="7541" spans="5:5" x14ac:dyDescent="0.25">
      <c r="E7541" t="s">
        <v>7134</v>
      </c>
    </row>
    <row r="7542" spans="5:5" x14ac:dyDescent="0.25">
      <c r="E7542" t="s">
        <v>7135</v>
      </c>
    </row>
    <row r="7543" spans="5:5" x14ac:dyDescent="0.25">
      <c r="E7543" t="s">
        <v>7136</v>
      </c>
    </row>
    <row r="7544" spans="5:5" x14ac:dyDescent="0.25">
      <c r="E7544" t="s">
        <v>7137</v>
      </c>
    </row>
    <row r="7545" spans="5:5" x14ac:dyDescent="0.25">
      <c r="E7545" t="s">
        <v>7138</v>
      </c>
    </row>
    <row r="7546" spans="5:5" x14ac:dyDescent="0.25">
      <c r="E7546" t="s">
        <v>7139</v>
      </c>
    </row>
    <row r="7547" spans="5:5" x14ac:dyDescent="0.25">
      <c r="E7547" t="s">
        <v>7140</v>
      </c>
    </row>
    <row r="7548" spans="5:5" x14ac:dyDescent="0.25">
      <c r="E7548" t="s">
        <v>7141</v>
      </c>
    </row>
    <row r="7549" spans="5:5" x14ac:dyDescent="0.25">
      <c r="E7549" t="s">
        <v>7142</v>
      </c>
    </row>
    <row r="7550" spans="5:5" x14ac:dyDescent="0.25">
      <c r="E7550" t="s">
        <v>7143</v>
      </c>
    </row>
    <row r="7551" spans="5:5" x14ac:dyDescent="0.25">
      <c r="E7551" t="s">
        <v>7144</v>
      </c>
    </row>
    <row r="7552" spans="5:5" x14ac:dyDescent="0.25">
      <c r="E7552" t="s">
        <v>7145</v>
      </c>
    </row>
    <row r="7553" spans="5:5" x14ac:dyDescent="0.25">
      <c r="E7553" t="s">
        <v>7146</v>
      </c>
    </row>
    <row r="7554" spans="5:5" x14ac:dyDescent="0.25">
      <c r="E7554" t="s">
        <v>7147</v>
      </c>
    </row>
    <row r="7555" spans="5:5" x14ac:dyDescent="0.25">
      <c r="E7555" t="s">
        <v>7148</v>
      </c>
    </row>
    <row r="7556" spans="5:5" x14ac:dyDescent="0.25">
      <c r="E7556" t="s">
        <v>7149</v>
      </c>
    </row>
    <row r="7557" spans="5:5" x14ac:dyDescent="0.25">
      <c r="E7557" t="s">
        <v>7150</v>
      </c>
    </row>
    <row r="7558" spans="5:5" x14ac:dyDescent="0.25">
      <c r="E7558" t="s">
        <v>7151</v>
      </c>
    </row>
    <row r="7559" spans="5:5" x14ac:dyDescent="0.25">
      <c r="E7559" t="s">
        <v>7152</v>
      </c>
    </row>
    <row r="7560" spans="5:5" x14ac:dyDescent="0.25">
      <c r="E7560" t="s">
        <v>7153</v>
      </c>
    </row>
    <row r="7561" spans="5:5" x14ac:dyDescent="0.25">
      <c r="E7561" t="s">
        <v>7154</v>
      </c>
    </row>
    <row r="7562" spans="5:5" x14ac:dyDescent="0.25">
      <c r="E7562" t="s">
        <v>7155</v>
      </c>
    </row>
    <row r="7563" spans="5:5" x14ac:dyDescent="0.25">
      <c r="E7563" t="s">
        <v>7156</v>
      </c>
    </row>
    <row r="7564" spans="5:5" x14ac:dyDescent="0.25">
      <c r="E7564" t="s">
        <v>7157</v>
      </c>
    </row>
    <row r="7565" spans="5:5" x14ac:dyDescent="0.25">
      <c r="E7565" t="s">
        <v>7158</v>
      </c>
    </row>
    <row r="7566" spans="5:5" x14ac:dyDescent="0.25">
      <c r="E7566" t="s">
        <v>7159</v>
      </c>
    </row>
    <row r="7567" spans="5:5" x14ac:dyDescent="0.25">
      <c r="E7567" t="s">
        <v>7160</v>
      </c>
    </row>
    <row r="7568" spans="5:5" x14ac:dyDescent="0.25">
      <c r="E7568" t="s">
        <v>7161</v>
      </c>
    </row>
    <row r="7569" spans="5:5" x14ac:dyDescent="0.25">
      <c r="E7569" t="s">
        <v>7162</v>
      </c>
    </row>
    <row r="7570" spans="5:5" x14ac:dyDescent="0.25">
      <c r="E7570" t="s">
        <v>7163</v>
      </c>
    </row>
    <row r="7571" spans="5:5" x14ac:dyDescent="0.25">
      <c r="E7571" t="s">
        <v>7164</v>
      </c>
    </row>
    <row r="7575" spans="5:5" x14ac:dyDescent="0.25">
      <c r="E7575" t="s">
        <v>7165</v>
      </c>
    </row>
    <row r="7576" spans="5:5" x14ac:dyDescent="0.25">
      <c r="E7576" t="s">
        <v>7166</v>
      </c>
    </row>
    <row r="7577" spans="5:5" x14ac:dyDescent="0.25">
      <c r="E7577" t="s">
        <v>7167</v>
      </c>
    </row>
    <row r="7578" spans="5:5" x14ac:dyDescent="0.25">
      <c r="E7578" t="s">
        <v>7168</v>
      </c>
    </row>
    <row r="7579" spans="5:5" x14ac:dyDescent="0.25">
      <c r="E7579" t="s">
        <v>7169</v>
      </c>
    </row>
    <row r="7580" spans="5:5" x14ac:dyDescent="0.25">
      <c r="E7580" t="s">
        <v>7170</v>
      </c>
    </row>
    <row r="7581" spans="5:5" x14ac:dyDescent="0.25">
      <c r="E7581" t="s">
        <v>7171</v>
      </c>
    </row>
    <row r="7582" spans="5:5" x14ac:dyDescent="0.25">
      <c r="E7582" t="s">
        <v>7172</v>
      </c>
    </row>
    <row r="7583" spans="5:5" x14ac:dyDescent="0.25">
      <c r="E7583" t="s">
        <v>7173</v>
      </c>
    </row>
    <row r="7584" spans="5:5" x14ac:dyDescent="0.25">
      <c r="E7584" t="s">
        <v>7174</v>
      </c>
    </row>
    <row r="7585" spans="5:5" x14ac:dyDescent="0.25">
      <c r="E7585" t="s">
        <v>7175</v>
      </c>
    </row>
    <row r="7586" spans="5:5" x14ac:dyDescent="0.25">
      <c r="E7586" t="s">
        <v>7176</v>
      </c>
    </row>
    <row r="7587" spans="5:5" x14ac:dyDescent="0.25">
      <c r="E7587" t="s">
        <v>7177</v>
      </c>
    </row>
    <row r="7588" spans="5:5" x14ac:dyDescent="0.25">
      <c r="E7588" t="s">
        <v>7178</v>
      </c>
    </row>
    <row r="7589" spans="5:5" x14ac:dyDescent="0.25">
      <c r="E7589" t="s">
        <v>7179</v>
      </c>
    </row>
    <row r="7590" spans="5:5" x14ac:dyDescent="0.25">
      <c r="E7590" t="s">
        <v>7180</v>
      </c>
    </row>
    <row r="7591" spans="5:5" x14ac:dyDescent="0.25">
      <c r="E7591" t="s">
        <v>7181</v>
      </c>
    </row>
    <row r="7592" spans="5:5" x14ac:dyDescent="0.25">
      <c r="E7592" t="s">
        <v>7182</v>
      </c>
    </row>
    <row r="7593" spans="5:5" x14ac:dyDescent="0.25">
      <c r="E7593" t="s">
        <v>7183</v>
      </c>
    </row>
    <row r="7594" spans="5:5" x14ac:dyDescent="0.25">
      <c r="E7594" t="s">
        <v>7184</v>
      </c>
    </row>
    <row r="7595" spans="5:5" x14ac:dyDescent="0.25">
      <c r="E7595" t="s">
        <v>7185</v>
      </c>
    </row>
    <row r="7596" spans="5:5" x14ac:dyDescent="0.25">
      <c r="E7596" t="s">
        <v>7186</v>
      </c>
    </row>
    <row r="7597" spans="5:5" x14ac:dyDescent="0.25">
      <c r="E7597" t="s">
        <v>7187</v>
      </c>
    </row>
    <row r="7598" spans="5:5" x14ac:dyDescent="0.25">
      <c r="E7598" t="s">
        <v>7188</v>
      </c>
    </row>
    <row r="7599" spans="5:5" x14ac:dyDescent="0.25">
      <c r="E7599" t="s">
        <v>7189</v>
      </c>
    </row>
    <row r="7600" spans="5:5" x14ac:dyDescent="0.25">
      <c r="E7600" t="s">
        <v>7190</v>
      </c>
    </row>
    <row r="7601" spans="5:5" x14ac:dyDescent="0.25">
      <c r="E7601" t="s">
        <v>7191</v>
      </c>
    </row>
    <row r="7602" spans="5:5" x14ac:dyDescent="0.25">
      <c r="E7602" t="s">
        <v>7192</v>
      </c>
    </row>
    <row r="7603" spans="5:5" x14ac:dyDescent="0.25">
      <c r="E7603" t="s">
        <v>7193</v>
      </c>
    </row>
    <row r="7604" spans="5:5" x14ac:dyDescent="0.25">
      <c r="E7604" t="s">
        <v>7194</v>
      </c>
    </row>
    <row r="7605" spans="5:5" x14ac:dyDescent="0.25">
      <c r="E7605" t="s">
        <v>7195</v>
      </c>
    </row>
    <row r="7606" spans="5:5" x14ac:dyDescent="0.25">
      <c r="E7606" t="s">
        <v>7196</v>
      </c>
    </row>
    <row r="7607" spans="5:5" x14ac:dyDescent="0.25">
      <c r="E7607" t="s">
        <v>7197</v>
      </c>
    </row>
    <row r="7608" spans="5:5" x14ac:dyDescent="0.25">
      <c r="E7608" t="s">
        <v>7198</v>
      </c>
    </row>
    <row r="7609" spans="5:5" x14ac:dyDescent="0.25">
      <c r="E7609" t="s">
        <v>7199</v>
      </c>
    </row>
    <row r="7610" spans="5:5" x14ac:dyDescent="0.25">
      <c r="E7610" t="s">
        <v>7200</v>
      </c>
    </row>
    <row r="7611" spans="5:5" x14ac:dyDescent="0.25">
      <c r="E7611" t="s">
        <v>7201</v>
      </c>
    </row>
    <row r="7612" spans="5:5" x14ac:dyDescent="0.25">
      <c r="E7612" t="s">
        <v>7202</v>
      </c>
    </row>
    <row r="7613" spans="5:5" x14ac:dyDescent="0.25">
      <c r="E7613" t="s">
        <v>7203</v>
      </c>
    </row>
    <row r="7614" spans="5:5" x14ac:dyDescent="0.25">
      <c r="E7614" t="s">
        <v>7204</v>
      </c>
    </row>
    <row r="7615" spans="5:5" x14ac:dyDescent="0.25">
      <c r="E7615" t="s">
        <v>7205</v>
      </c>
    </row>
    <row r="7616" spans="5:5" x14ac:dyDescent="0.25">
      <c r="E7616" t="s">
        <v>7206</v>
      </c>
    </row>
    <row r="7617" spans="5:5" x14ac:dyDescent="0.25">
      <c r="E7617" t="s">
        <v>7207</v>
      </c>
    </row>
    <row r="7618" spans="5:5" x14ac:dyDescent="0.25">
      <c r="E7618" t="s">
        <v>7208</v>
      </c>
    </row>
    <row r="7619" spans="5:5" x14ac:dyDescent="0.25">
      <c r="E7619" t="s">
        <v>7209</v>
      </c>
    </row>
    <row r="7620" spans="5:5" x14ac:dyDescent="0.25">
      <c r="E7620" t="s">
        <v>7210</v>
      </c>
    </row>
    <row r="7621" spans="5:5" x14ac:dyDescent="0.25">
      <c r="E7621" t="s">
        <v>7211</v>
      </c>
    </row>
    <row r="7622" spans="5:5" x14ac:dyDescent="0.25">
      <c r="E7622" t="s">
        <v>7212</v>
      </c>
    </row>
    <row r="7623" spans="5:5" x14ac:dyDescent="0.25">
      <c r="E7623" t="s">
        <v>7213</v>
      </c>
    </row>
    <row r="7624" spans="5:5" x14ac:dyDescent="0.25">
      <c r="E7624" t="s">
        <v>7214</v>
      </c>
    </row>
    <row r="7625" spans="5:5" x14ac:dyDescent="0.25">
      <c r="E7625" t="s">
        <v>7215</v>
      </c>
    </row>
    <row r="7626" spans="5:5" x14ac:dyDescent="0.25">
      <c r="E7626" t="s">
        <v>7216</v>
      </c>
    </row>
    <row r="7627" spans="5:5" x14ac:dyDescent="0.25">
      <c r="E7627" t="s">
        <v>7217</v>
      </c>
    </row>
    <row r="7628" spans="5:5" x14ac:dyDescent="0.25">
      <c r="E7628" t="s">
        <v>7218</v>
      </c>
    </row>
    <row r="7629" spans="5:5" x14ac:dyDescent="0.25">
      <c r="E7629" t="s">
        <v>7219</v>
      </c>
    </row>
    <row r="7630" spans="5:5" x14ac:dyDescent="0.25">
      <c r="E7630" t="s">
        <v>7220</v>
      </c>
    </row>
    <row r="7631" spans="5:5" x14ac:dyDescent="0.25">
      <c r="E7631" t="s">
        <v>7221</v>
      </c>
    </row>
    <row r="7632" spans="5:5" x14ac:dyDescent="0.25">
      <c r="E7632" t="s">
        <v>7222</v>
      </c>
    </row>
    <row r="7633" spans="5:5" x14ac:dyDescent="0.25">
      <c r="E7633" t="s">
        <v>7223</v>
      </c>
    </row>
    <row r="7634" spans="5:5" x14ac:dyDescent="0.25">
      <c r="E7634" t="s">
        <v>7224</v>
      </c>
    </row>
    <row r="7635" spans="5:5" x14ac:dyDescent="0.25">
      <c r="E7635" t="s">
        <v>7225</v>
      </c>
    </row>
    <row r="7636" spans="5:5" x14ac:dyDescent="0.25">
      <c r="E7636" t="s">
        <v>7226</v>
      </c>
    </row>
    <row r="7637" spans="5:5" x14ac:dyDescent="0.25">
      <c r="E7637" t="s">
        <v>7227</v>
      </c>
    </row>
    <row r="7638" spans="5:5" x14ac:dyDescent="0.25">
      <c r="E7638" t="s">
        <v>7228</v>
      </c>
    </row>
    <row r="7639" spans="5:5" x14ac:dyDescent="0.25">
      <c r="E7639" t="s">
        <v>7229</v>
      </c>
    </row>
    <row r="7640" spans="5:5" x14ac:dyDescent="0.25">
      <c r="E7640" t="s">
        <v>7230</v>
      </c>
    </row>
    <row r="7641" spans="5:5" x14ac:dyDescent="0.25">
      <c r="E7641" t="s">
        <v>7231</v>
      </c>
    </row>
    <row r="7642" spans="5:5" x14ac:dyDescent="0.25">
      <c r="E7642" t="s">
        <v>7232</v>
      </c>
    </row>
    <row r="7643" spans="5:5" x14ac:dyDescent="0.25">
      <c r="E7643" t="s">
        <v>7233</v>
      </c>
    </row>
    <row r="7644" spans="5:5" x14ac:dyDescent="0.25">
      <c r="E7644" t="s">
        <v>7234</v>
      </c>
    </row>
    <row r="7645" spans="5:5" x14ac:dyDescent="0.25">
      <c r="E7645" t="s">
        <v>7235</v>
      </c>
    </row>
    <row r="7646" spans="5:5" x14ac:dyDescent="0.25">
      <c r="E7646" t="s">
        <v>7236</v>
      </c>
    </row>
    <row r="7647" spans="5:5" x14ac:dyDescent="0.25">
      <c r="E7647" t="s">
        <v>7237</v>
      </c>
    </row>
    <row r="7648" spans="5:5" x14ac:dyDescent="0.25">
      <c r="E7648" t="s">
        <v>7238</v>
      </c>
    </row>
    <row r="7649" spans="5:5" x14ac:dyDescent="0.25">
      <c r="E7649" t="s">
        <v>7239</v>
      </c>
    </row>
    <row r="7650" spans="5:5" x14ac:dyDescent="0.25">
      <c r="E7650" t="s">
        <v>7240</v>
      </c>
    </row>
    <row r="7651" spans="5:5" x14ac:dyDescent="0.25">
      <c r="E7651" t="s">
        <v>7241</v>
      </c>
    </row>
    <row r="7652" spans="5:5" x14ac:dyDescent="0.25">
      <c r="E7652" t="s">
        <v>7242</v>
      </c>
    </row>
    <row r="7653" spans="5:5" x14ac:dyDescent="0.25">
      <c r="E7653" t="s">
        <v>7243</v>
      </c>
    </row>
    <row r="7654" spans="5:5" x14ac:dyDescent="0.25">
      <c r="E7654" t="s">
        <v>7244</v>
      </c>
    </row>
    <row r="7655" spans="5:5" x14ac:dyDescent="0.25">
      <c r="E7655" t="s">
        <v>7245</v>
      </c>
    </row>
    <row r="7656" spans="5:5" x14ac:dyDescent="0.25">
      <c r="E7656" t="s">
        <v>7246</v>
      </c>
    </row>
    <row r="7657" spans="5:5" x14ac:dyDescent="0.25">
      <c r="E7657" t="s">
        <v>7247</v>
      </c>
    </row>
    <row r="7658" spans="5:5" x14ac:dyDescent="0.25">
      <c r="E7658" t="s">
        <v>7248</v>
      </c>
    </row>
    <row r="7659" spans="5:5" x14ac:dyDescent="0.25">
      <c r="E7659" t="s">
        <v>7249</v>
      </c>
    </row>
    <row r="7660" spans="5:5" x14ac:dyDescent="0.25">
      <c r="E7660" t="s">
        <v>7250</v>
      </c>
    </row>
    <row r="7661" spans="5:5" x14ac:dyDescent="0.25">
      <c r="E7661" t="s">
        <v>7251</v>
      </c>
    </row>
    <row r="7662" spans="5:5" x14ac:dyDescent="0.25">
      <c r="E7662" t="s">
        <v>7252</v>
      </c>
    </row>
    <row r="7663" spans="5:5" x14ac:dyDescent="0.25">
      <c r="E7663" t="s">
        <v>7253</v>
      </c>
    </row>
    <row r="7664" spans="5:5" x14ac:dyDescent="0.25">
      <c r="E7664" t="s">
        <v>7254</v>
      </c>
    </row>
    <row r="7665" spans="5:5" x14ac:dyDescent="0.25">
      <c r="E7665" t="s">
        <v>7255</v>
      </c>
    </row>
    <row r="7666" spans="5:5" x14ac:dyDescent="0.25">
      <c r="E7666" t="s">
        <v>7256</v>
      </c>
    </row>
    <row r="7667" spans="5:5" x14ac:dyDescent="0.25">
      <c r="E7667" t="s">
        <v>7257</v>
      </c>
    </row>
    <row r="7668" spans="5:5" x14ac:dyDescent="0.25">
      <c r="E7668" t="s">
        <v>7258</v>
      </c>
    </row>
    <row r="7669" spans="5:5" x14ac:dyDescent="0.25">
      <c r="E7669" t="s">
        <v>7259</v>
      </c>
    </row>
    <row r="7670" spans="5:5" x14ac:dyDescent="0.25">
      <c r="E7670" t="s">
        <v>7260</v>
      </c>
    </row>
    <row r="7671" spans="5:5" x14ac:dyDescent="0.25">
      <c r="E7671" t="s">
        <v>7261</v>
      </c>
    </row>
    <row r="7672" spans="5:5" x14ac:dyDescent="0.25">
      <c r="E7672" t="s">
        <v>7262</v>
      </c>
    </row>
    <row r="7673" spans="5:5" x14ac:dyDescent="0.25">
      <c r="E7673" t="s">
        <v>7263</v>
      </c>
    </row>
    <row r="7674" spans="5:5" x14ac:dyDescent="0.25">
      <c r="E7674" t="s">
        <v>7264</v>
      </c>
    </row>
    <row r="7675" spans="5:5" x14ac:dyDescent="0.25">
      <c r="E7675" t="s">
        <v>7265</v>
      </c>
    </row>
    <row r="7676" spans="5:5" x14ac:dyDescent="0.25">
      <c r="E7676" t="s">
        <v>7266</v>
      </c>
    </row>
    <row r="7677" spans="5:5" x14ac:dyDescent="0.25">
      <c r="E7677" t="s">
        <v>7267</v>
      </c>
    </row>
    <row r="7678" spans="5:5" x14ac:dyDescent="0.25">
      <c r="E7678" t="s">
        <v>7268</v>
      </c>
    </row>
    <row r="7679" spans="5:5" x14ac:dyDescent="0.25">
      <c r="E7679" t="s">
        <v>7269</v>
      </c>
    </row>
    <row r="7680" spans="5:5" x14ac:dyDescent="0.25">
      <c r="E7680" t="s">
        <v>7270</v>
      </c>
    </row>
    <row r="7681" spans="5:5" x14ac:dyDescent="0.25">
      <c r="E7681" t="s">
        <v>7271</v>
      </c>
    </row>
    <row r="7682" spans="5:5" x14ac:dyDescent="0.25">
      <c r="E7682" t="s">
        <v>7272</v>
      </c>
    </row>
    <row r="7683" spans="5:5" x14ac:dyDescent="0.25">
      <c r="E7683" t="s">
        <v>7273</v>
      </c>
    </row>
    <row r="7684" spans="5:5" x14ac:dyDescent="0.25">
      <c r="E7684" t="s">
        <v>7274</v>
      </c>
    </row>
    <row r="7685" spans="5:5" x14ac:dyDescent="0.25">
      <c r="E7685" t="s">
        <v>7275</v>
      </c>
    </row>
    <row r="7686" spans="5:5" x14ac:dyDescent="0.25">
      <c r="E7686" t="s">
        <v>7276</v>
      </c>
    </row>
    <row r="7687" spans="5:5" x14ac:dyDescent="0.25">
      <c r="E7687" t="s">
        <v>7277</v>
      </c>
    </row>
    <row r="7688" spans="5:5" x14ac:dyDescent="0.25">
      <c r="E7688" t="s">
        <v>7278</v>
      </c>
    </row>
    <row r="7689" spans="5:5" x14ac:dyDescent="0.25">
      <c r="E7689" t="s">
        <v>7279</v>
      </c>
    </row>
    <row r="7690" spans="5:5" x14ac:dyDescent="0.25">
      <c r="E7690" t="s">
        <v>7280</v>
      </c>
    </row>
    <row r="7691" spans="5:5" x14ac:dyDescent="0.25">
      <c r="E7691" t="s">
        <v>7281</v>
      </c>
    </row>
    <row r="7692" spans="5:5" x14ac:dyDescent="0.25">
      <c r="E7692" t="s">
        <v>7282</v>
      </c>
    </row>
    <row r="7693" spans="5:5" x14ac:dyDescent="0.25">
      <c r="E7693" t="s">
        <v>7283</v>
      </c>
    </row>
    <row r="7694" spans="5:5" x14ac:dyDescent="0.25">
      <c r="E7694" t="s">
        <v>7284</v>
      </c>
    </row>
    <row r="7695" spans="5:5" x14ac:dyDescent="0.25">
      <c r="E7695" t="s">
        <v>7285</v>
      </c>
    </row>
    <row r="7696" spans="5:5" x14ac:dyDescent="0.25">
      <c r="E7696" t="s">
        <v>7286</v>
      </c>
    </row>
    <row r="7697" spans="5:5" x14ac:dyDescent="0.25">
      <c r="E7697" t="s">
        <v>7287</v>
      </c>
    </row>
    <row r="7698" spans="5:5" x14ac:dyDescent="0.25">
      <c r="E7698" t="s">
        <v>7288</v>
      </c>
    </row>
    <row r="7699" spans="5:5" x14ac:dyDescent="0.25">
      <c r="E7699" t="s">
        <v>7289</v>
      </c>
    </row>
    <row r="7700" spans="5:5" x14ac:dyDescent="0.25">
      <c r="E7700" t="s">
        <v>7290</v>
      </c>
    </row>
    <row r="7701" spans="5:5" x14ac:dyDescent="0.25">
      <c r="E7701" t="s">
        <v>7291</v>
      </c>
    </row>
    <row r="7702" spans="5:5" x14ac:dyDescent="0.25">
      <c r="E7702" t="s">
        <v>7292</v>
      </c>
    </row>
    <row r="7703" spans="5:5" x14ac:dyDescent="0.25">
      <c r="E7703" t="s">
        <v>7293</v>
      </c>
    </row>
    <row r="7704" spans="5:5" x14ac:dyDescent="0.25">
      <c r="E7704" t="s">
        <v>7294</v>
      </c>
    </row>
    <row r="7705" spans="5:5" x14ac:dyDescent="0.25">
      <c r="E7705" t="s">
        <v>7295</v>
      </c>
    </row>
    <row r="7706" spans="5:5" x14ac:dyDescent="0.25">
      <c r="E7706" t="s">
        <v>7296</v>
      </c>
    </row>
    <row r="7707" spans="5:5" x14ac:dyDescent="0.25">
      <c r="E7707" t="s">
        <v>7297</v>
      </c>
    </row>
    <row r="7708" spans="5:5" x14ac:dyDescent="0.25">
      <c r="E7708" t="s">
        <v>7298</v>
      </c>
    </row>
    <row r="7709" spans="5:5" x14ac:dyDescent="0.25">
      <c r="E7709" t="s">
        <v>7299</v>
      </c>
    </row>
    <row r="7710" spans="5:5" x14ac:dyDescent="0.25">
      <c r="E7710" t="s">
        <v>7300</v>
      </c>
    </row>
    <row r="7711" spans="5:5" x14ac:dyDescent="0.25">
      <c r="E7711" t="s">
        <v>7301</v>
      </c>
    </row>
    <row r="7712" spans="5:5" x14ac:dyDescent="0.25">
      <c r="E7712" t="s">
        <v>7302</v>
      </c>
    </row>
    <row r="7713" spans="5:5" x14ac:dyDescent="0.25">
      <c r="E7713" t="s">
        <v>7303</v>
      </c>
    </row>
    <row r="7714" spans="5:5" x14ac:dyDescent="0.25">
      <c r="E7714" t="s">
        <v>7304</v>
      </c>
    </row>
    <row r="7715" spans="5:5" x14ac:dyDescent="0.25">
      <c r="E7715" t="s">
        <v>7305</v>
      </c>
    </row>
    <row r="7716" spans="5:5" x14ac:dyDescent="0.25">
      <c r="E7716" t="s">
        <v>7306</v>
      </c>
    </row>
    <row r="7717" spans="5:5" x14ac:dyDescent="0.25">
      <c r="E7717" t="s">
        <v>7307</v>
      </c>
    </row>
    <row r="7718" spans="5:5" x14ac:dyDescent="0.25">
      <c r="E7718" t="s">
        <v>7308</v>
      </c>
    </row>
    <row r="7719" spans="5:5" x14ac:dyDescent="0.25">
      <c r="E7719" t="s">
        <v>7309</v>
      </c>
    </row>
    <row r="7720" spans="5:5" x14ac:dyDescent="0.25">
      <c r="E7720" t="s">
        <v>7310</v>
      </c>
    </row>
    <row r="7721" spans="5:5" x14ac:dyDescent="0.25">
      <c r="E7721" t="s">
        <v>7311</v>
      </c>
    </row>
    <row r="7722" spans="5:5" x14ac:dyDescent="0.25">
      <c r="E7722" t="s">
        <v>7312</v>
      </c>
    </row>
    <row r="7723" spans="5:5" x14ac:dyDescent="0.25">
      <c r="E7723" t="s">
        <v>7313</v>
      </c>
    </row>
    <row r="7724" spans="5:5" x14ac:dyDescent="0.25">
      <c r="E7724" t="s">
        <v>7314</v>
      </c>
    </row>
    <row r="7725" spans="5:5" x14ac:dyDescent="0.25">
      <c r="E7725" t="s">
        <v>7315</v>
      </c>
    </row>
    <row r="7726" spans="5:5" x14ac:dyDescent="0.25">
      <c r="E7726" t="s">
        <v>7316</v>
      </c>
    </row>
    <row r="7727" spans="5:5" x14ac:dyDescent="0.25">
      <c r="E7727" t="s">
        <v>7317</v>
      </c>
    </row>
    <row r="7728" spans="5:5" x14ac:dyDescent="0.25">
      <c r="E7728" t="s">
        <v>7318</v>
      </c>
    </row>
    <row r="7729" spans="5:5" x14ac:dyDescent="0.25">
      <c r="E7729" t="s">
        <v>7319</v>
      </c>
    </row>
    <row r="7730" spans="5:5" x14ac:dyDescent="0.25">
      <c r="E7730" t="s">
        <v>7320</v>
      </c>
    </row>
    <row r="7731" spans="5:5" x14ac:dyDescent="0.25">
      <c r="E7731" t="s">
        <v>7321</v>
      </c>
    </row>
    <row r="7732" spans="5:5" x14ac:dyDescent="0.25">
      <c r="E7732" t="s">
        <v>7322</v>
      </c>
    </row>
    <row r="7733" spans="5:5" x14ac:dyDescent="0.25">
      <c r="E7733" t="s">
        <v>7323</v>
      </c>
    </row>
    <row r="7734" spans="5:5" x14ac:dyDescent="0.25">
      <c r="E7734" t="s">
        <v>7324</v>
      </c>
    </row>
    <row r="7735" spans="5:5" x14ac:dyDescent="0.25">
      <c r="E7735" t="s">
        <v>7325</v>
      </c>
    </row>
    <row r="7736" spans="5:5" x14ac:dyDescent="0.25">
      <c r="E7736" t="s">
        <v>7326</v>
      </c>
    </row>
    <row r="7737" spans="5:5" x14ac:dyDescent="0.25">
      <c r="E7737" t="s">
        <v>7327</v>
      </c>
    </row>
    <row r="7738" spans="5:5" x14ac:dyDescent="0.25">
      <c r="E7738" t="s">
        <v>7328</v>
      </c>
    </row>
    <row r="7739" spans="5:5" x14ac:dyDescent="0.25">
      <c r="E7739" t="s">
        <v>7329</v>
      </c>
    </row>
    <row r="7740" spans="5:5" x14ac:dyDescent="0.25">
      <c r="E7740" t="s">
        <v>7330</v>
      </c>
    </row>
    <row r="7741" spans="5:5" x14ac:dyDescent="0.25">
      <c r="E7741" t="s">
        <v>7331</v>
      </c>
    </row>
    <row r="7742" spans="5:5" x14ac:dyDescent="0.25">
      <c r="E7742" t="s">
        <v>7332</v>
      </c>
    </row>
    <row r="7743" spans="5:5" x14ac:dyDescent="0.25">
      <c r="E7743" t="s">
        <v>7333</v>
      </c>
    </row>
    <row r="7744" spans="5:5" x14ac:dyDescent="0.25">
      <c r="E7744" t="s">
        <v>7334</v>
      </c>
    </row>
    <row r="7745" spans="5:5" x14ac:dyDescent="0.25">
      <c r="E7745" t="s">
        <v>7335</v>
      </c>
    </row>
    <row r="7746" spans="5:5" x14ac:dyDescent="0.25">
      <c r="E7746" t="s">
        <v>7336</v>
      </c>
    </row>
    <row r="7747" spans="5:5" x14ac:dyDescent="0.25">
      <c r="E7747" t="s">
        <v>7337</v>
      </c>
    </row>
    <row r="7748" spans="5:5" x14ac:dyDescent="0.25">
      <c r="E7748" t="s">
        <v>7338</v>
      </c>
    </row>
    <row r="7749" spans="5:5" x14ac:dyDescent="0.25">
      <c r="E7749" t="s">
        <v>7339</v>
      </c>
    </row>
    <row r="7750" spans="5:5" x14ac:dyDescent="0.25">
      <c r="E7750" t="s">
        <v>7340</v>
      </c>
    </row>
    <row r="7751" spans="5:5" x14ac:dyDescent="0.25">
      <c r="E7751" t="s">
        <v>7341</v>
      </c>
    </row>
    <row r="7752" spans="5:5" x14ac:dyDescent="0.25">
      <c r="E7752" t="s">
        <v>7342</v>
      </c>
    </row>
    <row r="7753" spans="5:5" x14ac:dyDescent="0.25">
      <c r="E7753" t="s">
        <v>7343</v>
      </c>
    </row>
    <row r="7754" spans="5:5" x14ac:dyDescent="0.25">
      <c r="E7754" t="s">
        <v>7344</v>
      </c>
    </row>
    <row r="7755" spans="5:5" x14ac:dyDescent="0.25">
      <c r="E7755" t="s">
        <v>7345</v>
      </c>
    </row>
    <row r="7756" spans="5:5" x14ac:dyDescent="0.25">
      <c r="E7756" t="s">
        <v>7346</v>
      </c>
    </row>
    <row r="7757" spans="5:5" x14ac:dyDescent="0.25">
      <c r="E7757" t="s">
        <v>7347</v>
      </c>
    </row>
    <row r="7758" spans="5:5" x14ac:dyDescent="0.25">
      <c r="E7758" t="s">
        <v>7348</v>
      </c>
    </row>
    <row r="7759" spans="5:5" x14ac:dyDescent="0.25">
      <c r="E7759" t="s">
        <v>7349</v>
      </c>
    </row>
    <row r="7760" spans="5:5" x14ac:dyDescent="0.25">
      <c r="E7760" t="s">
        <v>7350</v>
      </c>
    </row>
    <row r="7761" spans="5:5" x14ac:dyDescent="0.25">
      <c r="E7761" t="s">
        <v>7351</v>
      </c>
    </row>
    <row r="7762" spans="5:5" x14ac:dyDescent="0.25">
      <c r="E7762" t="s">
        <v>7352</v>
      </c>
    </row>
    <row r="7763" spans="5:5" x14ac:dyDescent="0.25">
      <c r="E7763" t="s">
        <v>7353</v>
      </c>
    </row>
    <row r="7764" spans="5:5" x14ac:dyDescent="0.25">
      <c r="E7764" t="s">
        <v>7354</v>
      </c>
    </row>
    <row r="7765" spans="5:5" x14ac:dyDescent="0.25">
      <c r="E7765" t="s">
        <v>7355</v>
      </c>
    </row>
    <row r="7766" spans="5:5" x14ac:dyDescent="0.25">
      <c r="E7766" t="s">
        <v>7356</v>
      </c>
    </row>
    <row r="7767" spans="5:5" x14ac:dyDescent="0.25">
      <c r="E7767" t="s">
        <v>7357</v>
      </c>
    </row>
    <row r="7768" spans="5:5" x14ac:dyDescent="0.25">
      <c r="E7768" t="s">
        <v>7358</v>
      </c>
    </row>
    <row r="7769" spans="5:5" x14ac:dyDescent="0.25">
      <c r="E7769" t="s">
        <v>7359</v>
      </c>
    </row>
    <row r="7770" spans="5:5" x14ac:dyDescent="0.25">
      <c r="E7770" t="s">
        <v>7360</v>
      </c>
    </row>
    <row r="7771" spans="5:5" x14ac:dyDescent="0.25">
      <c r="E7771" t="s">
        <v>7361</v>
      </c>
    </row>
    <row r="7772" spans="5:5" x14ac:dyDescent="0.25">
      <c r="E7772" t="s">
        <v>7362</v>
      </c>
    </row>
    <row r="7773" spans="5:5" x14ac:dyDescent="0.25">
      <c r="E7773" t="s">
        <v>7363</v>
      </c>
    </row>
    <row r="7774" spans="5:5" x14ac:dyDescent="0.25">
      <c r="E7774" t="s">
        <v>7364</v>
      </c>
    </row>
    <row r="7775" spans="5:5" x14ac:dyDescent="0.25">
      <c r="E7775" t="s">
        <v>7365</v>
      </c>
    </row>
    <row r="7776" spans="5:5" x14ac:dyDescent="0.25">
      <c r="E7776" t="s">
        <v>7366</v>
      </c>
    </row>
    <row r="7777" spans="5:5" x14ac:dyDescent="0.25">
      <c r="E7777" t="s">
        <v>7367</v>
      </c>
    </row>
    <row r="7778" spans="5:5" x14ac:dyDescent="0.25">
      <c r="E7778" t="s">
        <v>7368</v>
      </c>
    </row>
    <row r="7779" spans="5:5" x14ac:dyDescent="0.25">
      <c r="E7779" t="s">
        <v>7369</v>
      </c>
    </row>
    <row r="7780" spans="5:5" x14ac:dyDescent="0.25">
      <c r="E7780" t="s">
        <v>7370</v>
      </c>
    </row>
    <row r="7781" spans="5:5" x14ac:dyDescent="0.25">
      <c r="E7781" t="s">
        <v>7371</v>
      </c>
    </row>
    <row r="7782" spans="5:5" x14ac:dyDescent="0.25">
      <c r="E7782" t="s">
        <v>7372</v>
      </c>
    </row>
    <row r="7783" spans="5:5" x14ac:dyDescent="0.25">
      <c r="E7783" t="s">
        <v>7373</v>
      </c>
    </row>
    <row r="7784" spans="5:5" x14ac:dyDescent="0.25">
      <c r="E7784" t="s">
        <v>7374</v>
      </c>
    </row>
    <row r="7785" spans="5:5" x14ac:dyDescent="0.25">
      <c r="E7785" t="s">
        <v>7375</v>
      </c>
    </row>
    <row r="7786" spans="5:5" x14ac:dyDescent="0.25">
      <c r="E7786" t="s">
        <v>7376</v>
      </c>
    </row>
    <row r="7787" spans="5:5" x14ac:dyDescent="0.25">
      <c r="E7787" t="s">
        <v>7377</v>
      </c>
    </row>
    <row r="7788" spans="5:5" x14ac:dyDescent="0.25">
      <c r="E7788" t="s">
        <v>7378</v>
      </c>
    </row>
    <row r="7789" spans="5:5" x14ac:dyDescent="0.25">
      <c r="E7789" t="s">
        <v>7379</v>
      </c>
    </row>
    <row r="7790" spans="5:5" x14ac:dyDescent="0.25">
      <c r="E7790" t="s">
        <v>7380</v>
      </c>
    </row>
    <row r="7791" spans="5:5" x14ac:dyDescent="0.25">
      <c r="E7791" t="s">
        <v>7381</v>
      </c>
    </row>
    <row r="7792" spans="5:5" x14ac:dyDescent="0.25">
      <c r="E7792" t="s">
        <v>7382</v>
      </c>
    </row>
    <row r="7793" spans="5:5" x14ac:dyDescent="0.25">
      <c r="E7793" t="s">
        <v>7383</v>
      </c>
    </row>
    <row r="7794" spans="5:5" x14ac:dyDescent="0.25">
      <c r="E7794" t="s">
        <v>7384</v>
      </c>
    </row>
    <row r="7795" spans="5:5" x14ac:dyDescent="0.25">
      <c r="E7795" t="s">
        <v>7385</v>
      </c>
    </row>
    <row r="7796" spans="5:5" x14ac:dyDescent="0.25">
      <c r="E7796" t="s">
        <v>7386</v>
      </c>
    </row>
    <row r="7797" spans="5:5" x14ac:dyDescent="0.25">
      <c r="E7797" t="s">
        <v>7387</v>
      </c>
    </row>
    <row r="7798" spans="5:5" x14ac:dyDescent="0.25">
      <c r="E7798" t="s">
        <v>7388</v>
      </c>
    </row>
    <row r="7799" spans="5:5" x14ac:dyDescent="0.25">
      <c r="E7799" t="s">
        <v>7389</v>
      </c>
    </row>
    <row r="7811" spans="5:5" x14ac:dyDescent="0.25">
      <c r="E7811" t="s">
        <v>7390</v>
      </c>
    </row>
    <row r="7812" spans="5:5" x14ac:dyDescent="0.25">
      <c r="E7812" t="s">
        <v>7391</v>
      </c>
    </row>
    <row r="7813" spans="5:5" x14ac:dyDescent="0.25">
      <c r="E7813" t="s">
        <v>7392</v>
      </c>
    </row>
    <row r="7814" spans="5:5" x14ac:dyDescent="0.25">
      <c r="E7814" t="s">
        <v>7393</v>
      </c>
    </row>
    <row r="7815" spans="5:5" x14ac:dyDescent="0.25">
      <c r="E7815" t="s">
        <v>7394</v>
      </c>
    </row>
    <row r="7816" spans="5:5" x14ac:dyDescent="0.25">
      <c r="E7816" t="s">
        <v>7395</v>
      </c>
    </row>
    <row r="7817" spans="5:5" x14ac:dyDescent="0.25">
      <c r="E7817" t="s">
        <v>7396</v>
      </c>
    </row>
    <row r="7818" spans="5:5" x14ac:dyDescent="0.25">
      <c r="E7818" t="s">
        <v>7397</v>
      </c>
    </row>
    <row r="7819" spans="5:5" x14ac:dyDescent="0.25">
      <c r="E7819" t="s">
        <v>7398</v>
      </c>
    </row>
    <row r="7820" spans="5:5" x14ac:dyDescent="0.25">
      <c r="E7820" t="s">
        <v>7399</v>
      </c>
    </row>
    <row r="7821" spans="5:5" x14ac:dyDescent="0.25">
      <c r="E7821" t="s">
        <v>7400</v>
      </c>
    </row>
    <row r="7822" spans="5:5" x14ac:dyDescent="0.25">
      <c r="E7822" t="s">
        <v>7401</v>
      </c>
    </row>
    <row r="7823" spans="5:5" x14ac:dyDescent="0.25">
      <c r="E7823" t="s">
        <v>7402</v>
      </c>
    </row>
    <row r="7824" spans="5:5" x14ac:dyDescent="0.25">
      <c r="E7824" t="s">
        <v>7403</v>
      </c>
    </row>
    <row r="7825" spans="5:5" x14ac:dyDescent="0.25">
      <c r="E7825" t="s">
        <v>7404</v>
      </c>
    </row>
    <row r="7826" spans="5:5" x14ac:dyDescent="0.25">
      <c r="E7826" t="s">
        <v>7405</v>
      </c>
    </row>
    <row r="7827" spans="5:5" x14ac:dyDescent="0.25">
      <c r="E7827" t="s">
        <v>7406</v>
      </c>
    </row>
    <row r="7828" spans="5:5" x14ac:dyDescent="0.25">
      <c r="E7828" t="s">
        <v>7407</v>
      </c>
    </row>
    <row r="7829" spans="5:5" x14ac:dyDescent="0.25">
      <c r="E7829" t="s">
        <v>7408</v>
      </c>
    </row>
    <row r="7830" spans="5:5" x14ac:dyDescent="0.25">
      <c r="E7830" t="s">
        <v>7409</v>
      </c>
    </row>
    <row r="7831" spans="5:5" x14ac:dyDescent="0.25">
      <c r="E7831" t="s">
        <v>7410</v>
      </c>
    </row>
    <row r="7832" spans="5:5" x14ac:dyDescent="0.25">
      <c r="E7832" t="s">
        <v>7411</v>
      </c>
    </row>
    <row r="7833" spans="5:5" x14ac:dyDescent="0.25">
      <c r="E7833" t="s">
        <v>7412</v>
      </c>
    </row>
    <row r="7834" spans="5:5" x14ac:dyDescent="0.25">
      <c r="E7834" t="s">
        <v>7413</v>
      </c>
    </row>
    <row r="7835" spans="5:5" x14ac:dyDescent="0.25">
      <c r="E7835" t="s">
        <v>7414</v>
      </c>
    </row>
    <row r="7836" spans="5:5" x14ac:dyDescent="0.25">
      <c r="E7836" t="s">
        <v>7415</v>
      </c>
    </row>
    <row r="7837" spans="5:5" x14ac:dyDescent="0.25">
      <c r="E7837" t="s">
        <v>7416</v>
      </c>
    </row>
    <row r="7838" spans="5:5" x14ac:dyDescent="0.25">
      <c r="E7838" t="s">
        <v>7417</v>
      </c>
    </row>
    <row r="7839" spans="5:5" x14ac:dyDescent="0.25">
      <c r="E7839" t="s">
        <v>7418</v>
      </c>
    </row>
    <row r="7840" spans="5:5" x14ac:dyDescent="0.25">
      <c r="E7840" t="s">
        <v>7419</v>
      </c>
    </row>
    <row r="7841" spans="5:5" x14ac:dyDescent="0.25">
      <c r="E7841" t="s">
        <v>7420</v>
      </c>
    </row>
    <row r="7842" spans="5:5" x14ac:dyDescent="0.25">
      <c r="E7842" t="s">
        <v>7421</v>
      </c>
    </row>
    <row r="7843" spans="5:5" x14ac:dyDescent="0.25">
      <c r="E7843" t="s">
        <v>7422</v>
      </c>
    </row>
    <row r="7844" spans="5:5" x14ac:dyDescent="0.25">
      <c r="E7844" t="s">
        <v>7423</v>
      </c>
    </row>
    <row r="7845" spans="5:5" x14ac:dyDescent="0.25">
      <c r="E7845" t="s">
        <v>7424</v>
      </c>
    </row>
    <row r="7846" spans="5:5" x14ac:dyDescent="0.25">
      <c r="E7846" t="s">
        <v>7425</v>
      </c>
    </row>
    <row r="7847" spans="5:5" x14ac:dyDescent="0.25">
      <c r="E7847" t="s">
        <v>7426</v>
      </c>
    </row>
    <row r="7848" spans="5:5" x14ac:dyDescent="0.25">
      <c r="E7848" t="s">
        <v>7427</v>
      </c>
    </row>
    <row r="7849" spans="5:5" x14ac:dyDescent="0.25">
      <c r="E7849" t="s">
        <v>7428</v>
      </c>
    </row>
    <row r="7850" spans="5:5" x14ac:dyDescent="0.25">
      <c r="E7850" t="s">
        <v>7429</v>
      </c>
    </row>
    <row r="7851" spans="5:5" x14ac:dyDescent="0.25">
      <c r="E7851" t="s">
        <v>7430</v>
      </c>
    </row>
    <row r="7852" spans="5:5" x14ac:dyDescent="0.25">
      <c r="E7852" t="s">
        <v>7431</v>
      </c>
    </row>
    <row r="7853" spans="5:5" x14ac:dyDescent="0.25">
      <c r="E7853" t="s">
        <v>7432</v>
      </c>
    </row>
    <row r="7854" spans="5:5" x14ac:dyDescent="0.25">
      <c r="E7854" t="s">
        <v>7433</v>
      </c>
    </row>
    <row r="7855" spans="5:5" x14ac:dyDescent="0.25">
      <c r="E7855" t="s">
        <v>7434</v>
      </c>
    </row>
    <row r="7856" spans="5:5" x14ac:dyDescent="0.25">
      <c r="E7856" t="s">
        <v>7435</v>
      </c>
    </row>
    <row r="7857" spans="5:5" x14ac:dyDescent="0.25">
      <c r="E7857" t="s">
        <v>7436</v>
      </c>
    </row>
    <row r="7858" spans="5:5" x14ac:dyDescent="0.25">
      <c r="E7858" t="s">
        <v>7437</v>
      </c>
    </row>
    <row r="7859" spans="5:5" x14ac:dyDescent="0.25">
      <c r="E7859" t="s">
        <v>7438</v>
      </c>
    </row>
    <row r="7860" spans="5:5" x14ac:dyDescent="0.25">
      <c r="E7860" t="s">
        <v>7439</v>
      </c>
    </row>
    <row r="7861" spans="5:5" x14ac:dyDescent="0.25">
      <c r="E7861" t="s">
        <v>7440</v>
      </c>
    </row>
    <row r="7862" spans="5:5" x14ac:dyDescent="0.25">
      <c r="E7862" t="s">
        <v>7441</v>
      </c>
    </row>
    <row r="7863" spans="5:5" x14ac:dyDescent="0.25">
      <c r="E7863" t="s">
        <v>7442</v>
      </c>
    </row>
    <row r="7864" spans="5:5" x14ac:dyDescent="0.25">
      <c r="E7864" t="s">
        <v>7443</v>
      </c>
    </row>
    <row r="7865" spans="5:5" x14ac:dyDescent="0.25">
      <c r="E7865" t="s">
        <v>7444</v>
      </c>
    </row>
    <row r="7866" spans="5:5" x14ac:dyDescent="0.25">
      <c r="E7866" t="s">
        <v>7445</v>
      </c>
    </row>
    <row r="7867" spans="5:5" x14ac:dyDescent="0.25">
      <c r="E7867" t="s">
        <v>7446</v>
      </c>
    </row>
    <row r="7868" spans="5:5" x14ac:dyDescent="0.25">
      <c r="E7868" t="s">
        <v>7447</v>
      </c>
    </row>
    <row r="7869" spans="5:5" x14ac:dyDescent="0.25">
      <c r="E7869" t="s">
        <v>7448</v>
      </c>
    </row>
    <row r="7870" spans="5:5" x14ac:dyDescent="0.25">
      <c r="E7870" t="s">
        <v>7449</v>
      </c>
    </row>
    <row r="7871" spans="5:5" x14ac:dyDescent="0.25">
      <c r="E7871" t="s">
        <v>7450</v>
      </c>
    </row>
    <row r="7872" spans="5:5" x14ac:dyDescent="0.25">
      <c r="E7872" t="s">
        <v>7451</v>
      </c>
    </row>
    <row r="7873" spans="5:5" x14ac:dyDescent="0.25">
      <c r="E7873" t="s">
        <v>7452</v>
      </c>
    </row>
    <row r="7874" spans="5:5" x14ac:dyDescent="0.25">
      <c r="E7874" t="s">
        <v>7453</v>
      </c>
    </row>
    <row r="7875" spans="5:5" x14ac:dyDescent="0.25">
      <c r="E7875" t="s">
        <v>7454</v>
      </c>
    </row>
    <row r="7876" spans="5:5" x14ac:dyDescent="0.25">
      <c r="E7876" t="s">
        <v>7455</v>
      </c>
    </row>
    <row r="7877" spans="5:5" x14ac:dyDescent="0.25">
      <c r="E7877" t="s">
        <v>7456</v>
      </c>
    </row>
    <row r="7878" spans="5:5" x14ac:dyDescent="0.25">
      <c r="E7878" t="s">
        <v>7457</v>
      </c>
    </row>
    <row r="7879" spans="5:5" x14ac:dyDescent="0.25">
      <c r="E7879" t="s">
        <v>7458</v>
      </c>
    </row>
    <row r="7880" spans="5:5" x14ac:dyDescent="0.25">
      <c r="E7880" t="s">
        <v>7459</v>
      </c>
    </row>
    <row r="7881" spans="5:5" x14ac:dyDescent="0.25">
      <c r="E7881" t="s">
        <v>7460</v>
      </c>
    </row>
    <row r="7882" spans="5:5" x14ac:dyDescent="0.25">
      <c r="E7882" t="s">
        <v>7461</v>
      </c>
    </row>
    <row r="7883" spans="5:5" x14ac:dyDescent="0.25">
      <c r="E7883" t="s">
        <v>7462</v>
      </c>
    </row>
    <row r="7884" spans="5:5" x14ac:dyDescent="0.25">
      <c r="E7884" t="s">
        <v>7463</v>
      </c>
    </row>
    <row r="7885" spans="5:5" x14ac:dyDescent="0.25">
      <c r="E7885" t="s">
        <v>7464</v>
      </c>
    </row>
    <row r="7886" spans="5:5" x14ac:dyDescent="0.25">
      <c r="E7886" t="s">
        <v>7465</v>
      </c>
    </row>
    <row r="7887" spans="5:5" x14ac:dyDescent="0.25">
      <c r="E7887" t="s">
        <v>7466</v>
      </c>
    </row>
    <row r="7888" spans="5:5" x14ac:dyDescent="0.25">
      <c r="E7888" t="s">
        <v>7467</v>
      </c>
    </row>
    <row r="7889" spans="5:5" x14ac:dyDescent="0.25">
      <c r="E7889" t="s">
        <v>7468</v>
      </c>
    </row>
    <row r="7890" spans="5:5" x14ac:dyDescent="0.25">
      <c r="E7890" t="s">
        <v>7469</v>
      </c>
    </row>
    <row r="7891" spans="5:5" x14ac:dyDescent="0.25">
      <c r="E7891" t="s">
        <v>7470</v>
      </c>
    </row>
    <row r="7892" spans="5:5" x14ac:dyDescent="0.25">
      <c r="E7892" t="s">
        <v>7471</v>
      </c>
    </row>
    <row r="7893" spans="5:5" x14ac:dyDescent="0.25">
      <c r="E7893" t="s">
        <v>7472</v>
      </c>
    </row>
    <row r="7894" spans="5:5" x14ac:dyDescent="0.25">
      <c r="E7894" t="s">
        <v>7473</v>
      </c>
    </row>
    <row r="7895" spans="5:5" x14ac:dyDescent="0.25">
      <c r="E7895" t="s">
        <v>7474</v>
      </c>
    </row>
    <row r="7896" spans="5:5" x14ac:dyDescent="0.25">
      <c r="E7896" t="s">
        <v>7475</v>
      </c>
    </row>
    <row r="7897" spans="5:5" x14ac:dyDescent="0.25">
      <c r="E7897" t="s">
        <v>7476</v>
      </c>
    </row>
    <row r="7898" spans="5:5" x14ac:dyDescent="0.25">
      <c r="E7898" t="s">
        <v>7477</v>
      </c>
    </row>
    <row r="7899" spans="5:5" x14ac:dyDescent="0.25">
      <c r="E7899" t="s">
        <v>7478</v>
      </c>
    </row>
    <row r="7900" spans="5:5" x14ac:dyDescent="0.25">
      <c r="E7900" t="s">
        <v>7479</v>
      </c>
    </row>
    <row r="7901" spans="5:5" x14ac:dyDescent="0.25">
      <c r="E7901" t="s">
        <v>7480</v>
      </c>
    </row>
    <row r="7902" spans="5:5" x14ac:dyDescent="0.25">
      <c r="E7902" t="s">
        <v>7481</v>
      </c>
    </row>
    <row r="7903" spans="5:5" x14ac:dyDescent="0.25">
      <c r="E7903" t="s">
        <v>7482</v>
      </c>
    </row>
    <row r="7904" spans="5:5" x14ac:dyDescent="0.25">
      <c r="E7904" t="s">
        <v>7483</v>
      </c>
    </row>
    <row r="7905" spans="5:5" x14ac:dyDescent="0.25">
      <c r="E7905" t="s">
        <v>7484</v>
      </c>
    </row>
    <row r="7906" spans="5:5" x14ac:dyDescent="0.25">
      <c r="E7906" t="s">
        <v>7485</v>
      </c>
    </row>
    <row r="7907" spans="5:5" x14ac:dyDescent="0.25">
      <c r="E7907" t="s">
        <v>7486</v>
      </c>
    </row>
    <row r="7908" spans="5:5" x14ac:dyDescent="0.25">
      <c r="E7908" t="s">
        <v>7487</v>
      </c>
    </row>
    <row r="7909" spans="5:5" x14ac:dyDescent="0.25">
      <c r="E7909" t="s">
        <v>7488</v>
      </c>
    </row>
    <row r="7910" spans="5:5" x14ac:dyDescent="0.25">
      <c r="E7910" t="s">
        <v>7489</v>
      </c>
    </row>
    <row r="7911" spans="5:5" x14ac:dyDescent="0.25">
      <c r="E7911" t="s">
        <v>7490</v>
      </c>
    </row>
    <row r="7912" spans="5:5" x14ac:dyDescent="0.25">
      <c r="E7912" t="s">
        <v>7491</v>
      </c>
    </row>
    <row r="7913" spans="5:5" x14ac:dyDescent="0.25">
      <c r="E7913" t="s">
        <v>7492</v>
      </c>
    </row>
    <row r="7914" spans="5:5" x14ac:dyDescent="0.25">
      <c r="E7914" t="s">
        <v>7493</v>
      </c>
    </row>
    <row r="7915" spans="5:5" x14ac:dyDescent="0.25">
      <c r="E7915" t="s">
        <v>7494</v>
      </c>
    </row>
    <row r="7916" spans="5:5" x14ac:dyDescent="0.25">
      <c r="E7916" t="s">
        <v>7495</v>
      </c>
    </row>
    <row r="7917" spans="5:5" x14ac:dyDescent="0.25">
      <c r="E7917" t="s">
        <v>7496</v>
      </c>
    </row>
    <row r="7918" spans="5:5" x14ac:dyDescent="0.25">
      <c r="E7918" t="s">
        <v>7497</v>
      </c>
    </row>
    <row r="7919" spans="5:5" x14ac:dyDescent="0.25">
      <c r="E7919" t="s">
        <v>7498</v>
      </c>
    </row>
    <row r="7920" spans="5:5" x14ac:dyDescent="0.25">
      <c r="E7920" t="s">
        <v>7499</v>
      </c>
    </row>
    <row r="7921" spans="5:5" x14ac:dyDescent="0.25">
      <c r="E7921" t="s">
        <v>7500</v>
      </c>
    </row>
    <row r="7922" spans="5:5" x14ac:dyDescent="0.25">
      <c r="E7922" t="s">
        <v>7501</v>
      </c>
    </row>
    <row r="7923" spans="5:5" x14ac:dyDescent="0.25">
      <c r="E7923" t="s">
        <v>7502</v>
      </c>
    </row>
    <row r="7924" spans="5:5" x14ac:dyDescent="0.25">
      <c r="E7924" t="s">
        <v>7503</v>
      </c>
    </row>
    <row r="7925" spans="5:5" x14ac:dyDescent="0.25">
      <c r="E7925" t="s">
        <v>7504</v>
      </c>
    </row>
    <row r="7926" spans="5:5" x14ac:dyDescent="0.25">
      <c r="E7926" t="s">
        <v>7505</v>
      </c>
    </row>
    <row r="7927" spans="5:5" x14ac:dyDescent="0.25">
      <c r="E7927" t="s">
        <v>7506</v>
      </c>
    </row>
    <row r="7928" spans="5:5" x14ac:dyDescent="0.25">
      <c r="E7928" t="s">
        <v>7507</v>
      </c>
    </row>
    <row r="7929" spans="5:5" x14ac:dyDescent="0.25">
      <c r="E7929" t="s">
        <v>7508</v>
      </c>
    </row>
    <row r="7930" spans="5:5" x14ac:dyDescent="0.25">
      <c r="E7930" t="s">
        <v>7509</v>
      </c>
    </row>
    <row r="7931" spans="5:5" x14ac:dyDescent="0.25">
      <c r="E7931" t="s">
        <v>7510</v>
      </c>
    </row>
    <row r="7932" spans="5:5" x14ac:dyDescent="0.25">
      <c r="E7932" t="s">
        <v>7511</v>
      </c>
    </row>
    <row r="7933" spans="5:5" x14ac:dyDescent="0.25">
      <c r="E7933" t="s">
        <v>7512</v>
      </c>
    </row>
    <row r="7934" spans="5:5" x14ac:dyDescent="0.25">
      <c r="E7934" t="s">
        <v>7513</v>
      </c>
    </row>
    <row r="7935" spans="5:5" x14ac:dyDescent="0.25">
      <c r="E7935" t="s">
        <v>7514</v>
      </c>
    </row>
    <row r="7936" spans="5:5" x14ac:dyDescent="0.25">
      <c r="E7936" t="s">
        <v>7515</v>
      </c>
    </row>
    <row r="7937" spans="5:5" x14ac:dyDescent="0.25">
      <c r="E7937" t="s">
        <v>7516</v>
      </c>
    </row>
    <row r="7938" spans="5:5" x14ac:dyDescent="0.25">
      <c r="E7938" t="s">
        <v>7517</v>
      </c>
    </row>
    <row r="7939" spans="5:5" x14ac:dyDescent="0.25">
      <c r="E7939" t="s">
        <v>7518</v>
      </c>
    </row>
    <row r="7940" spans="5:5" x14ac:dyDescent="0.25">
      <c r="E7940" t="s">
        <v>7519</v>
      </c>
    </row>
    <row r="7941" spans="5:5" x14ac:dyDescent="0.25">
      <c r="E7941" t="s">
        <v>7520</v>
      </c>
    </row>
    <row r="7942" spans="5:5" x14ac:dyDescent="0.25">
      <c r="E7942" t="s">
        <v>7521</v>
      </c>
    </row>
    <row r="7943" spans="5:5" x14ac:dyDescent="0.25">
      <c r="E7943" t="s">
        <v>7522</v>
      </c>
    </row>
    <row r="7944" spans="5:5" x14ac:dyDescent="0.25">
      <c r="E7944" t="s">
        <v>7523</v>
      </c>
    </row>
    <row r="7945" spans="5:5" x14ac:dyDescent="0.25">
      <c r="E7945" t="s">
        <v>7524</v>
      </c>
    </row>
    <row r="7946" spans="5:5" x14ac:dyDescent="0.25">
      <c r="E7946" t="s">
        <v>7525</v>
      </c>
    </row>
    <row r="7947" spans="5:5" x14ac:dyDescent="0.25">
      <c r="E7947" t="s">
        <v>7526</v>
      </c>
    </row>
    <row r="7948" spans="5:5" x14ac:dyDescent="0.25">
      <c r="E7948" t="s">
        <v>7527</v>
      </c>
    </row>
    <row r="7949" spans="5:5" x14ac:dyDescent="0.25">
      <c r="E7949" t="s">
        <v>7528</v>
      </c>
    </row>
    <row r="7950" spans="5:5" x14ac:dyDescent="0.25">
      <c r="E7950" t="s">
        <v>7529</v>
      </c>
    </row>
    <row r="7951" spans="5:5" x14ac:dyDescent="0.25">
      <c r="E7951" t="s">
        <v>7530</v>
      </c>
    </row>
    <row r="7952" spans="5:5" x14ac:dyDescent="0.25">
      <c r="E7952" t="s">
        <v>7531</v>
      </c>
    </row>
    <row r="7953" spans="5:5" x14ac:dyDescent="0.25">
      <c r="E7953" t="s">
        <v>7532</v>
      </c>
    </row>
    <row r="7954" spans="5:5" x14ac:dyDescent="0.25">
      <c r="E7954" t="s">
        <v>7533</v>
      </c>
    </row>
    <row r="7955" spans="5:5" x14ac:dyDescent="0.25">
      <c r="E7955" t="s">
        <v>7534</v>
      </c>
    </row>
    <row r="7956" spans="5:5" x14ac:dyDescent="0.25">
      <c r="E7956" t="s">
        <v>7535</v>
      </c>
    </row>
    <row r="7957" spans="5:5" x14ac:dyDescent="0.25">
      <c r="E7957" t="s">
        <v>7536</v>
      </c>
    </row>
    <row r="7958" spans="5:5" x14ac:dyDescent="0.25">
      <c r="E7958" t="s">
        <v>7537</v>
      </c>
    </row>
    <row r="7959" spans="5:5" x14ac:dyDescent="0.25">
      <c r="E7959" t="s">
        <v>7538</v>
      </c>
    </row>
    <row r="7960" spans="5:5" x14ac:dyDescent="0.25">
      <c r="E7960" t="s">
        <v>7539</v>
      </c>
    </row>
    <row r="7961" spans="5:5" x14ac:dyDescent="0.25">
      <c r="E7961" t="s">
        <v>7540</v>
      </c>
    </row>
    <row r="7962" spans="5:5" x14ac:dyDescent="0.25">
      <c r="E7962" t="s">
        <v>7541</v>
      </c>
    </row>
    <row r="7963" spans="5:5" x14ac:dyDescent="0.25">
      <c r="E7963" t="s">
        <v>7542</v>
      </c>
    </row>
    <row r="7964" spans="5:5" x14ac:dyDescent="0.25">
      <c r="E7964" t="s">
        <v>7543</v>
      </c>
    </row>
    <row r="7965" spans="5:5" x14ac:dyDescent="0.25">
      <c r="E7965" t="s">
        <v>7544</v>
      </c>
    </row>
    <row r="7966" spans="5:5" x14ac:dyDescent="0.25">
      <c r="E7966" t="s">
        <v>7545</v>
      </c>
    </row>
    <row r="7967" spans="5:5" x14ac:dyDescent="0.25">
      <c r="E7967" t="s">
        <v>7546</v>
      </c>
    </row>
    <row r="7968" spans="5:5" x14ac:dyDescent="0.25">
      <c r="E7968" t="s">
        <v>7547</v>
      </c>
    </row>
    <row r="7969" spans="5:5" x14ac:dyDescent="0.25">
      <c r="E7969" t="s">
        <v>7548</v>
      </c>
    </row>
    <row r="7970" spans="5:5" x14ac:dyDescent="0.25">
      <c r="E7970" t="s">
        <v>7549</v>
      </c>
    </row>
    <row r="7971" spans="5:5" x14ac:dyDescent="0.25">
      <c r="E7971" t="s">
        <v>7550</v>
      </c>
    </row>
    <row r="7972" spans="5:5" x14ac:dyDescent="0.25">
      <c r="E7972" t="s">
        <v>7551</v>
      </c>
    </row>
    <row r="7973" spans="5:5" x14ac:dyDescent="0.25">
      <c r="E7973" t="s">
        <v>7552</v>
      </c>
    </row>
    <row r="7974" spans="5:5" x14ac:dyDescent="0.25">
      <c r="E7974" t="s">
        <v>7553</v>
      </c>
    </row>
    <row r="7975" spans="5:5" x14ac:dyDescent="0.25">
      <c r="E7975" t="s">
        <v>7554</v>
      </c>
    </row>
    <row r="7976" spans="5:5" x14ac:dyDescent="0.25">
      <c r="E7976" t="s">
        <v>7555</v>
      </c>
    </row>
    <row r="7977" spans="5:5" x14ac:dyDescent="0.25">
      <c r="E7977" t="s">
        <v>7556</v>
      </c>
    </row>
    <row r="7978" spans="5:5" x14ac:dyDescent="0.25">
      <c r="E7978" t="s">
        <v>7557</v>
      </c>
    </row>
    <row r="7979" spans="5:5" x14ac:dyDescent="0.25">
      <c r="E7979" t="s">
        <v>7558</v>
      </c>
    </row>
    <row r="7980" spans="5:5" x14ac:dyDescent="0.25">
      <c r="E7980" t="s">
        <v>7559</v>
      </c>
    </row>
    <row r="7981" spans="5:5" x14ac:dyDescent="0.25">
      <c r="E7981" t="s">
        <v>7560</v>
      </c>
    </row>
    <row r="7982" spans="5:5" x14ac:dyDescent="0.25">
      <c r="E7982" t="s">
        <v>7561</v>
      </c>
    </row>
    <row r="7983" spans="5:5" x14ac:dyDescent="0.25">
      <c r="E7983" t="s">
        <v>7562</v>
      </c>
    </row>
    <row r="7984" spans="5:5" x14ac:dyDescent="0.25">
      <c r="E7984" t="s">
        <v>7563</v>
      </c>
    </row>
    <row r="7985" spans="5:5" x14ac:dyDescent="0.25">
      <c r="E7985" t="s">
        <v>7564</v>
      </c>
    </row>
    <row r="7986" spans="5:5" x14ac:dyDescent="0.25">
      <c r="E7986" t="s">
        <v>7565</v>
      </c>
    </row>
    <row r="7987" spans="5:5" x14ac:dyDescent="0.25">
      <c r="E7987" t="s">
        <v>7566</v>
      </c>
    </row>
    <row r="7988" spans="5:5" x14ac:dyDescent="0.25">
      <c r="E7988" t="s">
        <v>7567</v>
      </c>
    </row>
    <row r="7989" spans="5:5" x14ac:dyDescent="0.25">
      <c r="E7989" t="s">
        <v>7568</v>
      </c>
    </row>
    <row r="7990" spans="5:5" x14ac:dyDescent="0.25">
      <c r="E7990" t="s">
        <v>7569</v>
      </c>
    </row>
    <row r="7991" spans="5:5" x14ac:dyDescent="0.25">
      <c r="E7991" t="s">
        <v>7570</v>
      </c>
    </row>
    <row r="7992" spans="5:5" x14ac:dyDescent="0.25">
      <c r="E7992" t="s">
        <v>7571</v>
      </c>
    </row>
    <row r="7993" spans="5:5" x14ac:dyDescent="0.25">
      <c r="E7993" t="s">
        <v>7572</v>
      </c>
    </row>
    <row r="7994" spans="5:5" x14ac:dyDescent="0.25">
      <c r="E7994" t="s">
        <v>7573</v>
      </c>
    </row>
    <row r="7995" spans="5:5" x14ac:dyDescent="0.25">
      <c r="E7995" t="s">
        <v>7574</v>
      </c>
    </row>
    <row r="7996" spans="5:5" x14ac:dyDescent="0.25">
      <c r="E7996" t="s">
        <v>7575</v>
      </c>
    </row>
    <row r="7997" spans="5:5" x14ac:dyDescent="0.25">
      <c r="E7997" t="s">
        <v>7576</v>
      </c>
    </row>
    <row r="7998" spans="5:5" x14ac:dyDescent="0.25">
      <c r="E7998" t="s">
        <v>7577</v>
      </c>
    </row>
    <row r="7999" spans="5:5" x14ac:dyDescent="0.25">
      <c r="E7999" t="s">
        <v>7578</v>
      </c>
    </row>
    <row r="8000" spans="5:5" x14ac:dyDescent="0.25">
      <c r="E8000" t="s">
        <v>7579</v>
      </c>
    </row>
    <row r="8001" spans="5:5" x14ac:dyDescent="0.25">
      <c r="E8001" t="s">
        <v>7580</v>
      </c>
    </row>
    <row r="8002" spans="5:5" x14ac:dyDescent="0.25">
      <c r="E8002" t="s">
        <v>7581</v>
      </c>
    </row>
    <row r="8003" spans="5:5" x14ac:dyDescent="0.25">
      <c r="E8003" t="s">
        <v>7582</v>
      </c>
    </row>
    <row r="8004" spans="5:5" x14ac:dyDescent="0.25">
      <c r="E8004" t="s">
        <v>7583</v>
      </c>
    </row>
    <row r="8005" spans="5:5" x14ac:dyDescent="0.25">
      <c r="E8005" t="s">
        <v>7584</v>
      </c>
    </row>
    <row r="8006" spans="5:5" x14ac:dyDescent="0.25">
      <c r="E8006" t="s">
        <v>7585</v>
      </c>
    </row>
    <row r="8007" spans="5:5" x14ac:dyDescent="0.25">
      <c r="E8007" t="s">
        <v>7586</v>
      </c>
    </row>
    <row r="8008" spans="5:5" x14ac:dyDescent="0.25">
      <c r="E8008" t="s">
        <v>7587</v>
      </c>
    </row>
    <row r="8009" spans="5:5" x14ac:dyDescent="0.25">
      <c r="E8009" t="s">
        <v>7588</v>
      </c>
    </row>
    <row r="8010" spans="5:5" x14ac:dyDescent="0.25">
      <c r="E8010" t="s">
        <v>7589</v>
      </c>
    </row>
    <row r="8011" spans="5:5" x14ac:dyDescent="0.25">
      <c r="E8011" t="s">
        <v>7590</v>
      </c>
    </row>
    <row r="8012" spans="5:5" x14ac:dyDescent="0.25">
      <c r="E8012" t="s">
        <v>7591</v>
      </c>
    </row>
    <row r="8013" spans="5:5" x14ac:dyDescent="0.25">
      <c r="E8013" t="s">
        <v>7592</v>
      </c>
    </row>
    <row r="8014" spans="5:5" x14ac:dyDescent="0.25">
      <c r="E8014" t="s">
        <v>7593</v>
      </c>
    </row>
    <row r="8015" spans="5:5" x14ac:dyDescent="0.25">
      <c r="E8015" t="s">
        <v>7594</v>
      </c>
    </row>
    <row r="8016" spans="5:5" x14ac:dyDescent="0.25">
      <c r="E8016" t="s">
        <v>7595</v>
      </c>
    </row>
    <row r="8017" spans="5:5" x14ac:dyDescent="0.25">
      <c r="E8017" t="s">
        <v>7596</v>
      </c>
    </row>
    <row r="8018" spans="5:5" x14ac:dyDescent="0.25">
      <c r="E8018" t="s">
        <v>7597</v>
      </c>
    </row>
    <row r="8019" spans="5:5" x14ac:dyDescent="0.25">
      <c r="E8019" t="s">
        <v>7598</v>
      </c>
    </row>
    <row r="8020" spans="5:5" x14ac:dyDescent="0.25">
      <c r="E8020" t="s">
        <v>7599</v>
      </c>
    </row>
    <row r="8021" spans="5:5" x14ac:dyDescent="0.25">
      <c r="E8021" t="s">
        <v>7600</v>
      </c>
    </row>
    <row r="8022" spans="5:5" x14ac:dyDescent="0.25">
      <c r="E8022" t="s">
        <v>7601</v>
      </c>
    </row>
    <row r="8023" spans="5:5" x14ac:dyDescent="0.25">
      <c r="E8023" t="s">
        <v>7602</v>
      </c>
    </row>
    <row r="8024" spans="5:5" x14ac:dyDescent="0.25">
      <c r="E8024" t="s">
        <v>7603</v>
      </c>
    </row>
    <row r="8025" spans="5:5" x14ac:dyDescent="0.25">
      <c r="E8025" t="s">
        <v>7604</v>
      </c>
    </row>
    <row r="8026" spans="5:5" x14ac:dyDescent="0.25">
      <c r="E8026" t="s">
        <v>7605</v>
      </c>
    </row>
    <row r="8027" spans="5:5" x14ac:dyDescent="0.25">
      <c r="E8027" t="s">
        <v>7606</v>
      </c>
    </row>
    <row r="8028" spans="5:5" x14ac:dyDescent="0.25">
      <c r="E8028" t="s">
        <v>7607</v>
      </c>
    </row>
    <row r="8029" spans="5:5" x14ac:dyDescent="0.25">
      <c r="E8029" t="s">
        <v>7608</v>
      </c>
    </row>
    <row r="8030" spans="5:5" x14ac:dyDescent="0.25">
      <c r="E8030" t="s">
        <v>7609</v>
      </c>
    </row>
    <row r="8031" spans="5:5" x14ac:dyDescent="0.25">
      <c r="E8031" t="s">
        <v>7610</v>
      </c>
    </row>
    <row r="8032" spans="5:5" x14ac:dyDescent="0.25">
      <c r="E8032" t="s">
        <v>7611</v>
      </c>
    </row>
    <row r="8033" spans="5:5" x14ac:dyDescent="0.25">
      <c r="E8033" t="s">
        <v>7612</v>
      </c>
    </row>
    <row r="8034" spans="5:5" x14ac:dyDescent="0.25">
      <c r="E8034" t="s">
        <v>7613</v>
      </c>
    </row>
    <row r="8035" spans="5:5" x14ac:dyDescent="0.25">
      <c r="E8035" t="s">
        <v>7614</v>
      </c>
    </row>
    <row r="8036" spans="5:5" x14ac:dyDescent="0.25">
      <c r="E8036" t="s">
        <v>7615</v>
      </c>
    </row>
    <row r="8037" spans="5:5" x14ac:dyDescent="0.25">
      <c r="E8037" t="s">
        <v>7616</v>
      </c>
    </row>
    <row r="8038" spans="5:5" x14ac:dyDescent="0.25">
      <c r="E8038" t="s">
        <v>7617</v>
      </c>
    </row>
    <row r="8039" spans="5:5" x14ac:dyDescent="0.25">
      <c r="E8039" t="s">
        <v>7618</v>
      </c>
    </row>
    <row r="8040" spans="5:5" x14ac:dyDescent="0.25">
      <c r="E8040" t="s">
        <v>7619</v>
      </c>
    </row>
    <row r="8041" spans="5:5" x14ac:dyDescent="0.25">
      <c r="E8041" t="s">
        <v>7620</v>
      </c>
    </row>
    <row r="8042" spans="5:5" x14ac:dyDescent="0.25">
      <c r="E8042" t="s">
        <v>7621</v>
      </c>
    </row>
    <row r="8043" spans="5:5" x14ac:dyDescent="0.25">
      <c r="E8043" t="s">
        <v>7622</v>
      </c>
    </row>
    <row r="8044" spans="5:5" x14ac:dyDescent="0.25">
      <c r="E8044" t="s">
        <v>7623</v>
      </c>
    </row>
    <row r="8045" spans="5:5" x14ac:dyDescent="0.25">
      <c r="E8045" t="s">
        <v>7624</v>
      </c>
    </row>
    <row r="8046" spans="5:5" x14ac:dyDescent="0.25">
      <c r="E8046" t="s">
        <v>7625</v>
      </c>
    </row>
    <row r="8047" spans="5:5" x14ac:dyDescent="0.25">
      <c r="E8047" t="s">
        <v>7626</v>
      </c>
    </row>
    <row r="8048" spans="5:5" x14ac:dyDescent="0.25">
      <c r="E8048" t="s">
        <v>7627</v>
      </c>
    </row>
    <row r="8049" spans="5:5" x14ac:dyDescent="0.25">
      <c r="E8049" t="s">
        <v>7628</v>
      </c>
    </row>
    <row r="8050" spans="5:5" x14ac:dyDescent="0.25">
      <c r="E8050" t="s">
        <v>7629</v>
      </c>
    </row>
    <row r="8051" spans="5:5" x14ac:dyDescent="0.25">
      <c r="E8051" t="s">
        <v>7630</v>
      </c>
    </row>
    <row r="8052" spans="5:5" x14ac:dyDescent="0.25">
      <c r="E8052" t="s">
        <v>7631</v>
      </c>
    </row>
    <row r="8053" spans="5:5" x14ac:dyDescent="0.25">
      <c r="E8053" t="s">
        <v>7632</v>
      </c>
    </row>
    <row r="8054" spans="5:5" x14ac:dyDescent="0.25">
      <c r="E8054" t="s">
        <v>7633</v>
      </c>
    </row>
    <row r="8055" spans="5:5" x14ac:dyDescent="0.25">
      <c r="E8055" t="s">
        <v>7634</v>
      </c>
    </row>
    <row r="8056" spans="5:5" x14ac:dyDescent="0.25">
      <c r="E8056" t="s">
        <v>7635</v>
      </c>
    </row>
    <row r="8057" spans="5:5" x14ac:dyDescent="0.25">
      <c r="E8057" t="s">
        <v>7636</v>
      </c>
    </row>
    <row r="8058" spans="5:5" x14ac:dyDescent="0.25">
      <c r="E8058" t="s">
        <v>7637</v>
      </c>
    </row>
    <row r="8059" spans="5:5" x14ac:dyDescent="0.25">
      <c r="E8059" t="s">
        <v>7638</v>
      </c>
    </row>
    <row r="8060" spans="5:5" x14ac:dyDescent="0.25">
      <c r="E8060" t="s">
        <v>7639</v>
      </c>
    </row>
    <row r="8061" spans="5:5" x14ac:dyDescent="0.25">
      <c r="E8061" t="s">
        <v>7640</v>
      </c>
    </row>
    <row r="8062" spans="5:5" x14ac:dyDescent="0.25">
      <c r="E8062" t="s">
        <v>7641</v>
      </c>
    </row>
    <row r="8063" spans="5:5" x14ac:dyDescent="0.25">
      <c r="E8063" t="s">
        <v>7642</v>
      </c>
    </row>
    <row r="8064" spans="5:5" x14ac:dyDescent="0.25">
      <c r="E8064" t="s">
        <v>7643</v>
      </c>
    </row>
    <row r="8065" spans="5:5" x14ac:dyDescent="0.25">
      <c r="E8065" t="s">
        <v>7644</v>
      </c>
    </row>
    <row r="8066" spans="5:5" x14ac:dyDescent="0.25">
      <c r="E8066" t="s">
        <v>7645</v>
      </c>
    </row>
    <row r="8067" spans="5:5" x14ac:dyDescent="0.25">
      <c r="E8067" t="s">
        <v>7646</v>
      </c>
    </row>
    <row r="8068" spans="5:5" x14ac:dyDescent="0.25">
      <c r="E8068" t="s">
        <v>7647</v>
      </c>
    </row>
    <row r="8069" spans="5:5" x14ac:dyDescent="0.25">
      <c r="E8069" t="s">
        <v>7648</v>
      </c>
    </row>
    <row r="8070" spans="5:5" x14ac:dyDescent="0.25">
      <c r="E8070" t="s">
        <v>7649</v>
      </c>
    </row>
    <row r="8071" spans="5:5" x14ac:dyDescent="0.25">
      <c r="E8071" t="s">
        <v>7650</v>
      </c>
    </row>
    <row r="8072" spans="5:5" x14ac:dyDescent="0.25">
      <c r="E8072" t="s">
        <v>7651</v>
      </c>
    </row>
    <row r="8073" spans="5:5" x14ac:dyDescent="0.25">
      <c r="E8073" t="s">
        <v>7652</v>
      </c>
    </row>
    <row r="8074" spans="5:5" x14ac:dyDescent="0.25">
      <c r="E8074" t="s">
        <v>7653</v>
      </c>
    </row>
    <row r="8075" spans="5:5" x14ac:dyDescent="0.25">
      <c r="E8075" t="s">
        <v>7654</v>
      </c>
    </row>
    <row r="8076" spans="5:5" x14ac:dyDescent="0.25">
      <c r="E8076" t="s">
        <v>7655</v>
      </c>
    </row>
    <row r="8077" spans="5:5" x14ac:dyDescent="0.25">
      <c r="E8077" t="s">
        <v>7656</v>
      </c>
    </row>
    <row r="8078" spans="5:5" x14ac:dyDescent="0.25">
      <c r="E8078" t="s">
        <v>7657</v>
      </c>
    </row>
    <row r="8079" spans="5:5" x14ac:dyDescent="0.25">
      <c r="E8079" t="s">
        <v>7658</v>
      </c>
    </row>
    <row r="8080" spans="5:5" x14ac:dyDescent="0.25">
      <c r="E8080" t="s">
        <v>7659</v>
      </c>
    </row>
    <row r="8081" spans="5:5" x14ac:dyDescent="0.25">
      <c r="E8081" t="s">
        <v>7660</v>
      </c>
    </row>
    <row r="8082" spans="5:5" x14ac:dyDescent="0.25">
      <c r="E8082" t="s">
        <v>7661</v>
      </c>
    </row>
    <row r="8083" spans="5:5" x14ac:dyDescent="0.25">
      <c r="E8083" t="s">
        <v>7662</v>
      </c>
    </row>
    <row r="8084" spans="5:5" x14ac:dyDescent="0.25">
      <c r="E8084" t="s">
        <v>7663</v>
      </c>
    </row>
    <row r="8085" spans="5:5" x14ac:dyDescent="0.25">
      <c r="E8085" t="s">
        <v>7664</v>
      </c>
    </row>
    <row r="8086" spans="5:5" x14ac:dyDescent="0.25">
      <c r="E8086" t="s">
        <v>7665</v>
      </c>
    </row>
    <row r="8087" spans="5:5" x14ac:dyDescent="0.25">
      <c r="E8087" t="s">
        <v>7666</v>
      </c>
    </row>
    <row r="8088" spans="5:5" x14ac:dyDescent="0.25">
      <c r="E8088" t="s">
        <v>7667</v>
      </c>
    </row>
    <row r="8089" spans="5:5" x14ac:dyDescent="0.25">
      <c r="E8089" t="s">
        <v>7668</v>
      </c>
    </row>
    <row r="8090" spans="5:5" x14ac:dyDescent="0.25">
      <c r="E8090" t="s">
        <v>7669</v>
      </c>
    </row>
    <row r="8091" spans="5:5" x14ac:dyDescent="0.25">
      <c r="E8091" t="s">
        <v>7670</v>
      </c>
    </row>
    <row r="8092" spans="5:5" x14ac:dyDescent="0.25">
      <c r="E8092" t="s">
        <v>7671</v>
      </c>
    </row>
    <row r="8093" spans="5:5" x14ac:dyDescent="0.25">
      <c r="E8093" t="s">
        <v>7672</v>
      </c>
    </row>
    <row r="8094" spans="5:5" x14ac:dyDescent="0.25">
      <c r="E8094" t="s">
        <v>7673</v>
      </c>
    </row>
    <row r="8095" spans="5:5" x14ac:dyDescent="0.25">
      <c r="E8095" t="s">
        <v>7674</v>
      </c>
    </row>
    <row r="8096" spans="5:5" x14ac:dyDescent="0.25">
      <c r="E8096" t="s">
        <v>7675</v>
      </c>
    </row>
    <row r="8097" spans="5:5" x14ac:dyDescent="0.25">
      <c r="E8097" t="s">
        <v>7676</v>
      </c>
    </row>
    <row r="8098" spans="5:5" x14ac:dyDescent="0.25">
      <c r="E8098" t="s">
        <v>7677</v>
      </c>
    </row>
    <row r="8099" spans="5:5" x14ac:dyDescent="0.25">
      <c r="E8099" t="s">
        <v>7678</v>
      </c>
    </row>
    <row r="8100" spans="5:5" x14ac:dyDescent="0.25">
      <c r="E8100" t="s">
        <v>7679</v>
      </c>
    </row>
    <row r="8101" spans="5:5" x14ac:dyDescent="0.25">
      <c r="E8101" t="s">
        <v>7680</v>
      </c>
    </row>
    <row r="8102" spans="5:5" x14ac:dyDescent="0.25">
      <c r="E8102" t="s">
        <v>7681</v>
      </c>
    </row>
    <row r="8103" spans="5:5" x14ac:dyDescent="0.25">
      <c r="E8103" t="s">
        <v>7682</v>
      </c>
    </row>
    <row r="8104" spans="5:5" x14ac:dyDescent="0.25">
      <c r="E8104" t="s">
        <v>7683</v>
      </c>
    </row>
    <row r="8105" spans="5:5" x14ac:dyDescent="0.25">
      <c r="E8105" t="s">
        <v>7684</v>
      </c>
    </row>
    <row r="8106" spans="5:5" x14ac:dyDescent="0.25">
      <c r="E8106" t="s">
        <v>7685</v>
      </c>
    </row>
    <row r="8107" spans="5:5" x14ac:dyDescent="0.25">
      <c r="E8107" t="s">
        <v>7686</v>
      </c>
    </row>
    <row r="8108" spans="5:5" x14ac:dyDescent="0.25">
      <c r="E8108" t="s">
        <v>7687</v>
      </c>
    </row>
    <row r="8109" spans="5:5" x14ac:dyDescent="0.25">
      <c r="E8109" t="s">
        <v>7688</v>
      </c>
    </row>
    <row r="8110" spans="5:5" x14ac:dyDescent="0.25">
      <c r="E8110" t="s">
        <v>7689</v>
      </c>
    </row>
    <row r="8111" spans="5:5" x14ac:dyDescent="0.25">
      <c r="E8111" t="s">
        <v>7690</v>
      </c>
    </row>
    <row r="8112" spans="5:5" x14ac:dyDescent="0.25">
      <c r="E8112" t="s">
        <v>7691</v>
      </c>
    </row>
    <row r="8113" spans="5:5" x14ac:dyDescent="0.25">
      <c r="E8113" t="s">
        <v>7692</v>
      </c>
    </row>
    <row r="8114" spans="5:5" x14ac:dyDescent="0.25">
      <c r="E8114" t="s">
        <v>7693</v>
      </c>
    </row>
    <row r="8115" spans="5:5" x14ac:dyDescent="0.25">
      <c r="E8115" t="s">
        <v>7694</v>
      </c>
    </row>
    <row r="8116" spans="5:5" x14ac:dyDescent="0.25">
      <c r="E8116" t="s">
        <v>7695</v>
      </c>
    </row>
    <row r="8117" spans="5:5" x14ac:dyDescent="0.25">
      <c r="E8117" t="s">
        <v>7696</v>
      </c>
    </row>
    <row r="8118" spans="5:5" x14ac:dyDescent="0.25">
      <c r="E8118" t="s">
        <v>7697</v>
      </c>
    </row>
    <row r="8119" spans="5:5" x14ac:dyDescent="0.25">
      <c r="E8119" t="s">
        <v>7698</v>
      </c>
    </row>
    <row r="8120" spans="5:5" x14ac:dyDescent="0.25">
      <c r="E8120" t="s">
        <v>7699</v>
      </c>
    </row>
    <row r="8121" spans="5:5" x14ac:dyDescent="0.25">
      <c r="E8121" t="s">
        <v>7700</v>
      </c>
    </row>
    <row r="8122" spans="5:5" x14ac:dyDescent="0.25">
      <c r="E8122" t="s">
        <v>7701</v>
      </c>
    </row>
    <row r="8123" spans="5:5" x14ac:dyDescent="0.25">
      <c r="E8123" t="s">
        <v>7702</v>
      </c>
    </row>
    <row r="8124" spans="5:5" x14ac:dyDescent="0.25">
      <c r="E8124" t="s">
        <v>7703</v>
      </c>
    </row>
    <row r="8125" spans="5:5" x14ac:dyDescent="0.25">
      <c r="E8125" t="s">
        <v>7704</v>
      </c>
    </row>
    <row r="8126" spans="5:5" x14ac:dyDescent="0.25">
      <c r="E8126" t="s">
        <v>7705</v>
      </c>
    </row>
    <row r="8127" spans="5:5" x14ac:dyDescent="0.25">
      <c r="E8127" t="s">
        <v>7706</v>
      </c>
    </row>
    <row r="8128" spans="5:5" x14ac:dyDescent="0.25">
      <c r="E8128" t="s">
        <v>7707</v>
      </c>
    </row>
    <row r="8129" spans="5:5" x14ac:dyDescent="0.25">
      <c r="E8129" t="s">
        <v>7708</v>
      </c>
    </row>
    <row r="8130" spans="5:5" x14ac:dyDescent="0.25">
      <c r="E8130" t="s">
        <v>7709</v>
      </c>
    </row>
    <row r="8131" spans="5:5" x14ac:dyDescent="0.25">
      <c r="E8131" t="s">
        <v>7710</v>
      </c>
    </row>
    <row r="8132" spans="5:5" x14ac:dyDescent="0.25">
      <c r="E8132" t="s">
        <v>7711</v>
      </c>
    </row>
    <row r="8133" spans="5:5" x14ac:dyDescent="0.25">
      <c r="E8133" t="s">
        <v>7712</v>
      </c>
    </row>
    <row r="8134" spans="5:5" x14ac:dyDescent="0.25">
      <c r="E8134" t="s">
        <v>7713</v>
      </c>
    </row>
    <row r="8135" spans="5:5" x14ac:dyDescent="0.25">
      <c r="E8135" t="s">
        <v>7714</v>
      </c>
    </row>
    <row r="8136" spans="5:5" x14ac:dyDescent="0.25">
      <c r="E8136" t="s">
        <v>7715</v>
      </c>
    </row>
    <row r="8137" spans="5:5" x14ac:dyDescent="0.25">
      <c r="E8137" t="s">
        <v>7716</v>
      </c>
    </row>
    <row r="8138" spans="5:5" x14ac:dyDescent="0.25">
      <c r="E8138" t="s">
        <v>7717</v>
      </c>
    </row>
    <row r="8139" spans="5:5" x14ac:dyDescent="0.25">
      <c r="E8139" t="s">
        <v>7718</v>
      </c>
    </row>
    <row r="8140" spans="5:5" x14ac:dyDescent="0.25">
      <c r="E8140" t="s">
        <v>7719</v>
      </c>
    </row>
    <row r="8141" spans="5:5" x14ac:dyDescent="0.25">
      <c r="E8141" t="s">
        <v>7720</v>
      </c>
    </row>
    <row r="8142" spans="5:5" x14ac:dyDescent="0.25">
      <c r="E8142" t="s">
        <v>7721</v>
      </c>
    </row>
    <row r="8143" spans="5:5" x14ac:dyDescent="0.25">
      <c r="E8143" t="s">
        <v>7722</v>
      </c>
    </row>
    <row r="8144" spans="5:5" x14ac:dyDescent="0.25">
      <c r="E8144" t="s">
        <v>7723</v>
      </c>
    </row>
    <row r="8145" spans="5:5" x14ac:dyDescent="0.25">
      <c r="E8145" t="s">
        <v>7724</v>
      </c>
    </row>
    <row r="8146" spans="5:5" x14ac:dyDescent="0.25">
      <c r="E8146" t="s">
        <v>7725</v>
      </c>
    </row>
    <row r="8147" spans="5:5" x14ac:dyDescent="0.25">
      <c r="E8147" t="s">
        <v>7726</v>
      </c>
    </row>
    <row r="8148" spans="5:5" x14ac:dyDescent="0.25">
      <c r="E8148" t="s">
        <v>7727</v>
      </c>
    </row>
    <row r="8149" spans="5:5" x14ac:dyDescent="0.25">
      <c r="E8149" t="s">
        <v>7728</v>
      </c>
    </row>
    <row r="8150" spans="5:5" x14ac:dyDescent="0.25">
      <c r="E8150" t="s">
        <v>7729</v>
      </c>
    </row>
    <row r="8151" spans="5:5" x14ac:dyDescent="0.25">
      <c r="E8151" t="s">
        <v>7730</v>
      </c>
    </row>
    <row r="8152" spans="5:5" x14ac:dyDescent="0.25">
      <c r="E8152" t="s">
        <v>7731</v>
      </c>
    </row>
    <row r="8153" spans="5:5" x14ac:dyDescent="0.25">
      <c r="E8153" t="s">
        <v>7732</v>
      </c>
    </row>
    <row r="8154" spans="5:5" x14ac:dyDescent="0.25">
      <c r="E8154" t="s">
        <v>7733</v>
      </c>
    </row>
    <row r="8155" spans="5:5" x14ac:dyDescent="0.25">
      <c r="E8155" t="s">
        <v>7734</v>
      </c>
    </row>
    <row r="8156" spans="5:5" x14ac:dyDescent="0.25">
      <c r="E8156" t="s">
        <v>7735</v>
      </c>
    </row>
    <row r="8157" spans="5:5" x14ac:dyDescent="0.25">
      <c r="E8157" t="s">
        <v>7736</v>
      </c>
    </row>
    <row r="8158" spans="5:5" x14ac:dyDescent="0.25">
      <c r="E8158" t="s">
        <v>7737</v>
      </c>
    </row>
    <row r="8159" spans="5:5" x14ac:dyDescent="0.25">
      <c r="E8159" t="s">
        <v>7738</v>
      </c>
    </row>
    <row r="8160" spans="5:5" x14ac:dyDescent="0.25">
      <c r="E8160" t="s">
        <v>7739</v>
      </c>
    </row>
    <row r="8161" spans="5:5" x14ac:dyDescent="0.25">
      <c r="E8161" t="s">
        <v>7740</v>
      </c>
    </row>
    <row r="8162" spans="5:5" x14ac:dyDescent="0.25">
      <c r="E8162" t="s">
        <v>7741</v>
      </c>
    </row>
    <row r="8163" spans="5:5" x14ac:dyDescent="0.25">
      <c r="E8163" t="s">
        <v>7742</v>
      </c>
    </row>
    <row r="8164" spans="5:5" x14ac:dyDescent="0.25">
      <c r="E8164" t="s">
        <v>7743</v>
      </c>
    </row>
    <row r="8165" spans="5:5" x14ac:dyDescent="0.25">
      <c r="E8165" t="s">
        <v>7744</v>
      </c>
    </row>
    <row r="8166" spans="5:5" x14ac:dyDescent="0.25">
      <c r="E8166" t="s">
        <v>7745</v>
      </c>
    </row>
    <row r="8167" spans="5:5" x14ac:dyDescent="0.25">
      <c r="E8167" t="s">
        <v>7746</v>
      </c>
    </row>
    <row r="8168" spans="5:5" x14ac:dyDescent="0.25">
      <c r="E8168" t="s">
        <v>7747</v>
      </c>
    </row>
    <row r="8169" spans="5:5" x14ac:dyDescent="0.25">
      <c r="E8169" t="s">
        <v>7748</v>
      </c>
    </row>
    <row r="8170" spans="5:5" x14ac:dyDescent="0.25">
      <c r="E8170" t="s">
        <v>7749</v>
      </c>
    </row>
    <row r="8171" spans="5:5" x14ac:dyDescent="0.25">
      <c r="E8171" t="s">
        <v>7750</v>
      </c>
    </row>
    <row r="8172" spans="5:5" x14ac:dyDescent="0.25">
      <c r="E8172" t="s">
        <v>7751</v>
      </c>
    </row>
    <row r="8173" spans="5:5" x14ac:dyDescent="0.25">
      <c r="E8173" t="s">
        <v>7752</v>
      </c>
    </row>
    <row r="8174" spans="5:5" x14ac:dyDescent="0.25">
      <c r="E8174" t="s">
        <v>7753</v>
      </c>
    </row>
    <row r="8175" spans="5:5" x14ac:dyDescent="0.25">
      <c r="E8175" t="s">
        <v>7754</v>
      </c>
    </row>
    <row r="8176" spans="5:5" x14ac:dyDescent="0.25">
      <c r="E8176" t="s">
        <v>7755</v>
      </c>
    </row>
    <row r="8177" spans="5:5" x14ac:dyDescent="0.25">
      <c r="E8177" t="s">
        <v>7756</v>
      </c>
    </row>
    <row r="8178" spans="5:5" x14ac:dyDescent="0.25">
      <c r="E8178" t="s">
        <v>7757</v>
      </c>
    </row>
    <row r="8179" spans="5:5" x14ac:dyDescent="0.25">
      <c r="E8179" t="s">
        <v>7758</v>
      </c>
    </row>
    <row r="8180" spans="5:5" x14ac:dyDescent="0.25">
      <c r="E8180" t="s">
        <v>7759</v>
      </c>
    </row>
    <row r="8181" spans="5:5" x14ac:dyDescent="0.25">
      <c r="E8181" t="s">
        <v>7760</v>
      </c>
    </row>
    <row r="8182" spans="5:5" x14ac:dyDescent="0.25">
      <c r="E8182" t="s">
        <v>7761</v>
      </c>
    </row>
    <row r="8183" spans="5:5" x14ac:dyDescent="0.25">
      <c r="E8183" t="s">
        <v>7762</v>
      </c>
    </row>
    <row r="8184" spans="5:5" x14ac:dyDescent="0.25">
      <c r="E8184" t="s">
        <v>7763</v>
      </c>
    </row>
    <row r="8185" spans="5:5" x14ac:dyDescent="0.25">
      <c r="E8185" t="s">
        <v>7764</v>
      </c>
    </row>
    <row r="8186" spans="5:5" x14ac:dyDescent="0.25">
      <c r="E8186" t="s">
        <v>7765</v>
      </c>
    </row>
    <row r="8187" spans="5:5" x14ac:dyDescent="0.25">
      <c r="E8187" t="s">
        <v>7766</v>
      </c>
    </row>
    <row r="8188" spans="5:5" x14ac:dyDescent="0.25">
      <c r="E8188" t="s">
        <v>7767</v>
      </c>
    </row>
    <row r="8189" spans="5:5" x14ac:dyDescent="0.25">
      <c r="E8189" t="s">
        <v>7768</v>
      </c>
    </row>
    <row r="8190" spans="5:5" x14ac:dyDescent="0.25">
      <c r="E8190" t="s">
        <v>7769</v>
      </c>
    </row>
    <row r="8191" spans="5:5" x14ac:dyDescent="0.25">
      <c r="E8191" t="s">
        <v>7770</v>
      </c>
    </row>
    <row r="8192" spans="5:5" x14ac:dyDescent="0.25">
      <c r="E8192" t="s">
        <v>7771</v>
      </c>
    </row>
    <row r="8193" spans="5:5" x14ac:dyDescent="0.25">
      <c r="E8193" t="s">
        <v>7772</v>
      </c>
    </row>
    <row r="8194" spans="5:5" x14ac:dyDescent="0.25">
      <c r="E8194" t="s">
        <v>7773</v>
      </c>
    </row>
    <row r="8195" spans="5:5" x14ac:dyDescent="0.25">
      <c r="E8195" t="s">
        <v>7774</v>
      </c>
    </row>
    <row r="8196" spans="5:5" x14ac:dyDescent="0.25">
      <c r="E8196" t="s">
        <v>7775</v>
      </c>
    </row>
    <row r="8197" spans="5:5" x14ac:dyDescent="0.25">
      <c r="E8197" t="s">
        <v>7776</v>
      </c>
    </row>
    <row r="8198" spans="5:5" x14ac:dyDescent="0.25">
      <c r="E8198" t="s">
        <v>7777</v>
      </c>
    </row>
    <row r="8199" spans="5:5" x14ac:dyDescent="0.25">
      <c r="E8199" t="s">
        <v>7778</v>
      </c>
    </row>
    <row r="8200" spans="5:5" x14ac:dyDescent="0.25">
      <c r="E8200" t="s">
        <v>7779</v>
      </c>
    </row>
    <row r="8201" spans="5:5" x14ac:dyDescent="0.25">
      <c r="E8201" t="s">
        <v>7780</v>
      </c>
    </row>
    <row r="8202" spans="5:5" x14ac:dyDescent="0.25">
      <c r="E8202" t="s">
        <v>7781</v>
      </c>
    </row>
    <row r="8203" spans="5:5" x14ac:dyDescent="0.25">
      <c r="E8203" t="s">
        <v>7782</v>
      </c>
    </row>
    <row r="8204" spans="5:5" x14ac:dyDescent="0.25">
      <c r="E8204" t="s">
        <v>7783</v>
      </c>
    </row>
    <row r="8205" spans="5:5" x14ac:dyDescent="0.25">
      <c r="E8205" t="s">
        <v>7784</v>
      </c>
    </row>
    <row r="8206" spans="5:5" x14ac:dyDescent="0.25">
      <c r="E8206" t="s">
        <v>7785</v>
      </c>
    </row>
    <row r="8207" spans="5:5" x14ac:dyDescent="0.25">
      <c r="E8207" t="s">
        <v>7786</v>
      </c>
    </row>
    <row r="8208" spans="5:5" x14ac:dyDescent="0.25">
      <c r="E8208" t="s">
        <v>7787</v>
      </c>
    </row>
    <row r="8209" spans="5:5" x14ac:dyDescent="0.25">
      <c r="E8209" t="s">
        <v>7788</v>
      </c>
    </row>
    <row r="8210" spans="5:5" x14ac:dyDescent="0.25">
      <c r="E8210" t="s">
        <v>7789</v>
      </c>
    </row>
    <row r="8211" spans="5:5" x14ac:dyDescent="0.25">
      <c r="E8211" t="s">
        <v>7790</v>
      </c>
    </row>
    <row r="8212" spans="5:5" x14ac:dyDescent="0.25">
      <c r="E8212" t="s">
        <v>7791</v>
      </c>
    </row>
    <row r="8213" spans="5:5" x14ac:dyDescent="0.25">
      <c r="E8213" t="s">
        <v>7792</v>
      </c>
    </row>
    <row r="8214" spans="5:5" x14ac:dyDescent="0.25">
      <c r="E8214" t="s">
        <v>7793</v>
      </c>
    </row>
    <row r="8215" spans="5:5" x14ac:dyDescent="0.25">
      <c r="E8215" t="s">
        <v>7794</v>
      </c>
    </row>
    <row r="8216" spans="5:5" x14ac:dyDescent="0.25">
      <c r="E8216" t="s">
        <v>7795</v>
      </c>
    </row>
    <row r="8217" spans="5:5" x14ac:dyDescent="0.25">
      <c r="E8217" t="s">
        <v>7796</v>
      </c>
    </row>
    <row r="8218" spans="5:5" x14ac:dyDescent="0.25">
      <c r="E8218" t="s">
        <v>7797</v>
      </c>
    </row>
    <row r="8219" spans="5:5" x14ac:dyDescent="0.25">
      <c r="E8219" t="s">
        <v>7798</v>
      </c>
    </row>
    <row r="8220" spans="5:5" x14ac:dyDescent="0.25">
      <c r="E8220" t="s">
        <v>7799</v>
      </c>
    </row>
    <row r="8221" spans="5:5" x14ac:dyDescent="0.25">
      <c r="E8221" t="s">
        <v>7800</v>
      </c>
    </row>
    <row r="8222" spans="5:5" x14ac:dyDescent="0.25">
      <c r="E8222" t="s">
        <v>7801</v>
      </c>
    </row>
    <row r="8223" spans="5:5" x14ac:dyDescent="0.25">
      <c r="E8223" t="s">
        <v>7802</v>
      </c>
    </row>
    <row r="8224" spans="5:5" x14ac:dyDescent="0.25">
      <c r="E8224" t="s">
        <v>7803</v>
      </c>
    </row>
    <row r="8225" spans="5:5" x14ac:dyDescent="0.25">
      <c r="E8225" t="s">
        <v>7804</v>
      </c>
    </row>
    <row r="8226" spans="5:5" x14ac:dyDescent="0.25">
      <c r="E8226" t="s">
        <v>7805</v>
      </c>
    </row>
    <row r="8227" spans="5:5" x14ac:dyDescent="0.25">
      <c r="E8227" t="s">
        <v>7806</v>
      </c>
    </row>
    <row r="8228" spans="5:5" x14ac:dyDescent="0.25">
      <c r="E8228" t="s">
        <v>7807</v>
      </c>
    </row>
    <row r="8229" spans="5:5" x14ac:dyDescent="0.25">
      <c r="E8229" t="s">
        <v>7808</v>
      </c>
    </row>
    <row r="8230" spans="5:5" x14ac:dyDescent="0.25">
      <c r="E8230" t="s">
        <v>7809</v>
      </c>
    </row>
    <row r="8232" spans="5:5" x14ac:dyDescent="0.25">
      <c r="E8232" t="s">
        <v>7810</v>
      </c>
    </row>
    <row r="8233" spans="5:5" x14ac:dyDescent="0.25">
      <c r="E8233" t="s">
        <v>7811</v>
      </c>
    </row>
    <row r="8234" spans="5:5" x14ac:dyDescent="0.25">
      <c r="E8234" t="s">
        <v>7812</v>
      </c>
    </row>
    <row r="8235" spans="5:5" x14ac:dyDescent="0.25">
      <c r="E8235" t="s">
        <v>7813</v>
      </c>
    </row>
    <row r="8236" spans="5:5" x14ac:dyDescent="0.25">
      <c r="E8236" t="s">
        <v>7814</v>
      </c>
    </row>
    <row r="8237" spans="5:5" x14ac:dyDescent="0.25">
      <c r="E8237" t="s">
        <v>7815</v>
      </c>
    </row>
    <row r="8238" spans="5:5" x14ac:dyDescent="0.25">
      <c r="E8238" t="s">
        <v>7816</v>
      </c>
    </row>
    <row r="8239" spans="5:5" x14ac:dyDescent="0.25">
      <c r="E8239" t="s">
        <v>7817</v>
      </c>
    </row>
    <row r="8240" spans="5:5" x14ac:dyDescent="0.25">
      <c r="E8240" t="s">
        <v>7818</v>
      </c>
    </row>
    <row r="8241" spans="5:5" x14ac:dyDescent="0.25">
      <c r="E8241" t="s">
        <v>7819</v>
      </c>
    </row>
    <row r="8242" spans="5:5" x14ac:dyDescent="0.25">
      <c r="E8242" t="s">
        <v>7820</v>
      </c>
    </row>
    <row r="8243" spans="5:5" x14ac:dyDescent="0.25">
      <c r="E8243" t="s">
        <v>7821</v>
      </c>
    </row>
    <row r="8244" spans="5:5" x14ac:dyDescent="0.25">
      <c r="E8244" t="s">
        <v>7822</v>
      </c>
    </row>
    <row r="8245" spans="5:5" x14ac:dyDescent="0.25">
      <c r="E8245" t="s">
        <v>7823</v>
      </c>
    </row>
    <row r="8246" spans="5:5" x14ac:dyDescent="0.25">
      <c r="E8246" t="s">
        <v>7824</v>
      </c>
    </row>
    <row r="8247" spans="5:5" x14ac:dyDescent="0.25">
      <c r="E8247" t="s">
        <v>7825</v>
      </c>
    </row>
    <row r="8248" spans="5:5" x14ac:dyDescent="0.25">
      <c r="E8248" t="s">
        <v>7826</v>
      </c>
    </row>
    <row r="8249" spans="5:5" x14ac:dyDescent="0.25">
      <c r="E8249" t="s">
        <v>7827</v>
      </c>
    </row>
    <row r="8250" spans="5:5" x14ac:dyDescent="0.25">
      <c r="E8250" t="s">
        <v>7828</v>
      </c>
    </row>
    <row r="8251" spans="5:5" x14ac:dyDescent="0.25">
      <c r="E8251" t="s">
        <v>7829</v>
      </c>
    </row>
    <row r="8252" spans="5:5" x14ac:dyDescent="0.25">
      <c r="E8252" t="s">
        <v>7830</v>
      </c>
    </row>
    <row r="8253" spans="5:5" x14ac:dyDescent="0.25">
      <c r="E8253" t="s">
        <v>7831</v>
      </c>
    </row>
    <row r="8254" spans="5:5" x14ac:dyDescent="0.25">
      <c r="E8254" t="s">
        <v>7832</v>
      </c>
    </row>
    <row r="8255" spans="5:5" x14ac:dyDescent="0.25">
      <c r="E8255" t="s">
        <v>7833</v>
      </c>
    </row>
    <row r="8256" spans="5:5" x14ac:dyDescent="0.25">
      <c r="E8256" t="s">
        <v>7834</v>
      </c>
    </row>
    <row r="8257" spans="5:5" x14ac:dyDescent="0.25">
      <c r="E8257" t="s">
        <v>7835</v>
      </c>
    </row>
    <row r="8258" spans="5:5" x14ac:dyDescent="0.25">
      <c r="E8258" t="s">
        <v>7836</v>
      </c>
    </row>
    <row r="8259" spans="5:5" x14ac:dyDescent="0.25">
      <c r="E8259" t="s">
        <v>7837</v>
      </c>
    </row>
    <row r="8260" spans="5:5" x14ac:dyDescent="0.25">
      <c r="E8260" t="s">
        <v>7838</v>
      </c>
    </row>
    <row r="8261" spans="5:5" x14ac:dyDescent="0.25">
      <c r="E8261" t="s">
        <v>7839</v>
      </c>
    </row>
    <row r="8262" spans="5:5" x14ac:dyDescent="0.25">
      <c r="E8262" t="s">
        <v>7840</v>
      </c>
    </row>
    <row r="8263" spans="5:5" x14ac:dyDescent="0.25">
      <c r="E8263" t="s">
        <v>7841</v>
      </c>
    </row>
    <row r="8264" spans="5:5" x14ac:dyDescent="0.25">
      <c r="E8264" t="s">
        <v>7842</v>
      </c>
    </row>
    <row r="8265" spans="5:5" x14ac:dyDescent="0.25">
      <c r="E8265" t="s">
        <v>7843</v>
      </c>
    </row>
    <row r="8266" spans="5:5" x14ac:dyDescent="0.25">
      <c r="E8266" t="s">
        <v>7844</v>
      </c>
    </row>
    <row r="8267" spans="5:5" x14ac:dyDescent="0.25">
      <c r="E8267" t="s">
        <v>7845</v>
      </c>
    </row>
    <row r="8268" spans="5:5" x14ac:dyDescent="0.25">
      <c r="E8268" t="s">
        <v>7846</v>
      </c>
    </row>
    <row r="8269" spans="5:5" x14ac:dyDescent="0.25">
      <c r="E8269" t="s">
        <v>7847</v>
      </c>
    </row>
    <row r="8270" spans="5:5" x14ac:dyDescent="0.25">
      <c r="E8270" t="s">
        <v>7848</v>
      </c>
    </row>
    <row r="8271" spans="5:5" x14ac:dyDescent="0.25">
      <c r="E8271" t="s">
        <v>7849</v>
      </c>
    </row>
    <row r="8272" spans="5:5" x14ac:dyDescent="0.25">
      <c r="E8272" t="s">
        <v>7850</v>
      </c>
    </row>
    <row r="8273" spans="5:5" x14ac:dyDescent="0.25">
      <c r="E8273" t="s">
        <v>7851</v>
      </c>
    </row>
    <row r="8274" spans="5:5" x14ac:dyDescent="0.25">
      <c r="E8274" t="s">
        <v>7852</v>
      </c>
    </row>
    <row r="8275" spans="5:5" x14ac:dyDescent="0.25">
      <c r="E8275" t="s">
        <v>7853</v>
      </c>
    </row>
    <row r="8276" spans="5:5" x14ac:dyDescent="0.25">
      <c r="E8276" t="s">
        <v>7854</v>
      </c>
    </row>
    <row r="8277" spans="5:5" x14ac:dyDescent="0.25">
      <c r="E8277" t="s">
        <v>7855</v>
      </c>
    </row>
    <row r="8278" spans="5:5" x14ac:dyDescent="0.25">
      <c r="E8278" t="s">
        <v>7856</v>
      </c>
    </row>
    <row r="8279" spans="5:5" x14ac:dyDescent="0.25">
      <c r="E8279" t="s">
        <v>7857</v>
      </c>
    </row>
    <row r="8280" spans="5:5" x14ac:dyDescent="0.25">
      <c r="E8280" t="s">
        <v>7858</v>
      </c>
    </row>
    <row r="8281" spans="5:5" x14ac:dyDescent="0.25">
      <c r="E8281" t="s">
        <v>7859</v>
      </c>
    </row>
    <row r="8282" spans="5:5" x14ac:dyDescent="0.25">
      <c r="E8282" t="s">
        <v>7860</v>
      </c>
    </row>
    <row r="8283" spans="5:5" x14ac:dyDescent="0.25">
      <c r="E8283" t="s">
        <v>7861</v>
      </c>
    </row>
    <row r="8284" spans="5:5" x14ac:dyDescent="0.25">
      <c r="E8284" t="s">
        <v>7862</v>
      </c>
    </row>
    <row r="8285" spans="5:5" x14ac:dyDescent="0.25">
      <c r="E8285" t="s">
        <v>7863</v>
      </c>
    </row>
    <row r="8286" spans="5:5" x14ac:dyDescent="0.25">
      <c r="E8286" t="s">
        <v>7864</v>
      </c>
    </row>
    <row r="8287" spans="5:5" x14ac:dyDescent="0.25">
      <c r="E8287" t="s">
        <v>7865</v>
      </c>
    </row>
    <row r="8288" spans="5:5" x14ac:dyDescent="0.25">
      <c r="E8288" t="s">
        <v>7866</v>
      </c>
    </row>
    <row r="8289" spans="5:5" x14ac:dyDescent="0.25">
      <c r="E8289" t="s">
        <v>7867</v>
      </c>
    </row>
    <row r="8290" spans="5:5" x14ac:dyDescent="0.25">
      <c r="E8290" t="s">
        <v>7868</v>
      </c>
    </row>
    <row r="8291" spans="5:5" x14ac:dyDescent="0.25">
      <c r="E8291" t="s">
        <v>7869</v>
      </c>
    </row>
    <row r="8292" spans="5:5" x14ac:dyDescent="0.25">
      <c r="E8292" t="s">
        <v>7870</v>
      </c>
    </row>
    <row r="8293" spans="5:5" x14ac:dyDescent="0.25">
      <c r="E8293" t="s">
        <v>7871</v>
      </c>
    </row>
    <row r="8294" spans="5:5" x14ac:dyDescent="0.25">
      <c r="E8294" t="s">
        <v>7872</v>
      </c>
    </row>
    <row r="8295" spans="5:5" x14ac:dyDescent="0.25">
      <c r="E8295" t="s">
        <v>7873</v>
      </c>
    </row>
    <row r="8296" spans="5:5" x14ac:dyDescent="0.25">
      <c r="E8296" t="s">
        <v>7874</v>
      </c>
    </row>
    <row r="8297" spans="5:5" x14ac:dyDescent="0.25">
      <c r="E8297" t="s">
        <v>7875</v>
      </c>
    </row>
    <row r="8298" spans="5:5" x14ac:dyDescent="0.25">
      <c r="E8298" t="s">
        <v>7876</v>
      </c>
    </row>
    <row r="8299" spans="5:5" x14ac:dyDescent="0.25">
      <c r="E8299" t="s">
        <v>7877</v>
      </c>
    </row>
    <row r="8300" spans="5:5" x14ac:dyDescent="0.25">
      <c r="E8300" t="s">
        <v>7878</v>
      </c>
    </row>
    <row r="8301" spans="5:5" x14ac:dyDescent="0.25">
      <c r="E8301" t="s">
        <v>7879</v>
      </c>
    </row>
    <row r="8302" spans="5:5" x14ac:dyDescent="0.25">
      <c r="E8302" t="s">
        <v>7880</v>
      </c>
    </row>
    <row r="8303" spans="5:5" x14ac:dyDescent="0.25">
      <c r="E8303" t="s">
        <v>7881</v>
      </c>
    </row>
    <row r="8304" spans="5:5" x14ac:dyDescent="0.25">
      <c r="E8304" t="s">
        <v>7882</v>
      </c>
    </row>
    <row r="8305" spans="5:5" x14ac:dyDescent="0.25">
      <c r="E8305" t="s">
        <v>7883</v>
      </c>
    </row>
    <row r="8306" spans="5:5" x14ac:dyDescent="0.25">
      <c r="E8306" t="s">
        <v>7884</v>
      </c>
    </row>
    <row r="8307" spans="5:5" x14ac:dyDescent="0.25">
      <c r="E8307" t="s">
        <v>7885</v>
      </c>
    </row>
    <row r="8308" spans="5:5" x14ac:dyDescent="0.25">
      <c r="E8308" t="s">
        <v>7886</v>
      </c>
    </row>
    <row r="8309" spans="5:5" x14ac:dyDescent="0.25">
      <c r="E8309" t="s">
        <v>7887</v>
      </c>
    </row>
    <row r="8310" spans="5:5" x14ac:dyDescent="0.25">
      <c r="E8310" t="s">
        <v>7888</v>
      </c>
    </row>
    <row r="8311" spans="5:5" x14ac:dyDescent="0.25">
      <c r="E8311" t="s">
        <v>7889</v>
      </c>
    </row>
    <row r="8312" spans="5:5" x14ac:dyDescent="0.25">
      <c r="E8312" t="s">
        <v>7890</v>
      </c>
    </row>
    <row r="8313" spans="5:5" x14ac:dyDescent="0.25">
      <c r="E8313" t="s">
        <v>7891</v>
      </c>
    </row>
    <row r="8314" spans="5:5" x14ac:dyDescent="0.25">
      <c r="E8314" t="s">
        <v>7892</v>
      </c>
    </row>
    <row r="8315" spans="5:5" x14ac:dyDescent="0.25">
      <c r="E8315" t="s">
        <v>7893</v>
      </c>
    </row>
    <row r="8316" spans="5:5" x14ac:dyDescent="0.25">
      <c r="E8316" t="s">
        <v>7894</v>
      </c>
    </row>
    <row r="8317" spans="5:5" x14ac:dyDescent="0.25">
      <c r="E8317" t="s">
        <v>7895</v>
      </c>
    </row>
    <row r="8318" spans="5:5" x14ac:dyDescent="0.25">
      <c r="E8318" t="s">
        <v>7896</v>
      </c>
    </row>
    <row r="8319" spans="5:5" x14ac:dyDescent="0.25">
      <c r="E8319" t="s">
        <v>7897</v>
      </c>
    </row>
    <row r="8320" spans="5:5" x14ac:dyDescent="0.25">
      <c r="E8320" t="s">
        <v>7898</v>
      </c>
    </row>
    <row r="8321" spans="5:5" x14ac:dyDescent="0.25">
      <c r="E8321" t="s">
        <v>7899</v>
      </c>
    </row>
    <row r="8322" spans="5:5" x14ac:dyDescent="0.25">
      <c r="E8322" t="s">
        <v>7900</v>
      </c>
    </row>
    <row r="8323" spans="5:5" x14ac:dyDescent="0.25">
      <c r="E8323" t="s">
        <v>7901</v>
      </c>
    </row>
    <row r="8324" spans="5:5" x14ac:dyDescent="0.25">
      <c r="E8324" t="s">
        <v>7902</v>
      </c>
    </row>
    <row r="8325" spans="5:5" x14ac:dyDescent="0.25">
      <c r="E8325" t="s">
        <v>7903</v>
      </c>
    </row>
    <row r="8326" spans="5:5" x14ac:dyDescent="0.25">
      <c r="E8326" t="s">
        <v>7904</v>
      </c>
    </row>
    <row r="8327" spans="5:5" x14ac:dyDescent="0.25">
      <c r="E8327" t="s">
        <v>7905</v>
      </c>
    </row>
    <row r="8328" spans="5:5" x14ac:dyDescent="0.25">
      <c r="E8328" t="s">
        <v>7906</v>
      </c>
    </row>
    <row r="8329" spans="5:5" x14ac:dyDescent="0.25">
      <c r="E8329" t="s">
        <v>7907</v>
      </c>
    </row>
    <row r="8330" spans="5:5" x14ac:dyDescent="0.25">
      <c r="E8330" t="s">
        <v>7908</v>
      </c>
    </row>
    <row r="8331" spans="5:5" x14ac:dyDescent="0.25">
      <c r="E8331" t="s">
        <v>7909</v>
      </c>
    </row>
    <row r="8332" spans="5:5" x14ac:dyDescent="0.25">
      <c r="E8332" t="s">
        <v>7910</v>
      </c>
    </row>
    <row r="8333" spans="5:5" x14ac:dyDescent="0.25">
      <c r="E8333" t="s">
        <v>7911</v>
      </c>
    </row>
    <row r="8334" spans="5:5" x14ac:dyDescent="0.25">
      <c r="E8334" t="s">
        <v>7912</v>
      </c>
    </row>
    <row r="8335" spans="5:5" x14ac:dyDescent="0.25">
      <c r="E8335" t="s">
        <v>7913</v>
      </c>
    </row>
    <row r="8336" spans="5:5" x14ac:dyDescent="0.25">
      <c r="E8336" t="s">
        <v>7914</v>
      </c>
    </row>
    <row r="8337" spans="5:5" x14ac:dyDescent="0.25">
      <c r="E8337" t="s">
        <v>7915</v>
      </c>
    </row>
    <row r="8338" spans="5:5" x14ac:dyDescent="0.25">
      <c r="E8338" t="s">
        <v>7916</v>
      </c>
    </row>
    <row r="8339" spans="5:5" x14ac:dyDescent="0.25">
      <c r="E8339" t="s">
        <v>7917</v>
      </c>
    </row>
    <row r="8340" spans="5:5" x14ac:dyDescent="0.25">
      <c r="E8340" t="s">
        <v>7918</v>
      </c>
    </row>
    <row r="8341" spans="5:5" x14ac:dyDescent="0.25">
      <c r="E8341" t="s">
        <v>7919</v>
      </c>
    </row>
    <row r="8342" spans="5:5" x14ac:dyDescent="0.25">
      <c r="E8342" t="s">
        <v>7920</v>
      </c>
    </row>
    <row r="8343" spans="5:5" x14ac:dyDescent="0.25">
      <c r="E8343" t="s">
        <v>7921</v>
      </c>
    </row>
    <row r="8344" spans="5:5" x14ac:dyDescent="0.25">
      <c r="E8344" t="s">
        <v>7922</v>
      </c>
    </row>
    <row r="8345" spans="5:5" x14ac:dyDescent="0.25">
      <c r="E8345" t="s">
        <v>7923</v>
      </c>
    </row>
    <row r="8346" spans="5:5" x14ac:dyDescent="0.25">
      <c r="E8346" t="s">
        <v>7924</v>
      </c>
    </row>
    <row r="8347" spans="5:5" x14ac:dyDescent="0.25">
      <c r="E8347" t="s">
        <v>7925</v>
      </c>
    </row>
    <row r="8348" spans="5:5" x14ac:dyDescent="0.25">
      <c r="E8348" t="s">
        <v>7926</v>
      </c>
    </row>
    <row r="8349" spans="5:5" x14ac:dyDescent="0.25">
      <c r="E8349" t="s">
        <v>7927</v>
      </c>
    </row>
    <row r="8350" spans="5:5" x14ac:dyDescent="0.25">
      <c r="E8350" t="s">
        <v>7928</v>
      </c>
    </row>
    <row r="8351" spans="5:5" x14ac:dyDescent="0.25">
      <c r="E8351" t="s">
        <v>7929</v>
      </c>
    </row>
    <row r="8352" spans="5:5" x14ac:dyDescent="0.25">
      <c r="E8352" t="s">
        <v>7930</v>
      </c>
    </row>
    <row r="8353" spans="5:5" x14ac:dyDescent="0.25">
      <c r="E8353" t="s">
        <v>7931</v>
      </c>
    </row>
    <row r="8354" spans="5:5" x14ac:dyDescent="0.25">
      <c r="E8354" t="s">
        <v>7932</v>
      </c>
    </row>
    <row r="8355" spans="5:5" x14ac:dyDescent="0.25">
      <c r="E8355" t="s">
        <v>7933</v>
      </c>
    </row>
    <row r="8356" spans="5:5" x14ac:dyDescent="0.25">
      <c r="E8356" t="s">
        <v>7934</v>
      </c>
    </row>
    <row r="8357" spans="5:5" x14ac:dyDescent="0.25">
      <c r="E8357" t="s">
        <v>7935</v>
      </c>
    </row>
    <row r="8358" spans="5:5" x14ac:dyDescent="0.25">
      <c r="E8358" t="s">
        <v>7936</v>
      </c>
    </row>
    <row r="8359" spans="5:5" x14ac:dyDescent="0.25">
      <c r="E8359" t="s">
        <v>7937</v>
      </c>
    </row>
    <row r="8360" spans="5:5" x14ac:dyDescent="0.25">
      <c r="E8360" t="s">
        <v>7938</v>
      </c>
    </row>
    <row r="8361" spans="5:5" x14ac:dyDescent="0.25">
      <c r="E8361" t="s">
        <v>7939</v>
      </c>
    </row>
    <row r="8362" spans="5:5" x14ac:dyDescent="0.25">
      <c r="E8362" t="s">
        <v>7940</v>
      </c>
    </row>
    <row r="8363" spans="5:5" x14ac:dyDescent="0.25">
      <c r="E8363" t="s">
        <v>7941</v>
      </c>
    </row>
    <row r="8364" spans="5:5" x14ac:dyDescent="0.25">
      <c r="E8364" t="s">
        <v>7942</v>
      </c>
    </row>
    <row r="8365" spans="5:5" x14ac:dyDescent="0.25">
      <c r="E8365" t="s">
        <v>7943</v>
      </c>
    </row>
    <row r="8366" spans="5:5" x14ac:dyDescent="0.25">
      <c r="E8366" t="s">
        <v>7944</v>
      </c>
    </row>
    <row r="8367" spans="5:5" x14ac:dyDescent="0.25">
      <c r="E8367" t="s">
        <v>7945</v>
      </c>
    </row>
    <row r="8368" spans="5:5" x14ac:dyDescent="0.25">
      <c r="E8368" t="s">
        <v>7946</v>
      </c>
    </row>
    <row r="8369" spans="5:5" x14ac:dyDescent="0.25">
      <c r="E8369" t="s">
        <v>7947</v>
      </c>
    </row>
    <row r="8370" spans="5:5" x14ac:dyDescent="0.25">
      <c r="E8370" t="s">
        <v>7948</v>
      </c>
    </row>
    <row r="8371" spans="5:5" x14ac:dyDescent="0.25">
      <c r="E8371" t="s">
        <v>7949</v>
      </c>
    </row>
    <row r="8372" spans="5:5" x14ac:dyDescent="0.25">
      <c r="E8372" t="s">
        <v>7950</v>
      </c>
    </row>
    <row r="8373" spans="5:5" x14ac:dyDescent="0.25">
      <c r="E8373" t="s">
        <v>7951</v>
      </c>
    </row>
    <row r="8374" spans="5:5" x14ac:dyDescent="0.25">
      <c r="E8374" t="s">
        <v>7952</v>
      </c>
    </row>
    <row r="8375" spans="5:5" x14ac:dyDescent="0.25">
      <c r="E8375" t="s">
        <v>7953</v>
      </c>
    </row>
    <row r="8376" spans="5:5" x14ac:dyDescent="0.25">
      <c r="E8376" t="s">
        <v>7954</v>
      </c>
    </row>
    <row r="8377" spans="5:5" x14ac:dyDescent="0.25">
      <c r="E8377" t="s">
        <v>7955</v>
      </c>
    </row>
    <row r="8378" spans="5:5" x14ac:dyDescent="0.25">
      <c r="E8378" t="s">
        <v>7956</v>
      </c>
    </row>
    <row r="8379" spans="5:5" x14ac:dyDescent="0.25">
      <c r="E8379" t="s">
        <v>7957</v>
      </c>
    </row>
    <row r="8380" spans="5:5" x14ac:dyDescent="0.25">
      <c r="E8380" t="s">
        <v>7958</v>
      </c>
    </row>
    <row r="8381" spans="5:5" x14ac:dyDescent="0.25">
      <c r="E8381" t="s">
        <v>7959</v>
      </c>
    </row>
    <row r="8382" spans="5:5" x14ac:dyDescent="0.25">
      <c r="E8382" t="s">
        <v>7960</v>
      </c>
    </row>
    <row r="8383" spans="5:5" x14ac:dyDescent="0.25">
      <c r="E8383" t="s">
        <v>7961</v>
      </c>
    </row>
    <row r="8384" spans="5:5" x14ac:dyDescent="0.25">
      <c r="E8384" t="s">
        <v>7962</v>
      </c>
    </row>
    <row r="8385" spans="5:5" x14ac:dyDescent="0.25">
      <c r="E8385" t="s">
        <v>7963</v>
      </c>
    </row>
    <row r="8386" spans="5:5" x14ac:dyDescent="0.25">
      <c r="E8386" t="s">
        <v>7964</v>
      </c>
    </row>
    <row r="8387" spans="5:5" x14ac:dyDescent="0.25">
      <c r="E8387" t="s">
        <v>7965</v>
      </c>
    </row>
    <row r="8388" spans="5:5" x14ac:dyDescent="0.25">
      <c r="E8388" t="s">
        <v>7966</v>
      </c>
    </row>
    <row r="8389" spans="5:5" x14ac:dyDescent="0.25">
      <c r="E8389" t="s">
        <v>7967</v>
      </c>
    </row>
    <row r="8390" spans="5:5" x14ac:dyDescent="0.25">
      <c r="E8390" t="s">
        <v>7968</v>
      </c>
    </row>
    <row r="8391" spans="5:5" x14ac:dyDescent="0.25">
      <c r="E8391" t="s">
        <v>7969</v>
      </c>
    </row>
    <row r="8392" spans="5:5" x14ac:dyDescent="0.25">
      <c r="E8392" t="s">
        <v>7970</v>
      </c>
    </row>
    <row r="8393" spans="5:5" x14ac:dyDescent="0.25">
      <c r="E8393" t="s">
        <v>7971</v>
      </c>
    </row>
    <row r="8394" spans="5:5" x14ac:dyDescent="0.25">
      <c r="E8394" t="s">
        <v>7972</v>
      </c>
    </row>
    <row r="8395" spans="5:5" x14ac:dyDescent="0.25">
      <c r="E8395" t="s">
        <v>7973</v>
      </c>
    </row>
    <row r="8396" spans="5:5" x14ac:dyDescent="0.25">
      <c r="E8396" t="s">
        <v>7974</v>
      </c>
    </row>
    <row r="8397" spans="5:5" x14ac:dyDescent="0.25">
      <c r="E8397" t="s">
        <v>7975</v>
      </c>
    </row>
    <row r="8398" spans="5:5" x14ac:dyDescent="0.25">
      <c r="E8398" t="s">
        <v>7976</v>
      </c>
    </row>
    <row r="8399" spans="5:5" x14ac:dyDescent="0.25">
      <c r="E8399" t="s">
        <v>7977</v>
      </c>
    </row>
    <row r="8400" spans="5:5" x14ac:dyDescent="0.25">
      <c r="E8400" t="s">
        <v>7978</v>
      </c>
    </row>
    <row r="8401" spans="5:5" x14ac:dyDescent="0.25">
      <c r="E8401" t="s">
        <v>7979</v>
      </c>
    </row>
    <row r="8402" spans="5:5" x14ac:dyDescent="0.25">
      <c r="E8402" t="s">
        <v>7980</v>
      </c>
    </row>
    <row r="8403" spans="5:5" x14ac:dyDescent="0.25">
      <c r="E8403" t="s">
        <v>7981</v>
      </c>
    </row>
    <row r="8404" spans="5:5" x14ac:dyDescent="0.25">
      <c r="E8404" t="s">
        <v>7982</v>
      </c>
    </row>
    <row r="8405" spans="5:5" x14ac:dyDescent="0.25">
      <c r="E8405" t="s">
        <v>7983</v>
      </c>
    </row>
    <row r="8406" spans="5:5" x14ac:dyDescent="0.25">
      <c r="E8406" t="s">
        <v>7984</v>
      </c>
    </row>
    <row r="8407" spans="5:5" x14ac:dyDescent="0.25">
      <c r="E8407" t="s">
        <v>7985</v>
      </c>
    </row>
    <row r="8408" spans="5:5" x14ac:dyDescent="0.25">
      <c r="E8408" t="s">
        <v>7986</v>
      </c>
    </row>
    <row r="8409" spans="5:5" x14ac:dyDescent="0.25">
      <c r="E8409" t="s">
        <v>7987</v>
      </c>
    </row>
    <row r="8410" spans="5:5" x14ac:dyDescent="0.25">
      <c r="E8410" t="s">
        <v>7988</v>
      </c>
    </row>
    <row r="8411" spans="5:5" x14ac:dyDescent="0.25">
      <c r="E8411" t="s">
        <v>7989</v>
      </c>
    </row>
    <row r="8412" spans="5:5" x14ac:dyDescent="0.25">
      <c r="E8412" t="s">
        <v>7990</v>
      </c>
    </row>
    <row r="8413" spans="5:5" x14ac:dyDescent="0.25">
      <c r="E8413" t="s">
        <v>7991</v>
      </c>
    </row>
    <row r="8414" spans="5:5" x14ac:dyDescent="0.25">
      <c r="E8414" t="s">
        <v>7992</v>
      </c>
    </row>
    <row r="8415" spans="5:5" x14ac:dyDescent="0.25">
      <c r="E8415" t="s">
        <v>7993</v>
      </c>
    </row>
    <row r="8416" spans="5:5" x14ac:dyDescent="0.25">
      <c r="E8416" t="s">
        <v>7994</v>
      </c>
    </row>
    <row r="8417" spans="5:5" x14ac:dyDescent="0.25">
      <c r="E8417" t="s">
        <v>7995</v>
      </c>
    </row>
    <row r="8418" spans="5:5" x14ac:dyDescent="0.25">
      <c r="E8418" t="s">
        <v>7996</v>
      </c>
    </row>
    <row r="8419" spans="5:5" x14ac:dyDescent="0.25">
      <c r="E8419" t="s">
        <v>7997</v>
      </c>
    </row>
    <row r="8420" spans="5:5" x14ac:dyDescent="0.25">
      <c r="E8420" t="s">
        <v>7998</v>
      </c>
    </row>
    <row r="8421" spans="5:5" x14ac:dyDescent="0.25">
      <c r="E8421" t="s">
        <v>7999</v>
      </c>
    </row>
    <row r="8422" spans="5:5" x14ac:dyDescent="0.25">
      <c r="E8422" t="s">
        <v>8000</v>
      </c>
    </row>
    <row r="8423" spans="5:5" x14ac:dyDescent="0.25">
      <c r="E8423" t="s">
        <v>8001</v>
      </c>
    </row>
    <row r="8424" spans="5:5" x14ac:dyDescent="0.25">
      <c r="E8424" t="s">
        <v>8002</v>
      </c>
    </row>
    <row r="8425" spans="5:5" x14ac:dyDescent="0.25">
      <c r="E8425" t="s">
        <v>8003</v>
      </c>
    </row>
    <row r="8426" spans="5:5" x14ac:dyDescent="0.25">
      <c r="E8426" t="s">
        <v>8004</v>
      </c>
    </row>
    <row r="8427" spans="5:5" x14ac:dyDescent="0.25">
      <c r="E8427" t="s">
        <v>8005</v>
      </c>
    </row>
    <row r="8428" spans="5:5" x14ac:dyDescent="0.25">
      <c r="E8428" t="s">
        <v>8006</v>
      </c>
    </row>
    <row r="8429" spans="5:5" x14ac:dyDescent="0.25">
      <c r="E8429" t="s">
        <v>8007</v>
      </c>
    </row>
    <row r="8430" spans="5:5" x14ac:dyDescent="0.25">
      <c r="E8430" t="s">
        <v>8008</v>
      </c>
    </row>
    <row r="8431" spans="5:5" x14ac:dyDescent="0.25">
      <c r="E8431" t="s">
        <v>8009</v>
      </c>
    </row>
    <row r="8432" spans="5:5" x14ac:dyDescent="0.25">
      <c r="E8432" t="s">
        <v>8010</v>
      </c>
    </row>
    <row r="8433" spans="5:5" x14ac:dyDescent="0.25">
      <c r="E8433" t="s">
        <v>8011</v>
      </c>
    </row>
    <row r="8434" spans="5:5" x14ac:dyDescent="0.25">
      <c r="E8434" t="s">
        <v>8012</v>
      </c>
    </row>
    <row r="8435" spans="5:5" x14ac:dyDescent="0.25">
      <c r="E8435" t="s">
        <v>8013</v>
      </c>
    </row>
    <row r="8436" spans="5:5" x14ac:dyDescent="0.25">
      <c r="E8436" t="s">
        <v>8014</v>
      </c>
    </row>
    <row r="8437" spans="5:5" x14ac:dyDescent="0.25">
      <c r="E8437" t="s">
        <v>8015</v>
      </c>
    </row>
    <row r="8438" spans="5:5" x14ac:dyDescent="0.25">
      <c r="E8438" t="s">
        <v>8016</v>
      </c>
    </row>
    <row r="8439" spans="5:5" x14ac:dyDescent="0.25">
      <c r="E8439" t="s">
        <v>8017</v>
      </c>
    </row>
    <row r="8440" spans="5:5" x14ac:dyDescent="0.25">
      <c r="E8440" t="s">
        <v>8018</v>
      </c>
    </row>
    <row r="8441" spans="5:5" x14ac:dyDescent="0.25">
      <c r="E8441" t="s">
        <v>8019</v>
      </c>
    </row>
    <row r="8442" spans="5:5" x14ac:dyDescent="0.25">
      <c r="E8442" t="s">
        <v>8020</v>
      </c>
    </row>
    <row r="8443" spans="5:5" x14ac:dyDescent="0.25">
      <c r="E8443" t="s">
        <v>8021</v>
      </c>
    </row>
    <row r="8444" spans="5:5" x14ac:dyDescent="0.25">
      <c r="E8444" t="s">
        <v>8022</v>
      </c>
    </row>
    <row r="8445" spans="5:5" x14ac:dyDescent="0.25">
      <c r="E8445" t="s">
        <v>8023</v>
      </c>
    </row>
    <row r="8446" spans="5:5" x14ac:dyDescent="0.25">
      <c r="E8446" t="s">
        <v>8024</v>
      </c>
    </row>
    <row r="8447" spans="5:5" x14ac:dyDescent="0.25">
      <c r="E8447" t="s">
        <v>8025</v>
      </c>
    </row>
    <row r="8448" spans="5:5" x14ac:dyDescent="0.25">
      <c r="E8448" t="s">
        <v>8026</v>
      </c>
    </row>
    <row r="8449" spans="5:5" x14ac:dyDescent="0.25">
      <c r="E8449" t="s">
        <v>8027</v>
      </c>
    </row>
    <row r="8450" spans="5:5" x14ac:dyDescent="0.25">
      <c r="E8450" t="s">
        <v>8028</v>
      </c>
    </row>
    <row r="8451" spans="5:5" x14ac:dyDescent="0.25">
      <c r="E8451" t="s">
        <v>8029</v>
      </c>
    </row>
    <row r="8452" spans="5:5" x14ac:dyDescent="0.25">
      <c r="E8452" t="s">
        <v>8030</v>
      </c>
    </row>
    <row r="8453" spans="5:5" x14ac:dyDescent="0.25">
      <c r="E8453" t="s">
        <v>8031</v>
      </c>
    </row>
    <row r="8454" spans="5:5" x14ac:dyDescent="0.25">
      <c r="E8454" t="s">
        <v>8032</v>
      </c>
    </row>
    <row r="8455" spans="5:5" x14ac:dyDescent="0.25">
      <c r="E8455" t="s">
        <v>8033</v>
      </c>
    </row>
    <row r="8456" spans="5:5" x14ac:dyDescent="0.25">
      <c r="E8456" t="s">
        <v>8034</v>
      </c>
    </row>
    <row r="8457" spans="5:5" x14ac:dyDescent="0.25">
      <c r="E8457" t="s">
        <v>8035</v>
      </c>
    </row>
    <row r="8458" spans="5:5" x14ac:dyDescent="0.25">
      <c r="E8458" t="s">
        <v>8036</v>
      </c>
    </row>
    <row r="8459" spans="5:5" x14ac:dyDescent="0.25">
      <c r="E8459" t="s">
        <v>8037</v>
      </c>
    </row>
    <row r="8460" spans="5:5" x14ac:dyDescent="0.25">
      <c r="E8460" t="s">
        <v>8038</v>
      </c>
    </row>
    <row r="8461" spans="5:5" x14ac:dyDescent="0.25">
      <c r="E8461" t="s">
        <v>8039</v>
      </c>
    </row>
    <row r="8462" spans="5:5" x14ac:dyDescent="0.25">
      <c r="E8462" t="s">
        <v>8040</v>
      </c>
    </row>
    <row r="8463" spans="5:5" x14ac:dyDescent="0.25">
      <c r="E8463" t="s">
        <v>8041</v>
      </c>
    </row>
    <row r="8464" spans="5:5" x14ac:dyDescent="0.25">
      <c r="E8464" t="s">
        <v>8042</v>
      </c>
    </row>
    <row r="8465" spans="5:5" x14ac:dyDescent="0.25">
      <c r="E8465" t="s">
        <v>8043</v>
      </c>
    </row>
    <row r="8466" spans="5:5" x14ac:dyDescent="0.25">
      <c r="E8466" t="s">
        <v>8044</v>
      </c>
    </row>
    <row r="8467" spans="5:5" x14ac:dyDescent="0.25">
      <c r="E8467" t="s">
        <v>8045</v>
      </c>
    </row>
    <row r="8468" spans="5:5" x14ac:dyDescent="0.25">
      <c r="E8468" t="s">
        <v>8046</v>
      </c>
    </row>
    <row r="8469" spans="5:5" x14ac:dyDescent="0.25">
      <c r="E8469" t="s">
        <v>8047</v>
      </c>
    </row>
    <row r="8470" spans="5:5" x14ac:dyDescent="0.25">
      <c r="E8470" t="s">
        <v>8048</v>
      </c>
    </row>
    <row r="8471" spans="5:5" x14ac:dyDescent="0.25">
      <c r="E8471" t="s">
        <v>8049</v>
      </c>
    </row>
    <row r="8472" spans="5:5" x14ac:dyDescent="0.25">
      <c r="E8472" t="s">
        <v>8050</v>
      </c>
    </row>
    <row r="8473" spans="5:5" x14ac:dyDescent="0.25">
      <c r="E8473" t="s">
        <v>8051</v>
      </c>
    </row>
    <row r="8474" spans="5:5" x14ac:dyDescent="0.25">
      <c r="E8474" t="s">
        <v>8052</v>
      </c>
    </row>
    <row r="8475" spans="5:5" x14ac:dyDescent="0.25">
      <c r="E8475" t="s">
        <v>8053</v>
      </c>
    </row>
    <row r="8476" spans="5:5" x14ac:dyDescent="0.25">
      <c r="E8476" t="s">
        <v>8054</v>
      </c>
    </row>
    <row r="8477" spans="5:5" x14ac:dyDescent="0.25">
      <c r="E8477" t="s">
        <v>8055</v>
      </c>
    </row>
    <row r="8478" spans="5:5" x14ac:dyDescent="0.25">
      <c r="E8478" t="s">
        <v>8056</v>
      </c>
    </row>
    <row r="8479" spans="5:5" x14ac:dyDescent="0.25">
      <c r="E8479" t="s">
        <v>8057</v>
      </c>
    </row>
    <row r="8480" spans="5:5" x14ac:dyDescent="0.25">
      <c r="E8480" t="s">
        <v>8058</v>
      </c>
    </row>
    <row r="8481" spans="5:5" x14ac:dyDescent="0.25">
      <c r="E8481" t="s">
        <v>8059</v>
      </c>
    </row>
    <row r="8482" spans="5:5" x14ac:dyDescent="0.25">
      <c r="E8482" t="s">
        <v>8060</v>
      </c>
    </row>
    <row r="8483" spans="5:5" x14ac:dyDescent="0.25">
      <c r="E8483" t="s">
        <v>8061</v>
      </c>
    </row>
    <row r="8484" spans="5:5" x14ac:dyDescent="0.25">
      <c r="E8484" t="s">
        <v>8062</v>
      </c>
    </row>
    <row r="8485" spans="5:5" x14ac:dyDescent="0.25">
      <c r="E8485" t="s">
        <v>8063</v>
      </c>
    </row>
    <row r="8486" spans="5:5" x14ac:dyDescent="0.25">
      <c r="E8486" t="s">
        <v>8064</v>
      </c>
    </row>
    <row r="8487" spans="5:5" x14ac:dyDescent="0.25">
      <c r="E8487" t="s">
        <v>8065</v>
      </c>
    </row>
    <row r="8488" spans="5:5" x14ac:dyDescent="0.25">
      <c r="E8488" t="s">
        <v>8066</v>
      </c>
    </row>
    <row r="8489" spans="5:5" x14ac:dyDescent="0.25">
      <c r="E8489" t="s">
        <v>8067</v>
      </c>
    </row>
    <row r="8490" spans="5:5" x14ac:dyDescent="0.25">
      <c r="E8490" t="s">
        <v>8068</v>
      </c>
    </row>
    <row r="8491" spans="5:5" x14ac:dyDescent="0.25">
      <c r="E8491" t="s">
        <v>8069</v>
      </c>
    </row>
    <row r="8492" spans="5:5" x14ac:dyDescent="0.25">
      <c r="E8492" t="s">
        <v>8070</v>
      </c>
    </row>
    <row r="8493" spans="5:5" x14ac:dyDescent="0.25">
      <c r="E8493" t="s">
        <v>8071</v>
      </c>
    </row>
    <row r="8494" spans="5:5" x14ac:dyDescent="0.25">
      <c r="E8494" t="s">
        <v>8072</v>
      </c>
    </row>
    <row r="8495" spans="5:5" x14ac:dyDescent="0.25">
      <c r="E8495" t="s">
        <v>8073</v>
      </c>
    </row>
    <row r="8496" spans="5:5" x14ac:dyDescent="0.25">
      <c r="E8496" t="s">
        <v>8074</v>
      </c>
    </row>
    <row r="8497" spans="5:5" x14ac:dyDescent="0.25">
      <c r="E8497" t="s">
        <v>8075</v>
      </c>
    </row>
    <row r="8498" spans="5:5" x14ac:dyDescent="0.25">
      <c r="E8498" t="s">
        <v>8076</v>
      </c>
    </row>
    <row r="8499" spans="5:5" x14ac:dyDescent="0.25">
      <c r="E8499" t="s">
        <v>8077</v>
      </c>
    </row>
    <row r="8500" spans="5:5" x14ac:dyDescent="0.25">
      <c r="E8500" t="s">
        <v>8078</v>
      </c>
    </row>
    <row r="8501" spans="5:5" x14ac:dyDescent="0.25">
      <c r="E8501" t="s">
        <v>8079</v>
      </c>
    </row>
    <row r="8502" spans="5:5" x14ac:dyDescent="0.25">
      <c r="E8502" t="s">
        <v>8080</v>
      </c>
    </row>
    <row r="8503" spans="5:5" x14ac:dyDescent="0.25">
      <c r="E8503" t="s">
        <v>8081</v>
      </c>
    </row>
    <row r="8504" spans="5:5" x14ac:dyDescent="0.25">
      <c r="E8504" t="s">
        <v>8082</v>
      </c>
    </row>
    <row r="8505" spans="5:5" x14ac:dyDescent="0.25">
      <c r="E8505" t="s">
        <v>8083</v>
      </c>
    </row>
    <row r="8506" spans="5:5" x14ac:dyDescent="0.25">
      <c r="E8506" t="s">
        <v>8084</v>
      </c>
    </row>
    <row r="8507" spans="5:5" x14ac:dyDescent="0.25">
      <c r="E8507" t="s">
        <v>8085</v>
      </c>
    </row>
    <row r="8508" spans="5:5" x14ac:dyDescent="0.25">
      <c r="E8508" t="s">
        <v>8086</v>
      </c>
    </row>
    <row r="8509" spans="5:5" x14ac:dyDescent="0.25">
      <c r="E8509" t="s">
        <v>8087</v>
      </c>
    </row>
    <row r="8510" spans="5:5" x14ac:dyDescent="0.25">
      <c r="E8510" t="s">
        <v>8088</v>
      </c>
    </row>
    <row r="8511" spans="5:5" x14ac:dyDescent="0.25">
      <c r="E8511" t="s">
        <v>8089</v>
      </c>
    </row>
    <row r="8512" spans="5:5" x14ac:dyDescent="0.25">
      <c r="E8512" t="s">
        <v>8090</v>
      </c>
    </row>
    <row r="8513" spans="5:5" x14ac:dyDescent="0.25">
      <c r="E8513" t="s">
        <v>8091</v>
      </c>
    </row>
    <row r="8514" spans="5:5" x14ac:dyDescent="0.25">
      <c r="E8514" t="s">
        <v>8092</v>
      </c>
    </row>
    <row r="8515" spans="5:5" x14ac:dyDescent="0.25">
      <c r="E8515" t="s">
        <v>8093</v>
      </c>
    </row>
    <row r="8516" spans="5:5" x14ac:dyDescent="0.25">
      <c r="E8516" t="s">
        <v>8094</v>
      </c>
    </row>
    <row r="8517" spans="5:5" x14ac:dyDescent="0.25">
      <c r="E8517" t="s">
        <v>8095</v>
      </c>
    </row>
    <row r="8518" spans="5:5" x14ac:dyDescent="0.25">
      <c r="E8518" t="s">
        <v>8096</v>
      </c>
    </row>
    <row r="8519" spans="5:5" x14ac:dyDescent="0.25">
      <c r="E8519" t="s">
        <v>8097</v>
      </c>
    </row>
    <row r="8520" spans="5:5" x14ac:dyDescent="0.25">
      <c r="E8520" t="s">
        <v>8098</v>
      </c>
    </row>
    <row r="8521" spans="5:5" x14ac:dyDescent="0.25">
      <c r="E8521" t="s">
        <v>8099</v>
      </c>
    </row>
    <row r="8522" spans="5:5" x14ac:dyDescent="0.25">
      <c r="E8522" t="s">
        <v>8100</v>
      </c>
    </row>
    <row r="8523" spans="5:5" x14ac:dyDescent="0.25">
      <c r="E8523" t="s">
        <v>8101</v>
      </c>
    </row>
    <row r="8524" spans="5:5" x14ac:dyDescent="0.25">
      <c r="E8524" t="s">
        <v>8102</v>
      </c>
    </row>
    <row r="8525" spans="5:5" x14ac:dyDescent="0.25">
      <c r="E8525" t="s">
        <v>8103</v>
      </c>
    </row>
    <row r="8526" spans="5:5" x14ac:dyDescent="0.25">
      <c r="E8526" t="s">
        <v>8104</v>
      </c>
    </row>
    <row r="8527" spans="5:5" x14ac:dyDescent="0.25">
      <c r="E8527" t="s">
        <v>8105</v>
      </c>
    </row>
    <row r="8528" spans="5:5" x14ac:dyDescent="0.25">
      <c r="E8528" t="s">
        <v>8106</v>
      </c>
    </row>
    <row r="8529" spans="5:5" x14ac:dyDescent="0.25">
      <c r="E8529" t="s">
        <v>8107</v>
      </c>
    </row>
    <row r="8530" spans="5:5" x14ac:dyDescent="0.25">
      <c r="E8530" t="s">
        <v>8108</v>
      </c>
    </row>
    <row r="8531" spans="5:5" x14ac:dyDescent="0.25">
      <c r="E8531" t="s">
        <v>8109</v>
      </c>
    </row>
    <row r="8532" spans="5:5" x14ac:dyDescent="0.25">
      <c r="E8532" t="s">
        <v>8110</v>
      </c>
    </row>
    <row r="8533" spans="5:5" x14ac:dyDescent="0.25">
      <c r="E8533" t="s">
        <v>8111</v>
      </c>
    </row>
    <row r="8534" spans="5:5" x14ac:dyDescent="0.25">
      <c r="E8534" t="s">
        <v>8112</v>
      </c>
    </row>
    <row r="8535" spans="5:5" x14ac:dyDescent="0.25">
      <c r="E8535" t="s">
        <v>8113</v>
      </c>
    </row>
    <row r="8536" spans="5:5" x14ac:dyDescent="0.25">
      <c r="E8536" t="s">
        <v>8114</v>
      </c>
    </row>
    <row r="8537" spans="5:5" x14ac:dyDescent="0.25">
      <c r="E8537" t="s">
        <v>8115</v>
      </c>
    </row>
    <row r="8538" spans="5:5" x14ac:dyDescent="0.25">
      <c r="E8538" t="s">
        <v>8116</v>
      </c>
    </row>
    <row r="8539" spans="5:5" x14ac:dyDescent="0.25">
      <c r="E8539" t="s">
        <v>8117</v>
      </c>
    </row>
    <row r="8540" spans="5:5" x14ac:dyDescent="0.25">
      <c r="E8540" t="s">
        <v>8118</v>
      </c>
    </row>
    <row r="8541" spans="5:5" x14ac:dyDescent="0.25">
      <c r="E8541" t="s">
        <v>8119</v>
      </c>
    </row>
    <row r="8542" spans="5:5" x14ac:dyDescent="0.25">
      <c r="E8542" t="s">
        <v>8120</v>
      </c>
    </row>
    <row r="8543" spans="5:5" x14ac:dyDescent="0.25">
      <c r="E8543" t="s">
        <v>8121</v>
      </c>
    </row>
    <row r="8544" spans="5:5" x14ac:dyDescent="0.25">
      <c r="E8544" t="s">
        <v>8122</v>
      </c>
    </row>
    <row r="8545" spans="5:5" x14ac:dyDescent="0.25">
      <c r="E8545" t="s">
        <v>8123</v>
      </c>
    </row>
    <row r="8546" spans="5:5" x14ac:dyDescent="0.25">
      <c r="E8546" t="s">
        <v>8124</v>
      </c>
    </row>
    <row r="8547" spans="5:5" x14ac:dyDescent="0.25">
      <c r="E8547" t="s">
        <v>8125</v>
      </c>
    </row>
    <row r="8548" spans="5:5" x14ac:dyDescent="0.25">
      <c r="E8548" t="s">
        <v>8126</v>
      </c>
    </row>
    <row r="8549" spans="5:5" x14ac:dyDescent="0.25">
      <c r="E8549" t="s">
        <v>8127</v>
      </c>
    </row>
    <row r="8550" spans="5:5" x14ac:dyDescent="0.25">
      <c r="E8550" t="s">
        <v>8128</v>
      </c>
    </row>
    <row r="8551" spans="5:5" x14ac:dyDescent="0.25">
      <c r="E8551" t="s">
        <v>8129</v>
      </c>
    </row>
    <row r="8552" spans="5:5" x14ac:dyDescent="0.25">
      <c r="E8552" t="s">
        <v>8130</v>
      </c>
    </row>
    <row r="8553" spans="5:5" x14ac:dyDescent="0.25">
      <c r="E8553" t="s">
        <v>8131</v>
      </c>
    </row>
    <row r="8554" spans="5:5" x14ac:dyDescent="0.25">
      <c r="E8554" t="s">
        <v>8132</v>
      </c>
    </row>
    <row r="8555" spans="5:5" x14ac:dyDescent="0.25">
      <c r="E8555" t="s">
        <v>8133</v>
      </c>
    </row>
    <row r="8556" spans="5:5" x14ac:dyDescent="0.25">
      <c r="E8556" t="s">
        <v>8134</v>
      </c>
    </row>
    <row r="8557" spans="5:5" x14ac:dyDescent="0.25">
      <c r="E8557" t="s">
        <v>8135</v>
      </c>
    </row>
    <row r="8558" spans="5:5" x14ac:dyDescent="0.25">
      <c r="E8558" t="s">
        <v>8136</v>
      </c>
    </row>
    <row r="8559" spans="5:5" x14ac:dyDescent="0.25">
      <c r="E8559" t="s">
        <v>8137</v>
      </c>
    </row>
    <row r="8560" spans="5:5" x14ac:dyDescent="0.25">
      <c r="E8560" t="s">
        <v>8138</v>
      </c>
    </row>
    <row r="8561" spans="5:5" x14ac:dyDescent="0.25">
      <c r="E8561" t="s">
        <v>8139</v>
      </c>
    </row>
    <row r="8562" spans="5:5" x14ac:dyDescent="0.25">
      <c r="E8562" t="s">
        <v>8140</v>
      </c>
    </row>
    <row r="8563" spans="5:5" x14ac:dyDescent="0.25">
      <c r="E8563" t="s">
        <v>8141</v>
      </c>
    </row>
    <row r="8564" spans="5:5" x14ac:dyDescent="0.25">
      <c r="E8564" t="s">
        <v>8142</v>
      </c>
    </row>
    <row r="8565" spans="5:5" x14ac:dyDescent="0.25">
      <c r="E8565" t="s">
        <v>8143</v>
      </c>
    </row>
    <row r="8566" spans="5:5" x14ac:dyDescent="0.25">
      <c r="E8566" t="s">
        <v>8144</v>
      </c>
    </row>
    <row r="8567" spans="5:5" x14ac:dyDescent="0.25">
      <c r="E8567" t="s">
        <v>8145</v>
      </c>
    </row>
    <row r="8568" spans="5:5" x14ac:dyDescent="0.25">
      <c r="E8568" t="s">
        <v>8146</v>
      </c>
    </row>
    <row r="8569" spans="5:5" x14ac:dyDescent="0.25">
      <c r="E8569" t="s">
        <v>8147</v>
      </c>
    </row>
    <row r="8570" spans="5:5" x14ac:dyDescent="0.25">
      <c r="E8570" t="s">
        <v>8148</v>
      </c>
    </row>
    <row r="8571" spans="5:5" x14ac:dyDescent="0.25">
      <c r="E8571" t="s">
        <v>8149</v>
      </c>
    </row>
    <row r="8572" spans="5:5" x14ac:dyDescent="0.25">
      <c r="E8572" t="s">
        <v>8150</v>
      </c>
    </row>
    <row r="8573" spans="5:5" x14ac:dyDescent="0.25">
      <c r="E8573" t="s">
        <v>8151</v>
      </c>
    </row>
    <row r="8574" spans="5:5" x14ac:dyDescent="0.25">
      <c r="E8574" t="s">
        <v>8152</v>
      </c>
    </row>
    <row r="8575" spans="5:5" x14ac:dyDescent="0.25">
      <c r="E8575" t="s">
        <v>8153</v>
      </c>
    </row>
    <row r="8576" spans="5:5" x14ac:dyDescent="0.25">
      <c r="E8576" t="s">
        <v>8154</v>
      </c>
    </row>
    <row r="8577" spans="5:5" x14ac:dyDescent="0.25">
      <c r="E8577" t="s">
        <v>8155</v>
      </c>
    </row>
    <row r="8578" spans="5:5" x14ac:dyDescent="0.25">
      <c r="E8578" t="s">
        <v>8156</v>
      </c>
    </row>
    <row r="8579" spans="5:5" x14ac:dyDescent="0.25">
      <c r="E8579" t="s">
        <v>8157</v>
      </c>
    </row>
    <row r="8580" spans="5:5" x14ac:dyDescent="0.25">
      <c r="E8580" t="s">
        <v>8158</v>
      </c>
    </row>
    <row r="8581" spans="5:5" x14ac:dyDescent="0.25">
      <c r="E8581" t="s">
        <v>8159</v>
      </c>
    </row>
    <row r="8582" spans="5:5" x14ac:dyDescent="0.25">
      <c r="E8582" t="s">
        <v>8160</v>
      </c>
    </row>
    <row r="8583" spans="5:5" x14ac:dyDescent="0.25">
      <c r="E8583" t="s">
        <v>8161</v>
      </c>
    </row>
    <row r="8584" spans="5:5" x14ac:dyDescent="0.25">
      <c r="E8584" t="s">
        <v>8162</v>
      </c>
    </row>
    <row r="8585" spans="5:5" x14ac:dyDescent="0.25">
      <c r="E8585" t="s">
        <v>8163</v>
      </c>
    </row>
    <row r="8586" spans="5:5" x14ac:dyDescent="0.25">
      <c r="E8586" t="s">
        <v>8164</v>
      </c>
    </row>
    <row r="8587" spans="5:5" x14ac:dyDescent="0.25">
      <c r="E8587" t="s">
        <v>8165</v>
      </c>
    </row>
    <row r="8588" spans="5:5" x14ac:dyDescent="0.25">
      <c r="E8588" t="s">
        <v>8166</v>
      </c>
    </row>
    <row r="8589" spans="5:5" x14ac:dyDescent="0.25">
      <c r="E8589" t="s">
        <v>8167</v>
      </c>
    </row>
    <row r="8590" spans="5:5" x14ac:dyDescent="0.25">
      <c r="E8590" t="s">
        <v>8168</v>
      </c>
    </row>
    <row r="8591" spans="5:5" x14ac:dyDescent="0.25">
      <c r="E8591" t="s">
        <v>8169</v>
      </c>
    </row>
    <row r="8592" spans="5:5" x14ac:dyDescent="0.25">
      <c r="E8592" t="s">
        <v>8170</v>
      </c>
    </row>
    <row r="8593" spans="5:5" x14ac:dyDescent="0.25">
      <c r="E8593" t="s">
        <v>8171</v>
      </c>
    </row>
    <row r="8594" spans="5:5" x14ac:dyDescent="0.25">
      <c r="E8594" t="s">
        <v>8172</v>
      </c>
    </row>
    <row r="8595" spans="5:5" x14ac:dyDescent="0.25">
      <c r="E8595" t="s">
        <v>8173</v>
      </c>
    </row>
    <row r="8596" spans="5:5" x14ac:dyDescent="0.25">
      <c r="E8596" t="s">
        <v>8174</v>
      </c>
    </row>
    <row r="8597" spans="5:5" x14ac:dyDescent="0.25">
      <c r="E8597" t="s">
        <v>8175</v>
      </c>
    </row>
    <row r="8598" spans="5:5" x14ac:dyDescent="0.25">
      <c r="E8598" t="s">
        <v>8176</v>
      </c>
    </row>
    <row r="8599" spans="5:5" x14ac:dyDescent="0.25">
      <c r="E8599" t="s">
        <v>8177</v>
      </c>
    </row>
    <row r="8600" spans="5:5" x14ac:dyDescent="0.25">
      <c r="E8600" t="s">
        <v>8178</v>
      </c>
    </row>
    <row r="8601" spans="5:5" x14ac:dyDescent="0.25">
      <c r="E8601" t="s">
        <v>8179</v>
      </c>
    </row>
    <row r="8602" spans="5:5" x14ac:dyDescent="0.25">
      <c r="E8602" t="s">
        <v>8180</v>
      </c>
    </row>
    <row r="8603" spans="5:5" x14ac:dyDescent="0.25">
      <c r="E8603" t="s">
        <v>8181</v>
      </c>
    </row>
    <row r="8604" spans="5:5" x14ac:dyDescent="0.25">
      <c r="E8604" t="s">
        <v>8182</v>
      </c>
    </row>
    <row r="8605" spans="5:5" x14ac:dyDescent="0.25">
      <c r="E8605" t="s">
        <v>8183</v>
      </c>
    </row>
    <row r="8606" spans="5:5" x14ac:dyDescent="0.25">
      <c r="E8606" t="s">
        <v>8184</v>
      </c>
    </row>
    <row r="8607" spans="5:5" x14ac:dyDescent="0.25">
      <c r="E8607" t="s">
        <v>8185</v>
      </c>
    </row>
    <row r="8608" spans="5:5" x14ac:dyDescent="0.25">
      <c r="E8608" t="s">
        <v>8186</v>
      </c>
    </row>
    <row r="8609" spans="5:5" x14ac:dyDescent="0.25">
      <c r="E8609" t="s">
        <v>8187</v>
      </c>
    </row>
    <row r="8610" spans="5:5" x14ac:dyDescent="0.25">
      <c r="E8610" t="s">
        <v>8188</v>
      </c>
    </row>
    <row r="8611" spans="5:5" x14ac:dyDescent="0.25">
      <c r="E8611" t="s">
        <v>8189</v>
      </c>
    </row>
    <row r="8612" spans="5:5" x14ac:dyDescent="0.25">
      <c r="E8612" t="s">
        <v>8190</v>
      </c>
    </row>
    <row r="8613" spans="5:5" x14ac:dyDescent="0.25">
      <c r="E8613" t="s">
        <v>8191</v>
      </c>
    </row>
    <row r="8614" spans="5:5" x14ac:dyDescent="0.25">
      <c r="E8614" t="s">
        <v>8192</v>
      </c>
    </row>
    <row r="8615" spans="5:5" x14ac:dyDescent="0.25">
      <c r="E8615" t="s">
        <v>8193</v>
      </c>
    </row>
    <row r="8616" spans="5:5" x14ac:dyDescent="0.25">
      <c r="E8616" t="s">
        <v>8194</v>
      </c>
    </row>
    <row r="8617" spans="5:5" x14ac:dyDescent="0.25">
      <c r="E8617" t="s">
        <v>8195</v>
      </c>
    </row>
    <row r="8618" spans="5:5" x14ac:dyDescent="0.25">
      <c r="E8618" t="s">
        <v>8196</v>
      </c>
    </row>
    <row r="8619" spans="5:5" x14ac:dyDescent="0.25">
      <c r="E8619" t="s">
        <v>8197</v>
      </c>
    </row>
    <row r="8620" spans="5:5" x14ac:dyDescent="0.25">
      <c r="E8620" t="s">
        <v>8198</v>
      </c>
    </row>
    <row r="8621" spans="5:5" x14ac:dyDescent="0.25">
      <c r="E8621" t="s">
        <v>8199</v>
      </c>
    </row>
    <row r="8622" spans="5:5" x14ac:dyDescent="0.25">
      <c r="E8622" t="s">
        <v>8200</v>
      </c>
    </row>
    <row r="8623" spans="5:5" x14ac:dyDescent="0.25">
      <c r="E8623" t="s">
        <v>8201</v>
      </c>
    </row>
    <row r="8624" spans="5:5" x14ac:dyDescent="0.25">
      <c r="E8624" t="s">
        <v>8202</v>
      </c>
    </row>
    <row r="8625" spans="5:5" x14ac:dyDescent="0.25">
      <c r="E8625" t="s">
        <v>8203</v>
      </c>
    </row>
    <row r="8626" spans="5:5" x14ac:dyDescent="0.25">
      <c r="E8626" t="s">
        <v>8204</v>
      </c>
    </row>
    <row r="8627" spans="5:5" x14ac:dyDescent="0.25">
      <c r="E8627" t="s">
        <v>8205</v>
      </c>
    </row>
    <row r="8628" spans="5:5" x14ac:dyDescent="0.25">
      <c r="E8628" t="s">
        <v>8206</v>
      </c>
    </row>
    <row r="8629" spans="5:5" x14ac:dyDescent="0.25">
      <c r="E8629" t="s">
        <v>8207</v>
      </c>
    </row>
    <row r="8630" spans="5:5" x14ac:dyDescent="0.25">
      <c r="E8630" t="s">
        <v>8208</v>
      </c>
    </row>
    <row r="8631" spans="5:5" x14ac:dyDescent="0.25">
      <c r="E8631" t="s">
        <v>8209</v>
      </c>
    </row>
    <row r="8632" spans="5:5" x14ac:dyDescent="0.25">
      <c r="E8632" t="s">
        <v>8210</v>
      </c>
    </row>
    <row r="8633" spans="5:5" x14ac:dyDescent="0.25">
      <c r="E8633" t="s">
        <v>8211</v>
      </c>
    </row>
    <row r="8634" spans="5:5" x14ac:dyDescent="0.25">
      <c r="E8634" t="s">
        <v>8212</v>
      </c>
    </row>
    <row r="8635" spans="5:5" x14ac:dyDescent="0.25">
      <c r="E8635" t="s">
        <v>8213</v>
      </c>
    </row>
    <row r="8636" spans="5:5" x14ac:dyDescent="0.25">
      <c r="E8636" t="s">
        <v>8214</v>
      </c>
    </row>
    <row r="8637" spans="5:5" x14ac:dyDescent="0.25">
      <c r="E8637" t="s">
        <v>8215</v>
      </c>
    </row>
    <row r="8638" spans="5:5" x14ac:dyDescent="0.25">
      <c r="E8638" t="s">
        <v>8216</v>
      </c>
    </row>
    <row r="8639" spans="5:5" x14ac:dyDescent="0.25">
      <c r="E8639" t="s">
        <v>8217</v>
      </c>
    </row>
    <row r="8640" spans="5:5" x14ac:dyDescent="0.25">
      <c r="E8640" t="s">
        <v>8218</v>
      </c>
    </row>
    <row r="8641" spans="5:5" x14ac:dyDescent="0.25">
      <c r="E8641" t="s">
        <v>8219</v>
      </c>
    </row>
    <row r="8642" spans="5:5" x14ac:dyDescent="0.25">
      <c r="E8642" t="s">
        <v>8220</v>
      </c>
    </row>
    <row r="8643" spans="5:5" x14ac:dyDescent="0.25">
      <c r="E8643" t="s">
        <v>8221</v>
      </c>
    </row>
    <row r="8644" spans="5:5" x14ac:dyDescent="0.25">
      <c r="E8644" t="s">
        <v>8222</v>
      </c>
    </row>
    <row r="8645" spans="5:5" x14ac:dyDescent="0.25">
      <c r="E8645" t="s">
        <v>8223</v>
      </c>
    </row>
    <row r="8646" spans="5:5" x14ac:dyDescent="0.25">
      <c r="E8646" t="s">
        <v>8224</v>
      </c>
    </row>
    <row r="8647" spans="5:5" x14ac:dyDescent="0.25">
      <c r="E8647" t="s">
        <v>8225</v>
      </c>
    </row>
    <row r="8648" spans="5:5" x14ac:dyDescent="0.25">
      <c r="E8648" t="s">
        <v>8226</v>
      </c>
    </row>
    <row r="8649" spans="5:5" x14ac:dyDescent="0.25">
      <c r="E8649" t="s">
        <v>8227</v>
      </c>
    </row>
    <row r="8650" spans="5:5" x14ac:dyDescent="0.25">
      <c r="E8650" t="s">
        <v>8228</v>
      </c>
    </row>
    <row r="8651" spans="5:5" x14ac:dyDescent="0.25">
      <c r="E8651" t="s">
        <v>8229</v>
      </c>
    </row>
    <row r="8652" spans="5:5" x14ac:dyDescent="0.25">
      <c r="E8652" t="s">
        <v>8230</v>
      </c>
    </row>
    <row r="8653" spans="5:5" x14ac:dyDescent="0.25">
      <c r="E8653" t="s">
        <v>8231</v>
      </c>
    </row>
    <row r="8654" spans="5:5" x14ac:dyDescent="0.25">
      <c r="E8654" t="s">
        <v>8232</v>
      </c>
    </row>
    <row r="8655" spans="5:5" x14ac:dyDescent="0.25">
      <c r="E8655" t="s">
        <v>8233</v>
      </c>
    </row>
    <row r="8656" spans="5:5" x14ac:dyDescent="0.25">
      <c r="E8656" t="s">
        <v>8234</v>
      </c>
    </row>
    <row r="8657" spans="5:5" x14ac:dyDescent="0.25">
      <c r="E8657" t="s">
        <v>8235</v>
      </c>
    </row>
    <row r="8658" spans="5:5" x14ac:dyDescent="0.25">
      <c r="E8658" t="s">
        <v>8236</v>
      </c>
    </row>
    <row r="8659" spans="5:5" x14ac:dyDescent="0.25">
      <c r="E8659" t="s">
        <v>8237</v>
      </c>
    </row>
    <row r="8660" spans="5:5" x14ac:dyDescent="0.25">
      <c r="E8660" t="s">
        <v>8238</v>
      </c>
    </row>
    <row r="8661" spans="5:5" x14ac:dyDescent="0.25">
      <c r="E8661" t="s">
        <v>8239</v>
      </c>
    </row>
    <row r="8662" spans="5:5" x14ac:dyDescent="0.25">
      <c r="E8662" t="s">
        <v>8240</v>
      </c>
    </row>
    <row r="8663" spans="5:5" x14ac:dyDescent="0.25">
      <c r="E8663" t="s">
        <v>8241</v>
      </c>
    </row>
    <row r="8664" spans="5:5" x14ac:dyDescent="0.25">
      <c r="E8664" t="s">
        <v>8242</v>
      </c>
    </row>
    <row r="8665" spans="5:5" x14ac:dyDescent="0.25">
      <c r="E8665" t="s">
        <v>8243</v>
      </c>
    </row>
    <row r="8666" spans="5:5" x14ac:dyDescent="0.25">
      <c r="E8666" t="s">
        <v>8244</v>
      </c>
    </row>
    <row r="8667" spans="5:5" x14ac:dyDescent="0.25">
      <c r="E8667" t="s">
        <v>8245</v>
      </c>
    </row>
    <row r="8668" spans="5:5" x14ac:dyDescent="0.25">
      <c r="E8668" t="s">
        <v>8246</v>
      </c>
    </row>
    <row r="8669" spans="5:5" x14ac:dyDescent="0.25">
      <c r="E8669" t="s">
        <v>8247</v>
      </c>
    </row>
    <row r="8670" spans="5:5" x14ac:dyDescent="0.25">
      <c r="E8670" t="s">
        <v>8248</v>
      </c>
    </row>
    <row r="8671" spans="5:5" x14ac:dyDescent="0.25">
      <c r="E8671" t="s">
        <v>8249</v>
      </c>
    </row>
    <row r="8672" spans="5:5" x14ac:dyDescent="0.25">
      <c r="E8672" t="s">
        <v>8250</v>
      </c>
    </row>
    <row r="8673" spans="5:5" x14ac:dyDescent="0.25">
      <c r="E8673" t="s">
        <v>8251</v>
      </c>
    </row>
    <row r="8674" spans="5:5" x14ac:dyDescent="0.25">
      <c r="E8674" t="s">
        <v>8252</v>
      </c>
    </row>
    <row r="8675" spans="5:5" x14ac:dyDescent="0.25">
      <c r="E8675" t="s">
        <v>8253</v>
      </c>
    </row>
    <row r="8676" spans="5:5" x14ac:dyDescent="0.25">
      <c r="E8676" t="s">
        <v>8254</v>
      </c>
    </row>
    <row r="8677" spans="5:5" x14ac:dyDescent="0.25">
      <c r="E8677" t="s">
        <v>8255</v>
      </c>
    </row>
    <row r="8678" spans="5:5" x14ac:dyDescent="0.25">
      <c r="E8678" t="s">
        <v>8256</v>
      </c>
    </row>
    <row r="8679" spans="5:5" x14ac:dyDescent="0.25">
      <c r="E8679" t="s">
        <v>8257</v>
      </c>
    </row>
    <row r="8680" spans="5:5" x14ac:dyDescent="0.25">
      <c r="E8680" t="s">
        <v>8258</v>
      </c>
    </row>
    <row r="8681" spans="5:5" x14ac:dyDescent="0.25">
      <c r="E8681" t="s">
        <v>8259</v>
      </c>
    </row>
    <row r="8682" spans="5:5" x14ac:dyDescent="0.25">
      <c r="E8682" t="s">
        <v>8260</v>
      </c>
    </row>
    <row r="8683" spans="5:5" x14ac:dyDescent="0.25">
      <c r="E8683" t="s">
        <v>8261</v>
      </c>
    </row>
    <row r="8684" spans="5:5" x14ac:dyDescent="0.25">
      <c r="E8684" t="s">
        <v>8262</v>
      </c>
    </row>
    <row r="8685" spans="5:5" x14ac:dyDescent="0.25">
      <c r="E8685" t="s">
        <v>8263</v>
      </c>
    </row>
    <row r="8686" spans="5:5" x14ac:dyDescent="0.25">
      <c r="E8686" t="s">
        <v>8264</v>
      </c>
    </row>
    <row r="8687" spans="5:5" x14ac:dyDescent="0.25">
      <c r="E8687" t="s">
        <v>8265</v>
      </c>
    </row>
    <row r="8688" spans="5:5" x14ac:dyDescent="0.25">
      <c r="E8688" t="s">
        <v>8266</v>
      </c>
    </row>
    <row r="8689" spans="5:5" x14ac:dyDescent="0.25">
      <c r="E8689" t="s">
        <v>8267</v>
      </c>
    </row>
    <row r="8690" spans="5:5" x14ac:dyDescent="0.25">
      <c r="E8690" t="s">
        <v>8268</v>
      </c>
    </row>
    <row r="8691" spans="5:5" x14ac:dyDescent="0.25">
      <c r="E8691" t="s">
        <v>8269</v>
      </c>
    </row>
    <row r="8692" spans="5:5" x14ac:dyDescent="0.25">
      <c r="E8692" t="s">
        <v>8270</v>
      </c>
    </row>
    <row r="8693" spans="5:5" x14ac:dyDescent="0.25">
      <c r="E8693" t="s">
        <v>8271</v>
      </c>
    </row>
    <row r="8694" spans="5:5" x14ac:dyDescent="0.25">
      <c r="E8694" t="s">
        <v>8272</v>
      </c>
    </row>
    <row r="8695" spans="5:5" x14ac:dyDescent="0.25">
      <c r="E8695" t="s">
        <v>8273</v>
      </c>
    </row>
    <row r="8696" spans="5:5" x14ac:dyDescent="0.25">
      <c r="E8696" t="s">
        <v>8274</v>
      </c>
    </row>
    <row r="8697" spans="5:5" x14ac:dyDescent="0.25">
      <c r="E8697" t="s">
        <v>8275</v>
      </c>
    </row>
    <row r="8698" spans="5:5" x14ac:dyDescent="0.25">
      <c r="E8698" t="s">
        <v>8276</v>
      </c>
    </row>
    <row r="8699" spans="5:5" x14ac:dyDescent="0.25">
      <c r="E8699" t="s">
        <v>8277</v>
      </c>
    </row>
    <row r="8700" spans="5:5" x14ac:dyDescent="0.25">
      <c r="E8700" t="s">
        <v>8278</v>
      </c>
    </row>
    <row r="8701" spans="5:5" x14ac:dyDescent="0.25">
      <c r="E8701" t="s">
        <v>8279</v>
      </c>
    </row>
    <row r="8702" spans="5:5" x14ac:dyDescent="0.25">
      <c r="E8702" t="s">
        <v>8280</v>
      </c>
    </row>
    <row r="8703" spans="5:5" x14ac:dyDescent="0.25">
      <c r="E8703" t="s">
        <v>8281</v>
      </c>
    </row>
    <row r="8704" spans="5:5" x14ac:dyDescent="0.25">
      <c r="E8704" t="s">
        <v>8282</v>
      </c>
    </row>
    <row r="8705" spans="5:5" x14ac:dyDescent="0.25">
      <c r="E8705" t="s">
        <v>8283</v>
      </c>
    </row>
    <row r="8706" spans="5:5" x14ac:dyDescent="0.25">
      <c r="E8706" t="s">
        <v>8284</v>
      </c>
    </row>
    <row r="8707" spans="5:5" x14ac:dyDescent="0.25">
      <c r="E8707" t="s">
        <v>8285</v>
      </c>
    </row>
    <row r="8708" spans="5:5" x14ac:dyDescent="0.25">
      <c r="E8708" t="s">
        <v>8286</v>
      </c>
    </row>
    <row r="8709" spans="5:5" x14ac:dyDescent="0.25">
      <c r="E8709" t="s">
        <v>8287</v>
      </c>
    </row>
    <row r="8710" spans="5:5" x14ac:dyDescent="0.25">
      <c r="E8710" t="s">
        <v>8288</v>
      </c>
    </row>
    <row r="8711" spans="5:5" x14ac:dyDescent="0.25">
      <c r="E8711" t="s">
        <v>8289</v>
      </c>
    </row>
    <row r="8712" spans="5:5" x14ac:dyDescent="0.25">
      <c r="E8712" t="s">
        <v>8290</v>
      </c>
    </row>
    <row r="8713" spans="5:5" x14ac:dyDescent="0.25">
      <c r="E8713" t="s">
        <v>8291</v>
      </c>
    </row>
    <row r="8714" spans="5:5" x14ac:dyDescent="0.25">
      <c r="E8714" t="s">
        <v>8292</v>
      </c>
    </row>
    <row r="8715" spans="5:5" x14ac:dyDescent="0.25">
      <c r="E8715" t="s">
        <v>8293</v>
      </c>
    </row>
    <row r="8716" spans="5:5" x14ac:dyDescent="0.25">
      <c r="E8716" t="s">
        <v>8294</v>
      </c>
    </row>
    <row r="8717" spans="5:5" x14ac:dyDescent="0.25">
      <c r="E8717" t="s">
        <v>8295</v>
      </c>
    </row>
    <row r="8718" spans="5:5" x14ac:dyDescent="0.25">
      <c r="E8718" t="s">
        <v>8296</v>
      </c>
    </row>
    <row r="8719" spans="5:5" x14ac:dyDescent="0.25">
      <c r="E8719" t="s">
        <v>8297</v>
      </c>
    </row>
    <row r="8720" spans="5:5" x14ac:dyDescent="0.25">
      <c r="E8720" t="s">
        <v>8298</v>
      </c>
    </row>
    <row r="8721" spans="5:5" x14ac:dyDescent="0.25">
      <c r="E8721" t="s">
        <v>8299</v>
      </c>
    </row>
    <row r="8722" spans="5:5" x14ac:dyDescent="0.25">
      <c r="E8722" t="s">
        <v>8300</v>
      </c>
    </row>
    <row r="8723" spans="5:5" x14ac:dyDescent="0.25">
      <c r="E8723" t="s">
        <v>8301</v>
      </c>
    </row>
    <row r="8724" spans="5:5" x14ac:dyDescent="0.25">
      <c r="E8724" t="s">
        <v>8302</v>
      </c>
    </row>
    <row r="8725" spans="5:5" x14ac:dyDescent="0.25">
      <c r="E8725" t="s">
        <v>8303</v>
      </c>
    </row>
    <row r="8726" spans="5:5" x14ac:dyDescent="0.25">
      <c r="E8726" t="s">
        <v>8304</v>
      </c>
    </row>
    <row r="8727" spans="5:5" x14ac:dyDescent="0.25">
      <c r="E8727" t="s">
        <v>8305</v>
      </c>
    </row>
    <row r="8728" spans="5:5" x14ac:dyDescent="0.25">
      <c r="E8728" t="s">
        <v>8306</v>
      </c>
    </row>
    <row r="8729" spans="5:5" x14ac:dyDescent="0.25">
      <c r="E8729" t="s">
        <v>8307</v>
      </c>
    </row>
    <row r="8730" spans="5:5" x14ac:dyDescent="0.25">
      <c r="E8730" t="s">
        <v>8308</v>
      </c>
    </row>
    <row r="8731" spans="5:5" x14ac:dyDescent="0.25">
      <c r="E8731" t="s">
        <v>8309</v>
      </c>
    </row>
    <row r="8732" spans="5:5" x14ac:dyDescent="0.25">
      <c r="E8732" t="s">
        <v>8310</v>
      </c>
    </row>
    <row r="8733" spans="5:5" x14ac:dyDescent="0.25">
      <c r="E8733" t="s">
        <v>8311</v>
      </c>
    </row>
    <row r="8734" spans="5:5" x14ac:dyDescent="0.25">
      <c r="E8734" t="s">
        <v>8312</v>
      </c>
    </row>
    <row r="8735" spans="5:5" x14ac:dyDescent="0.25">
      <c r="E8735" t="s">
        <v>8313</v>
      </c>
    </row>
    <row r="8736" spans="5:5" x14ac:dyDescent="0.25">
      <c r="E8736" t="s">
        <v>8314</v>
      </c>
    </row>
    <row r="8737" spans="5:5" x14ac:dyDescent="0.25">
      <c r="E8737" t="s">
        <v>8315</v>
      </c>
    </row>
    <row r="8738" spans="5:5" x14ac:dyDescent="0.25">
      <c r="E8738" t="s">
        <v>8316</v>
      </c>
    </row>
    <row r="8739" spans="5:5" x14ac:dyDescent="0.25">
      <c r="E8739" t="s">
        <v>8317</v>
      </c>
    </row>
    <row r="8740" spans="5:5" x14ac:dyDescent="0.25">
      <c r="E8740" t="s">
        <v>8318</v>
      </c>
    </row>
    <row r="8741" spans="5:5" x14ac:dyDescent="0.25">
      <c r="E8741" t="s">
        <v>8319</v>
      </c>
    </row>
    <row r="8742" spans="5:5" x14ac:dyDescent="0.25">
      <c r="E8742" t="s">
        <v>8320</v>
      </c>
    </row>
    <row r="8743" spans="5:5" x14ac:dyDescent="0.25">
      <c r="E8743" t="s">
        <v>8321</v>
      </c>
    </row>
    <row r="8744" spans="5:5" x14ac:dyDescent="0.25">
      <c r="E8744" t="s">
        <v>8322</v>
      </c>
    </row>
    <row r="8745" spans="5:5" x14ac:dyDescent="0.25">
      <c r="E8745" t="s">
        <v>8323</v>
      </c>
    </row>
    <row r="8746" spans="5:5" x14ac:dyDescent="0.25">
      <c r="E8746" t="s">
        <v>8324</v>
      </c>
    </row>
    <row r="8747" spans="5:5" x14ac:dyDescent="0.25">
      <c r="E8747" t="s">
        <v>8325</v>
      </c>
    </row>
    <row r="8748" spans="5:5" x14ac:dyDescent="0.25">
      <c r="E8748" t="s">
        <v>8326</v>
      </c>
    </row>
    <row r="8749" spans="5:5" x14ac:dyDescent="0.25">
      <c r="E8749" t="s">
        <v>8327</v>
      </c>
    </row>
    <row r="8750" spans="5:5" x14ac:dyDescent="0.25">
      <c r="E8750" t="s">
        <v>8328</v>
      </c>
    </row>
    <row r="8751" spans="5:5" x14ac:dyDescent="0.25">
      <c r="E8751" t="s">
        <v>8329</v>
      </c>
    </row>
    <row r="8752" spans="5:5" x14ac:dyDescent="0.25">
      <c r="E8752" t="s">
        <v>8330</v>
      </c>
    </row>
    <row r="8753" spans="5:5" x14ac:dyDescent="0.25">
      <c r="E8753" t="s">
        <v>8331</v>
      </c>
    </row>
    <row r="8754" spans="5:5" x14ac:dyDescent="0.25">
      <c r="E8754" t="s">
        <v>8332</v>
      </c>
    </row>
    <row r="8755" spans="5:5" x14ac:dyDescent="0.25">
      <c r="E8755" t="s">
        <v>8333</v>
      </c>
    </row>
    <row r="8756" spans="5:5" x14ac:dyDescent="0.25">
      <c r="E8756" t="s">
        <v>8334</v>
      </c>
    </row>
    <row r="8757" spans="5:5" x14ac:dyDescent="0.25">
      <c r="E8757" t="s">
        <v>8335</v>
      </c>
    </row>
    <row r="8758" spans="5:5" x14ac:dyDescent="0.25">
      <c r="E8758" t="s">
        <v>8336</v>
      </c>
    </row>
    <row r="8759" spans="5:5" x14ac:dyDescent="0.25">
      <c r="E8759" t="s">
        <v>8337</v>
      </c>
    </row>
    <row r="8760" spans="5:5" x14ac:dyDescent="0.25">
      <c r="E8760" t="s">
        <v>8338</v>
      </c>
    </row>
    <row r="8761" spans="5:5" x14ac:dyDescent="0.25">
      <c r="E8761" t="s">
        <v>8339</v>
      </c>
    </row>
    <row r="8762" spans="5:5" x14ac:dyDescent="0.25">
      <c r="E8762" t="s">
        <v>8340</v>
      </c>
    </row>
    <row r="8763" spans="5:5" x14ac:dyDescent="0.25">
      <c r="E8763" t="s">
        <v>8341</v>
      </c>
    </row>
    <row r="8764" spans="5:5" x14ac:dyDescent="0.25">
      <c r="E8764" t="s">
        <v>8342</v>
      </c>
    </row>
    <row r="8765" spans="5:5" x14ac:dyDescent="0.25">
      <c r="E8765" t="s">
        <v>8343</v>
      </c>
    </row>
    <row r="8766" spans="5:5" x14ac:dyDescent="0.25">
      <c r="E8766" t="s">
        <v>8344</v>
      </c>
    </row>
    <row r="8767" spans="5:5" x14ac:dyDescent="0.25">
      <c r="E8767" t="s">
        <v>8345</v>
      </c>
    </row>
    <row r="8768" spans="5:5" x14ac:dyDescent="0.25">
      <c r="E8768" t="s">
        <v>8346</v>
      </c>
    </row>
    <row r="8769" spans="5:5" x14ac:dyDescent="0.25">
      <c r="E8769" t="s">
        <v>8347</v>
      </c>
    </row>
    <row r="8770" spans="5:5" x14ac:dyDescent="0.25">
      <c r="E8770" t="s">
        <v>8348</v>
      </c>
    </row>
    <row r="8771" spans="5:5" x14ac:dyDescent="0.25">
      <c r="E8771" t="s">
        <v>8349</v>
      </c>
    </row>
    <row r="8772" spans="5:5" x14ac:dyDescent="0.25">
      <c r="E8772" t="s">
        <v>8350</v>
      </c>
    </row>
    <row r="8773" spans="5:5" x14ac:dyDescent="0.25">
      <c r="E8773" t="s">
        <v>8351</v>
      </c>
    </row>
    <row r="8774" spans="5:5" x14ac:dyDescent="0.25">
      <c r="E8774" t="s">
        <v>8352</v>
      </c>
    </row>
    <row r="8775" spans="5:5" x14ac:dyDescent="0.25">
      <c r="E8775" t="s">
        <v>8353</v>
      </c>
    </row>
    <row r="8776" spans="5:5" x14ac:dyDescent="0.25">
      <c r="E8776" t="s">
        <v>8354</v>
      </c>
    </row>
    <row r="8777" spans="5:5" x14ac:dyDescent="0.25">
      <c r="E8777" t="s">
        <v>8355</v>
      </c>
    </row>
    <row r="8778" spans="5:5" x14ac:dyDescent="0.25">
      <c r="E8778" t="s">
        <v>8356</v>
      </c>
    </row>
    <row r="8779" spans="5:5" x14ac:dyDescent="0.25">
      <c r="E8779" t="s">
        <v>8357</v>
      </c>
    </row>
    <row r="8780" spans="5:5" x14ac:dyDescent="0.25">
      <c r="E8780" t="s">
        <v>8358</v>
      </c>
    </row>
    <row r="8781" spans="5:5" x14ac:dyDescent="0.25">
      <c r="E8781" t="s">
        <v>8359</v>
      </c>
    </row>
    <row r="8782" spans="5:5" x14ac:dyDescent="0.25">
      <c r="E8782" t="s">
        <v>8360</v>
      </c>
    </row>
    <row r="8783" spans="5:5" x14ac:dyDescent="0.25">
      <c r="E8783" t="s">
        <v>8361</v>
      </c>
    </row>
    <row r="8784" spans="5:5" x14ac:dyDescent="0.25">
      <c r="E8784" t="s">
        <v>8362</v>
      </c>
    </row>
    <row r="8785" spans="5:5" x14ac:dyDescent="0.25">
      <c r="E8785" t="s">
        <v>8363</v>
      </c>
    </row>
    <row r="8786" spans="5:5" x14ac:dyDescent="0.25">
      <c r="E8786" t="s">
        <v>8364</v>
      </c>
    </row>
    <row r="8787" spans="5:5" x14ac:dyDescent="0.25">
      <c r="E8787" t="s">
        <v>8365</v>
      </c>
    </row>
    <row r="8788" spans="5:5" x14ac:dyDescent="0.25">
      <c r="E8788" t="s">
        <v>8366</v>
      </c>
    </row>
    <row r="8789" spans="5:5" x14ac:dyDescent="0.25">
      <c r="E8789" t="s">
        <v>8367</v>
      </c>
    </row>
    <row r="8790" spans="5:5" x14ac:dyDescent="0.25">
      <c r="E8790" t="s">
        <v>8368</v>
      </c>
    </row>
    <row r="8791" spans="5:5" x14ac:dyDescent="0.25">
      <c r="E8791" t="s">
        <v>8369</v>
      </c>
    </row>
    <row r="8792" spans="5:5" x14ac:dyDescent="0.25">
      <c r="E8792" t="s">
        <v>8370</v>
      </c>
    </row>
    <row r="8793" spans="5:5" x14ac:dyDescent="0.25">
      <c r="E8793" t="s">
        <v>8371</v>
      </c>
    </row>
    <row r="8794" spans="5:5" x14ac:dyDescent="0.25">
      <c r="E8794" t="s">
        <v>8372</v>
      </c>
    </row>
    <row r="8795" spans="5:5" x14ac:dyDescent="0.25">
      <c r="E8795" t="s">
        <v>8373</v>
      </c>
    </row>
    <row r="8796" spans="5:5" x14ac:dyDescent="0.25">
      <c r="E8796" t="s">
        <v>8374</v>
      </c>
    </row>
    <row r="8797" spans="5:5" x14ac:dyDescent="0.25">
      <c r="E8797" t="s">
        <v>8375</v>
      </c>
    </row>
    <row r="8798" spans="5:5" x14ac:dyDescent="0.25">
      <c r="E8798" t="s">
        <v>8376</v>
      </c>
    </row>
    <row r="8799" spans="5:5" x14ac:dyDescent="0.25">
      <c r="E8799" t="s">
        <v>8377</v>
      </c>
    </row>
    <row r="8800" spans="5:5" x14ac:dyDescent="0.25">
      <c r="E8800" t="s">
        <v>8378</v>
      </c>
    </row>
    <row r="8801" spans="5:5" x14ac:dyDescent="0.25">
      <c r="E8801" t="s">
        <v>8379</v>
      </c>
    </row>
    <row r="8802" spans="5:5" x14ac:dyDescent="0.25">
      <c r="E8802" t="s">
        <v>8380</v>
      </c>
    </row>
    <row r="8803" spans="5:5" x14ac:dyDescent="0.25">
      <c r="E8803" t="s">
        <v>8381</v>
      </c>
    </row>
    <row r="8804" spans="5:5" x14ac:dyDescent="0.25">
      <c r="E8804" t="s">
        <v>8382</v>
      </c>
    </row>
    <row r="8805" spans="5:5" x14ac:dyDescent="0.25">
      <c r="E8805" t="s">
        <v>8383</v>
      </c>
    </row>
    <row r="8806" spans="5:5" x14ac:dyDescent="0.25">
      <c r="E8806" t="s">
        <v>8384</v>
      </c>
    </row>
    <row r="8807" spans="5:5" x14ac:dyDescent="0.25">
      <c r="E8807" t="s">
        <v>8385</v>
      </c>
    </row>
    <row r="8808" spans="5:5" x14ac:dyDescent="0.25">
      <c r="E8808" t="s">
        <v>8386</v>
      </c>
    </row>
    <row r="8809" spans="5:5" x14ac:dyDescent="0.25">
      <c r="E8809" t="s">
        <v>8387</v>
      </c>
    </row>
    <row r="8810" spans="5:5" x14ac:dyDescent="0.25">
      <c r="E8810" t="s">
        <v>8388</v>
      </c>
    </row>
    <row r="8811" spans="5:5" x14ac:dyDescent="0.25">
      <c r="E8811" t="s">
        <v>8389</v>
      </c>
    </row>
    <row r="8812" spans="5:5" x14ac:dyDescent="0.25">
      <c r="E8812" t="s">
        <v>8390</v>
      </c>
    </row>
    <row r="8813" spans="5:5" x14ac:dyDescent="0.25">
      <c r="E8813" t="s">
        <v>8391</v>
      </c>
    </row>
    <row r="8814" spans="5:5" x14ac:dyDescent="0.25">
      <c r="E8814" t="s">
        <v>8392</v>
      </c>
    </row>
    <row r="8815" spans="5:5" x14ac:dyDescent="0.25">
      <c r="E8815" t="s">
        <v>8393</v>
      </c>
    </row>
    <row r="8816" spans="5:5" x14ac:dyDescent="0.25">
      <c r="E8816" t="s">
        <v>8394</v>
      </c>
    </row>
    <row r="8817" spans="5:5" x14ac:dyDescent="0.25">
      <c r="E8817" t="s">
        <v>8395</v>
      </c>
    </row>
    <row r="8818" spans="5:5" x14ac:dyDescent="0.25">
      <c r="E8818" t="s">
        <v>8396</v>
      </c>
    </row>
    <row r="8819" spans="5:5" x14ac:dyDescent="0.25">
      <c r="E8819" t="s">
        <v>8397</v>
      </c>
    </row>
    <row r="8820" spans="5:5" x14ac:dyDescent="0.25">
      <c r="E8820" t="s">
        <v>8398</v>
      </c>
    </row>
    <row r="8821" spans="5:5" x14ac:dyDescent="0.25">
      <c r="E8821" t="s">
        <v>8399</v>
      </c>
    </row>
    <row r="8822" spans="5:5" x14ac:dyDescent="0.25">
      <c r="E8822" t="s">
        <v>8400</v>
      </c>
    </row>
    <row r="8823" spans="5:5" x14ac:dyDescent="0.25">
      <c r="E8823" t="s">
        <v>8401</v>
      </c>
    </row>
    <row r="8824" spans="5:5" x14ac:dyDescent="0.25">
      <c r="E8824" t="s">
        <v>8402</v>
      </c>
    </row>
    <row r="8825" spans="5:5" x14ac:dyDescent="0.25">
      <c r="E8825" t="s">
        <v>8403</v>
      </c>
    </row>
    <row r="8826" spans="5:5" x14ac:dyDescent="0.25">
      <c r="E8826" t="s">
        <v>8404</v>
      </c>
    </row>
    <row r="8827" spans="5:5" x14ac:dyDescent="0.25">
      <c r="E8827" t="s">
        <v>8405</v>
      </c>
    </row>
    <row r="8828" spans="5:5" x14ac:dyDescent="0.25">
      <c r="E8828" t="s">
        <v>8406</v>
      </c>
    </row>
    <row r="8829" spans="5:5" x14ac:dyDescent="0.25">
      <c r="E8829" t="s">
        <v>8407</v>
      </c>
    </row>
    <row r="8830" spans="5:5" x14ac:dyDescent="0.25">
      <c r="E8830" t="s">
        <v>8408</v>
      </c>
    </row>
    <row r="8831" spans="5:5" x14ac:dyDescent="0.25">
      <c r="E8831" t="s">
        <v>8409</v>
      </c>
    </row>
    <row r="8832" spans="5:5" x14ac:dyDescent="0.25">
      <c r="E8832" t="s">
        <v>8410</v>
      </c>
    </row>
    <row r="8833" spans="5:5" x14ac:dyDescent="0.25">
      <c r="E8833" t="s">
        <v>8411</v>
      </c>
    </row>
    <row r="8834" spans="5:5" x14ac:dyDescent="0.25">
      <c r="E8834" t="s">
        <v>8412</v>
      </c>
    </row>
    <row r="8835" spans="5:5" x14ac:dyDescent="0.25">
      <c r="E8835" t="s">
        <v>8413</v>
      </c>
    </row>
    <row r="8836" spans="5:5" x14ac:dyDescent="0.25">
      <c r="E8836" t="s">
        <v>8414</v>
      </c>
    </row>
    <row r="8837" spans="5:5" x14ac:dyDescent="0.25">
      <c r="E8837" t="s">
        <v>8415</v>
      </c>
    </row>
    <row r="8838" spans="5:5" x14ac:dyDescent="0.25">
      <c r="E8838" t="s">
        <v>8416</v>
      </c>
    </row>
    <row r="8839" spans="5:5" x14ac:dyDescent="0.25">
      <c r="E8839" t="s">
        <v>8417</v>
      </c>
    </row>
    <row r="8840" spans="5:5" x14ac:dyDescent="0.25">
      <c r="E8840" t="s">
        <v>8418</v>
      </c>
    </row>
    <row r="8841" spans="5:5" x14ac:dyDescent="0.25">
      <c r="E8841" t="s">
        <v>8419</v>
      </c>
    </row>
    <row r="8842" spans="5:5" x14ac:dyDescent="0.25">
      <c r="E8842" t="s">
        <v>8420</v>
      </c>
    </row>
    <row r="8843" spans="5:5" x14ac:dyDescent="0.25">
      <c r="E8843" t="s">
        <v>8421</v>
      </c>
    </row>
    <row r="8844" spans="5:5" x14ac:dyDescent="0.25">
      <c r="E8844" t="s">
        <v>8422</v>
      </c>
    </row>
    <row r="8845" spans="5:5" x14ac:dyDescent="0.25">
      <c r="E8845" t="s">
        <v>8423</v>
      </c>
    </row>
    <row r="8846" spans="5:5" x14ac:dyDescent="0.25">
      <c r="E8846" t="s">
        <v>8424</v>
      </c>
    </row>
    <row r="8847" spans="5:5" x14ac:dyDescent="0.25">
      <c r="E8847" t="s">
        <v>8425</v>
      </c>
    </row>
    <row r="8848" spans="5:5" x14ac:dyDescent="0.25">
      <c r="E8848" t="s">
        <v>8426</v>
      </c>
    </row>
    <row r="8849" spans="5:5" x14ac:dyDescent="0.25">
      <c r="E8849" t="s">
        <v>8427</v>
      </c>
    </row>
    <row r="8850" spans="5:5" x14ac:dyDescent="0.25">
      <c r="E8850" t="s">
        <v>8428</v>
      </c>
    </row>
    <row r="8851" spans="5:5" x14ac:dyDescent="0.25">
      <c r="E8851" t="s">
        <v>8429</v>
      </c>
    </row>
    <row r="8852" spans="5:5" x14ac:dyDescent="0.25">
      <c r="E8852" t="s">
        <v>8430</v>
      </c>
    </row>
    <row r="8853" spans="5:5" x14ac:dyDescent="0.25">
      <c r="E8853" t="s">
        <v>8431</v>
      </c>
    </row>
    <row r="8854" spans="5:5" x14ac:dyDescent="0.25">
      <c r="E8854" t="s">
        <v>8432</v>
      </c>
    </row>
    <row r="8855" spans="5:5" x14ac:dyDescent="0.25">
      <c r="E8855" t="s">
        <v>8433</v>
      </c>
    </row>
    <row r="8856" spans="5:5" x14ac:dyDescent="0.25">
      <c r="E8856" t="s">
        <v>8434</v>
      </c>
    </row>
    <row r="8857" spans="5:5" x14ac:dyDescent="0.25">
      <c r="E8857" t="s">
        <v>8435</v>
      </c>
    </row>
    <row r="8858" spans="5:5" x14ac:dyDescent="0.25">
      <c r="E8858" t="s">
        <v>8436</v>
      </c>
    </row>
    <row r="8859" spans="5:5" x14ac:dyDescent="0.25">
      <c r="E8859" t="s">
        <v>8437</v>
      </c>
    </row>
    <row r="8860" spans="5:5" x14ac:dyDescent="0.25">
      <c r="E8860" t="s">
        <v>8438</v>
      </c>
    </row>
    <row r="8861" spans="5:5" x14ac:dyDescent="0.25">
      <c r="E8861" t="s">
        <v>8439</v>
      </c>
    </row>
    <row r="8862" spans="5:5" x14ac:dyDescent="0.25">
      <c r="E8862" t="s">
        <v>8440</v>
      </c>
    </row>
    <row r="8863" spans="5:5" x14ac:dyDescent="0.25">
      <c r="E8863" t="s">
        <v>8441</v>
      </c>
    </row>
    <row r="8864" spans="5:5" x14ac:dyDescent="0.25">
      <c r="E8864" t="s">
        <v>8442</v>
      </c>
    </row>
    <row r="8865" spans="5:5" x14ac:dyDescent="0.25">
      <c r="E8865" t="s">
        <v>8443</v>
      </c>
    </row>
    <row r="8866" spans="5:5" x14ac:dyDescent="0.25">
      <c r="E8866" t="s">
        <v>8444</v>
      </c>
    </row>
    <row r="8867" spans="5:5" x14ac:dyDescent="0.25">
      <c r="E8867" t="s">
        <v>8445</v>
      </c>
    </row>
    <row r="8868" spans="5:5" x14ac:dyDescent="0.25">
      <c r="E8868" t="s">
        <v>8446</v>
      </c>
    </row>
    <row r="8869" spans="5:5" x14ac:dyDescent="0.25">
      <c r="E8869" t="s">
        <v>8447</v>
      </c>
    </row>
    <row r="8870" spans="5:5" x14ac:dyDescent="0.25">
      <c r="E8870" t="s">
        <v>8448</v>
      </c>
    </row>
    <row r="8871" spans="5:5" x14ac:dyDescent="0.25">
      <c r="E8871" t="s">
        <v>8449</v>
      </c>
    </row>
    <row r="8872" spans="5:5" x14ac:dyDescent="0.25">
      <c r="E8872" t="s">
        <v>8450</v>
      </c>
    </row>
    <row r="8873" spans="5:5" x14ac:dyDescent="0.25">
      <c r="E8873" t="s">
        <v>8451</v>
      </c>
    </row>
    <row r="8874" spans="5:5" x14ac:dyDescent="0.25">
      <c r="E8874" t="s">
        <v>8452</v>
      </c>
    </row>
    <row r="8875" spans="5:5" x14ac:dyDescent="0.25">
      <c r="E8875" t="s">
        <v>8453</v>
      </c>
    </row>
    <row r="8876" spans="5:5" x14ac:dyDescent="0.25">
      <c r="E8876" t="s">
        <v>8454</v>
      </c>
    </row>
    <row r="8877" spans="5:5" x14ac:dyDescent="0.25">
      <c r="E8877" t="s">
        <v>8455</v>
      </c>
    </row>
    <row r="8878" spans="5:5" x14ac:dyDescent="0.25">
      <c r="E8878" t="s">
        <v>8456</v>
      </c>
    </row>
    <row r="8879" spans="5:5" x14ac:dyDescent="0.25">
      <c r="E8879" t="s">
        <v>8457</v>
      </c>
    </row>
    <row r="8880" spans="5:5" x14ac:dyDescent="0.25">
      <c r="E8880" t="s">
        <v>8458</v>
      </c>
    </row>
    <row r="8881" spans="5:5" x14ac:dyDescent="0.25">
      <c r="E8881" t="s">
        <v>8459</v>
      </c>
    </row>
    <row r="8882" spans="5:5" x14ac:dyDescent="0.25">
      <c r="E8882" t="s">
        <v>8460</v>
      </c>
    </row>
    <row r="8883" spans="5:5" x14ac:dyDescent="0.25">
      <c r="E8883" t="s">
        <v>8461</v>
      </c>
    </row>
    <row r="8884" spans="5:5" x14ac:dyDescent="0.25">
      <c r="E8884" t="s">
        <v>8462</v>
      </c>
    </row>
    <row r="8885" spans="5:5" x14ac:dyDescent="0.25">
      <c r="E8885" t="s">
        <v>8463</v>
      </c>
    </row>
    <row r="8886" spans="5:5" x14ac:dyDescent="0.25">
      <c r="E8886" t="s">
        <v>8464</v>
      </c>
    </row>
    <row r="8887" spans="5:5" x14ac:dyDescent="0.25">
      <c r="E8887" t="s">
        <v>8465</v>
      </c>
    </row>
    <row r="8888" spans="5:5" x14ac:dyDescent="0.25">
      <c r="E8888" t="s">
        <v>8466</v>
      </c>
    </row>
    <row r="8889" spans="5:5" x14ac:dyDescent="0.25">
      <c r="E8889" t="s">
        <v>8467</v>
      </c>
    </row>
    <row r="8890" spans="5:5" x14ac:dyDescent="0.25">
      <c r="E8890" t="s">
        <v>8468</v>
      </c>
    </row>
    <row r="8891" spans="5:5" x14ac:dyDescent="0.25">
      <c r="E8891" t="s">
        <v>8469</v>
      </c>
    </row>
    <row r="8892" spans="5:5" x14ac:dyDescent="0.25">
      <c r="E8892" t="s">
        <v>8470</v>
      </c>
    </row>
    <row r="8893" spans="5:5" x14ac:dyDescent="0.25">
      <c r="E8893" t="s">
        <v>8471</v>
      </c>
    </row>
    <row r="8894" spans="5:5" x14ac:dyDescent="0.25">
      <c r="E8894" t="s">
        <v>8472</v>
      </c>
    </row>
    <row r="8895" spans="5:5" x14ac:dyDescent="0.25">
      <c r="E8895" t="s">
        <v>8473</v>
      </c>
    </row>
    <row r="8896" spans="5:5" x14ac:dyDescent="0.25">
      <c r="E8896" t="s">
        <v>8474</v>
      </c>
    </row>
    <row r="8897" spans="5:5" x14ac:dyDescent="0.25">
      <c r="E8897" t="s">
        <v>8475</v>
      </c>
    </row>
    <row r="8898" spans="5:5" x14ac:dyDescent="0.25">
      <c r="E8898" t="s">
        <v>8476</v>
      </c>
    </row>
    <row r="8899" spans="5:5" x14ac:dyDescent="0.25">
      <c r="E8899" t="s">
        <v>8477</v>
      </c>
    </row>
    <row r="8900" spans="5:5" x14ac:dyDescent="0.25">
      <c r="E8900" t="s">
        <v>8478</v>
      </c>
    </row>
    <row r="8901" spans="5:5" x14ac:dyDescent="0.25">
      <c r="E8901" t="s">
        <v>8479</v>
      </c>
    </row>
    <row r="8902" spans="5:5" x14ac:dyDescent="0.25">
      <c r="E8902" t="s">
        <v>8480</v>
      </c>
    </row>
    <row r="8903" spans="5:5" x14ac:dyDescent="0.25">
      <c r="E8903" t="s">
        <v>8481</v>
      </c>
    </row>
    <row r="8904" spans="5:5" x14ac:dyDescent="0.25">
      <c r="E8904" t="s">
        <v>8482</v>
      </c>
    </row>
    <row r="8905" spans="5:5" x14ac:dyDescent="0.25">
      <c r="E8905" t="s">
        <v>8483</v>
      </c>
    </row>
    <row r="8906" spans="5:5" x14ac:dyDescent="0.25">
      <c r="E8906" t="s">
        <v>8484</v>
      </c>
    </row>
    <row r="8907" spans="5:5" x14ac:dyDescent="0.25">
      <c r="E8907" t="s">
        <v>8485</v>
      </c>
    </row>
    <row r="8908" spans="5:5" x14ac:dyDescent="0.25">
      <c r="E8908" t="s">
        <v>8486</v>
      </c>
    </row>
    <row r="8909" spans="5:5" x14ac:dyDescent="0.25">
      <c r="E8909" t="s">
        <v>8487</v>
      </c>
    </row>
    <row r="8910" spans="5:5" x14ac:dyDescent="0.25">
      <c r="E8910" t="s">
        <v>8488</v>
      </c>
    </row>
    <row r="8911" spans="5:5" x14ac:dyDescent="0.25">
      <c r="E8911" t="s">
        <v>8489</v>
      </c>
    </row>
    <row r="8912" spans="5:5" x14ac:dyDescent="0.25">
      <c r="E8912" t="s">
        <v>8490</v>
      </c>
    </row>
    <row r="8913" spans="5:5" x14ac:dyDescent="0.25">
      <c r="E8913" t="s">
        <v>8491</v>
      </c>
    </row>
    <row r="8914" spans="5:5" x14ac:dyDescent="0.25">
      <c r="E8914" t="s">
        <v>8492</v>
      </c>
    </row>
    <row r="8915" spans="5:5" x14ac:dyDescent="0.25">
      <c r="E8915" t="s">
        <v>8493</v>
      </c>
    </row>
    <row r="8916" spans="5:5" x14ac:dyDescent="0.25">
      <c r="E8916" t="s">
        <v>8494</v>
      </c>
    </row>
    <row r="8917" spans="5:5" x14ac:dyDescent="0.25">
      <c r="E8917" t="s">
        <v>8495</v>
      </c>
    </row>
    <row r="8918" spans="5:5" x14ac:dyDescent="0.25">
      <c r="E8918" t="s">
        <v>8496</v>
      </c>
    </row>
    <row r="8919" spans="5:5" x14ac:dyDescent="0.25">
      <c r="E8919" t="s">
        <v>8497</v>
      </c>
    </row>
    <row r="8920" spans="5:5" x14ac:dyDescent="0.25">
      <c r="E8920" t="s">
        <v>8498</v>
      </c>
    </row>
    <row r="8921" spans="5:5" x14ac:dyDescent="0.25">
      <c r="E8921" t="s">
        <v>8499</v>
      </c>
    </row>
    <row r="8922" spans="5:5" x14ac:dyDescent="0.25">
      <c r="E8922" t="s">
        <v>8500</v>
      </c>
    </row>
    <row r="8923" spans="5:5" x14ac:dyDescent="0.25">
      <c r="E8923" t="s">
        <v>8501</v>
      </c>
    </row>
    <row r="8924" spans="5:5" x14ac:dyDescent="0.25">
      <c r="E8924" t="s">
        <v>8502</v>
      </c>
    </row>
    <row r="8925" spans="5:5" x14ac:dyDescent="0.25">
      <c r="E8925" t="s">
        <v>8503</v>
      </c>
    </row>
    <row r="8926" spans="5:5" x14ac:dyDescent="0.25">
      <c r="E8926" t="s">
        <v>8504</v>
      </c>
    </row>
    <row r="8927" spans="5:5" x14ac:dyDescent="0.25">
      <c r="E8927" t="s">
        <v>8505</v>
      </c>
    </row>
    <row r="8928" spans="5:5" x14ac:dyDescent="0.25">
      <c r="E8928" t="s">
        <v>8506</v>
      </c>
    </row>
    <row r="8929" spans="5:5" x14ac:dyDescent="0.25">
      <c r="E8929" t="s">
        <v>8507</v>
      </c>
    </row>
    <row r="8930" spans="5:5" x14ac:dyDescent="0.25">
      <c r="E8930" t="s">
        <v>8508</v>
      </c>
    </row>
    <row r="8931" spans="5:5" x14ac:dyDescent="0.25">
      <c r="E8931" t="s">
        <v>8509</v>
      </c>
    </row>
    <row r="8932" spans="5:5" x14ac:dyDescent="0.25">
      <c r="E8932" t="s">
        <v>8510</v>
      </c>
    </row>
    <row r="8933" spans="5:5" x14ac:dyDescent="0.25">
      <c r="E8933" t="s">
        <v>8511</v>
      </c>
    </row>
    <row r="8934" spans="5:5" x14ac:dyDescent="0.25">
      <c r="E8934" t="s">
        <v>8512</v>
      </c>
    </row>
    <row r="8935" spans="5:5" x14ac:dyDescent="0.25">
      <c r="E8935" t="s">
        <v>8513</v>
      </c>
    </row>
    <row r="8936" spans="5:5" x14ac:dyDescent="0.25">
      <c r="E8936" t="s">
        <v>8514</v>
      </c>
    </row>
    <row r="8937" spans="5:5" x14ac:dyDescent="0.25">
      <c r="E8937" t="s">
        <v>8515</v>
      </c>
    </row>
    <row r="8938" spans="5:5" x14ac:dyDescent="0.25">
      <c r="E8938" t="s">
        <v>8516</v>
      </c>
    </row>
    <row r="8939" spans="5:5" x14ac:dyDescent="0.25">
      <c r="E8939" t="s">
        <v>8517</v>
      </c>
    </row>
    <row r="8940" spans="5:5" x14ac:dyDescent="0.25">
      <c r="E8940" t="s">
        <v>8518</v>
      </c>
    </row>
    <row r="8941" spans="5:5" x14ac:dyDescent="0.25">
      <c r="E8941" t="s">
        <v>8519</v>
      </c>
    </row>
    <row r="8942" spans="5:5" x14ac:dyDescent="0.25">
      <c r="E8942" t="s">
        <v>8520</v>
      </c>
    </row>
    <row r="8943" spans="5:5" x14ac:dyDescent="0.25">
      <c r="E8943" t="s">
        <v>8521</v>
      </c>
    </row>
    <row r="8944" spans="5:5" x14ac:dyDescent="0.25">
      <c r="E8944" t="s">
        <v>8522</v>
      </c>
    </row>
    <row r="8945" spans="5:5" x14ac:dyDescent="0.25">
      <c r="E8945" t="s">
        <v>8523</v>
      </c>
    </row>
    <row r="8946" spans="5:5" x14ac:dyDescent="0.25">
      <c r="E8946" t="s">
        <v>8524</v>
      </c>
    </row>
    <row r="8947" spans="5:5" x14ac:dyDescent="0.25">
      <c r="E8947" t="s">
        <v>8525</v>
      </c>
    </row>
    <row r="8948" spans="5:5" x14ac:dyDescent="0.25">
      <c r="E8948" t="s">
        <v>8526</v>
      </c>
    </row>
    <row r="8949" spans="5:5" x14ac:dyDescent="0.25">
      <c r="E8949" t="s">
        <v>8527</v>
      </c>
    </row>
    <row r="8950" spans="5:5" x14ac:dyDescent="0.25">
      <c r="E8950" t="s">
        <v>8528</v>
      </c>
    </row>
    <row r="8951" spans="5:5" x14ac:dyDescent="0.25">
      <c r="E8951" t="s">
        <v>8529</v>
      </c>
    </row>
    <row r="8952" spans="5:5" x14ac:dyDescent="0.25">
      <c r="E8952" t="s">
        <v>8530</v>
      </c>
    </row>
    <row r="8953" spans="5:5" x14ac:dyDescent="0.25">
      <c r="E8953" t="s">
        <v>8531</v>
      </c>
    </row>
    <row r="8954" spans="5:5" x14ac:dyDescent="0.25">
      <c r="E8954" t="s">
        <v>8532</v>
      </c>
    </row>
    <row r="8955" spans="5:5" x14ac:dyDescent="0.25">
      <c r="E8955" t="s">
        <v>8533</v>
      </c>
    </row>
    <row r="8956" spans="5:5" x14ac:dyDescent="0.25">
      <c r="E8956" t="s">
        <v>8534</v>
      </c>
    </row>
    <row r="8957" spans="5:5" x14ac:dyDescent="0.25">
      <c r="E8957" t="s">
        <v>8535</v>
      </c>
    </row>
    <row r="8958" spans="5:5" x14ac:dyDescent="0.25">
      <c r="E8958" t="s">
        <v>8536</v>
      </c>
    </row>
    <row r="8959" spans="5:5" x14ac:dyDescent="0.25">
      <c r="E8959" t="s">
        <v>8537</v>
      </c>
    </row>
    <row r="8960" spans="5:5" x14ac:dyDescent="0.25">
      <c r="E8960" t="s">
        <v>8538</v>
      </c>
    </row>
    <row r="8961" spans="5:5" x14ac:dyDescent="0.25">
      <c r="E8961" t="s">
        <v>8539</v>
      </c>
    </row>
    <row r="8962" spans="5:5" x14ac:dyDescent="0.25">
      <c r="E8962" t="s">
        <v>8540</v>
      </c>
    </row>
    <row r="8963" spans="5:5" x14ac:dyDescent="0.25">
      <c r="E8963" t="s">
        <v>8541</v>
      </c>
    </row>
    <row r="8964" spans="5:5" x14ac:dyDescent="0.25">
      <c r="E8964" t="s">
        <v>8542</v>
      </c>
    </row>
    <row r="8965" spans="5:5" x14ac:dyDescent="0.25">
      <c r="E8965" t="s">
        <v>8543</v>
      </c>
    </row>
    <row r="8966" spans="5:5" x14ac:dyDescent="0.25">
      <c r="E8966" t="s">
        <v>8544</v>
      </c>
    </row>
    <row r="8967" spans="5:5" x14ac:dyDescent="0.25">
      <c r="E8967" t="s">
        <v>8545</v>
      </c>
    </row>
    <row r="8968" spans="5:5" x14ac:dyDescent="0.25">
      <c r="E8968" t="s">
        <v>8546</v>
      </c>
    </row>
    <row r="8969" spans="5:5" x14ac:dyDescent="0.25">
      <c r="E8969" t="s">
        <v>8547</v>
      </c>
    </row>
    <row r="8970" spans="5:5" x14ac:dyDescent="0.25">
      <c r="E8970" t="s">
        <v>8548</v>
      </c>
    </row>
    <row r="8971" spans="5:5" x14ac:dyDescent="0.25">
      <c r="E8971" t="s">
        <v>8549</v>
      </c>
    </row>
    <row r="8972" spans="5:5" x14ac:dyDescent="0.25">
      <c r="E8972" t="s">
        <v>8550</v>
      </c>
    </row>
    <row r="8973" spans="5:5" x14ac:dyDescent="0.25">
      <c r="E8973" t="s">
        <v>8551</v>
      </c>
    </row>
    <row r="8974" spans="5:5" x14ac:dyDescent="0.25">
      <c r="E8974" t="s">
        <v>8552</v>
      </c>
    </row>
    <row r="8975" spans="5:5" x14ac:dyDescent="0.25">
      <c r="E8975" t="s">
        <v>8553</v>
      </c>
    </row>
    <row r="8976" spans="5:5" x14ac:dyDescent="0.25">
      <c r="E8976" t="s">
        <v>8554</v>
      </c>
    </row>
    <row r="8977" spans="5:5" x14ac:dyDescent="0.25">
      <c r="E8977" t="s">
        <v>8555</v>
      </c>
    </row>
    <row r="8978" spans="5:5" x14ac:dyDescent="0.25">
      <c r="E8978" t="s">
        <v>8556</v>
      </c>
    </row>
    <row r="8979" spans="5:5" x14ac:dyDescent="0.25">
      <c r="E8979" t="s">
        <v>8557</v>
      </c>
    </row>
    <row r="8980" spans="5:5" x14ac:dyDescent="0.25">
      <c r="E8980" t="s">
        <v>8558</v>
      </c>
    </row>
    <row r="8981" spans="5:5" x14ac:dyDescent="0.25">
      <c r="E8981" t="s">
        <v>8559</v>
      </c>
    </row>
    <row r="8982" spans="5:5" x14ac:dyDescent="0.25">
      <c r="E8982" t="s">
        <v>8560</v>
      </c>
    </row>
    <row r="8983" spans="5:5" x14ac:dyDescent="0.25">
      <c r="E8983" t="s">
        <v>8561</v>
      </c>
    </row>
    <row r="8984" spans="5:5" x14ac:dyDescent="0.25">
      <c r="E8984" t="s">
        <v>8562</v>
      </c>
    </row>
    <row r="8985" spans="5:5" x14ac:dyDescent="0.25">
      <c r="E8985" t="s">
        <v>8563</v>
      </c>
    </row>
    <row r="8986" spans="5:5" x14ac:dyDescent="0.25">
      <c r="E8986" t="s">
        <v>8564</v>
      </c>
    </row>
    <row r="8987" spans="5:5" x14ac:dyDescent="0.25">
      <c r="E8987" t="s">
        <v>8565</v>
      </c>
    </row>
    <row r="8988" spans="5:5" x14ac:dyDescent="0.25">
      <c r="E8988" t="s">
        <v>8566</v>
      </c>
    </row>
    <row r="8989" spans="5:5" x14ac:dyDescent="0.25">
      <c r="E8989" t="s">
        <v>8567</v>
      </c>
    </row>
    <row r="8990" spans="5:5" x14ac:dyDescent="0.25">
      <c r="E8990" t="s">
        <v>8568</v>
      </c>
    </row>
    <row r="8991" spans="5:5" x14ac:dyDescent="0.25">
      <c r="E8991" t="s">
        <v>8569</v>
      </c>
    </row>
    <row r="8992" spans="5:5" x14ac:dyDescent="0.25">
      <c r="E8992" t="s">
        <v>8570</v>
      </c>
    </row>
    <row r="8993" spans="5:5" x14ac:dyDescent="0.25">
      <c r="E8993" t="s">
        <v>8571</v>
      </c>
    </row>
    <row r="8994" spans="5:5" x14ac:dyDescent="0.25">
      <c r="E8994" t="s">
        <v>8572</v>
      </c>
    </row>
    <row r="8995" spans="5:5" x14ac:dyDescent="0.25">
      <c r="E8995" t="s">
        <v>8573</v>
      </c>
    </row>
    <row r="8996" spans="5:5" x14ac:dyDescent="0.25">
      <c r="E8996" t="s">
        <v>8574</v>
      </c>
    </row>
    <row r="8997" spans="5:5" x14ac:dyDescent="0.25">
      <c r="E8997" t="s">
        <v>8575</v>
      </c>
    </row>
    <row r="8998" spans="5:5" x14ac:dyDescent="0.25">
      <c r="E8998" t="s">
        <v>8576</v>
      </c>
    </row>
    <row r="8999" spans="5:5" x14ac:dyDescent="0.25">
      <c r="E8999" t="s">
        <v>8577</v>
      </c>
    </row>
    <row r="9000" spans="5:5" x14ac:dyDescent="0.25">
      <c r="E9000" t="s">
        <v>8578</v>
      </c>
    </row>
    <row r="9001" spans="5:5" x14ac:dyDescent="0.25">
      <c r="E9001" t="s">
        <v>8579</v>
      </c>
    </row>
    <row r="9002" spans="5:5" x14ac:dyDescent="0.25">
      <c r="E9002" t="s">
        <v>8580</v>
      </c>
    </row>
    <row r="9003" spans="5:5" x14ac:dyDescent="0.25">
      <c r="E9003" t="s">
        <v>8581</v>
      </c>
    </row>
    <row r="9004" spans="5:5" x14ac:dyDescent="0.25">
      <c r="E9004" t="s">
        <v>8582</v>
      </c>
    </row>
    <row r="9005" spans="5:5" x14ac:dyDescent="0.25">
      <c r="E9005" t="s">
        <v>8583</v>
      </c>
    </row>
    <row r="9006" spans="5:5" x14ac:dyDescent="0.25">
      <c r="E9006" t="s">
        <v>8584</v>
      </c>
    </row>
    <row r="9007" spans="5:5" x14ac:dyDescent="0.25">
      <c r="E9007" t="s">
        <v>8585</v>
      </c>
    </row>
    <row r="9008" spans="5:5" x14ac:dyDescent="0.25">
      <c r="E9008" t="s">
        <v>8586</v>
      </c>
    </row>
    <row r="9009" spans="5:5" x14ac:dyDescent="0.25">
      <c r="E9009" t="s">
        <v>8587</v>
      </c>
    </row>
    <row r="9010" spans="5:5" x14ac:dyDescent="0.25">
      <c r="E9010" t="s">
        <v>8588</v>
      </c>
    </row>
    <row r="9011" spans="5:5" x14ac:dyDescent="0.25">
      <c r="E9011" t="s">
        <v>8589</v>
      </c>
    </row>
    <row r="9012" spans="5:5" x14ac:dyDescent="0.25">
      <c r="E9012" t="s">
        <v>8590</v>
      </c>
    </row>
    <row r="9013" spans="5:5" x14ac:dyDescent="0.25">
      <c r="E9013" t="s">
        <v>8591</v>
      </c>
    </row>
    <row r="9014" spans="5:5" x14ac:dyDescent="0.25">
      <c r="E9014" t="s">
        <v>8592</v>
      </c>
    </row>
    <row r="9015" spans="5:5" x14ac:dyDescent="0.25">
      <c r="E9015" t="s">
        <v>8593</v>
      </c>
    </row>
    <row r="9017" spans="5:5" x14ac:dyDescent="0.25">
      <c r="E9017" t="s">
        <v>8594</v>
      </c>
    </row>
    <row r="9018" spans="5:5" x14ac:dyDescent="0.25">
      <c r="E9018" t="s">
        <v>8595</v>
      </c>
    </row>
    <row r="9019" spans="5:5" x14ac:dyDescent="0.25">
      <c r="E9019" t="s">
        <v>8596</v>
      </c>
    </row>
    <row r="9020" spans="5:5" x14ac:dyDescent="0.25">
      <c r="E9020" t="s">
        <v>8597</v>
      </c>
    </row>
    <row r="9021" spans="5:5" x14ac:dyDescent="0.25">
      <c r="E9021" t="s">
        <v>8598</v>
      </c>
    </row>
    <row r="9022" spans="5:5" x14ac:dyDescent="0.25">
      <c r="E9022" t="s">
        <v>8599</v>
      </c>
    </row>
    <row r="9023" spans="5:5" x14ac:dyDescent="0.25">
      <c r="E9023" t="s">
        <v>8600</v>
      </c>
    </row>
    <row r="9024" spans="5:5" x14ac:dyDescent="0.25">
      <c r="E9024" t="s">
        <v>8601</v>
      </c>
    </row>
    <row r="9025" spans="5:5" x14ac:dyDescent="0.25">
      <c r="E9025" t="s">
        <v>8602</v>
      </c>
    </row>
    <row r="9026" spans="5:5" x14ac:dyDescent="0.25">
      <c r="E9026" t="s">
        <v>8603</v>
      </c>
    </row>
    <row r="9027" spans="5:5" x14ac:dyDescent="0.25">
      <c r="E9027" t="s">
        <v>8604</v>
      </c>
    </row>
    <row r="9028" spans="5:5" x14ac:dyDescent="0.25">
      <c r="E9028" t="s">
        <v>8605</v>
      </c>
    </row>
    <row r="9029" spans="5:5" x14ac:dyDescent="0.25">
      <c r="E9029" t="s">
        <v>8606</v>
      </c>
    </row>
    <row r="9030" spans="5:5" x14ac:dyDescent="0.25">
      <c r="E9030" t="s">
        <v>8607</v>
      </c>
    </row>
    <row r="9031" spans="5:5" x14ac:dyDescent="0.25">
      <c r="E9031" t="s">
        <v>8608</v>
      </c>
    </row>
    <row r="9032" spans="5:5" x14ac:dyDescent="0.25">
      <c r="E9032" t="s">
        <v>8609</v>
      </c>
    </row>
    <row r="9033" spans="5:5" x14ac:dyDescent="0.25">
      <c r="E9033" t="s">
        <v>8610</v>
      </c>
    </row>
    <row r="9034" spans="5:5" x14ac:dyDescent="0.25">
      <c r="E9034" t="s">
        <v>8611</v>
      </c>
    </row>
    <row r="9035" spans="5:5" x14ac:dyDescent="0.25">
      <c r="E9035" t="s">
        <v>8612</v>
      </c>
    </row>
    <row r="9036" spans="5:5" x14ac:dyDescent="0.25">
      <c r="E9036" t="s">
        <v>8613</v>
      </c>
    </row>
    <row r="9037" spans="5:5" x14ac:dyDescent="0.25">
      <c r="E9037" t="s">
        <v>8614</v>
      </c>
    </row>
    <row r="9038" spans="5:5" x14ac:dyDescent="0.25">
      <c r="E9038" t="s">
        <v>8615</v>
      </c>
    </row>
    <row r="9039" spans="5:5" x14ac:dyDescent="0.25">
      <c r="E9039" t="s">
        <v>8616</v>
      </c>
    </row>
    <row r="9040" spans="5:5" x14ac:dyDescent="0.25">
      <c r="E9040" t="s">
        <v>8617</v>
      </c>
    </row>
    <row r="9041" spans="5:5" x14ac:dyDescent="0.25">
      <c r="E9041" t="s">
        <v>8618</v>
      </c>
    </row>
    <row r="9042" spans="5:5" x14ac:dyDescent="0.25">
      <c r="E9042" t="s">
        <v>8619</v>
      </c>
    </row>
    <row r="9043" spans="5:5" x14ac:dyDescent="0.25">
      <c r="E9043" t="s">
        <v>8620</v>
      </c>
    </row>
    <row r="9044" spans="5:5" x14ac:dyDescent="0.25">
      <c r="E9044" t="s">
        <v>8621</v>
      </c>
    </row>
    <row r="9045" spans="5:5" x14ac:dyDescent="0.25">
      <c r="E9045" t="s">
        <v>8622</v>
      </c>
    </row>
    <row r="9046" spans="5:5" x14ac:dyDescent="0.25">
      <c r="E9046" t="s">
        <v>8623</v>
      </c>
    </row>
    <row r="9047" spans="5:5" x14ac:dyDescent="0.25">
      <c r="E9047" t="s">
        <v>8624</v>
      </c>
    </row>
    <row r="9048" spans="5:5" x14ac:dyDescent="0.25">
      <c r="E9048" t="s">
        <v>8625</v>
      </c>
    </row>
    <row r="9049" spans="5:5" x14ac:dyDescent="0.25">
      <c r="E9049" t="s">
        <v>8626</v>
      </c>
    </row>
    <row r="9050" spans="5:5" x14ac:dyDescent="0.25">
      <c r="E9050" t="s">
        <v>8627</v>
      </c>
    </row>
    <row r="9051" spans="5:5" x14ac:dyDescent="0.25">
      <c r="E9051" t="s">
        <v>8628</v>
      </c>
    </row>
    <row r="9052" spans="5:5" x14ac:dyDescent="0.25">
      <c r="E9052" t="s">
        <v>8629</v>
      </c>
    </row>
    <row r="9053" spans="5:5" x14ac:dyDescent="0.25">
      <c r="E9053" t="s">
        <v>8630</v>
      </c>
    </row>
    <row r="9054" spans="5:5" x14ac:dyDescent="0.25">
      <c r="E9054" t="s">
        <v>8631</v>
      </c>
    </row>
    <row r="9055" spans="5:5" x14ac:dyDescent="0.25">
      <c r="E9055" t="s">
        <v>8632</v>
      </c>
    </row>
    <row r="9056" spans="5:5" x14ac:dyDescent="0.25">
      <c r="E9056" t="s">
        <v>8633</v>
      </c>
    </row>
    <row r="9057" spans="5:5" x14ac:dyDescent="0.25">
      <c r="E9057" t="s">
        <v>8634</v>
      </c>
    </row>
    <row r="9058" spans="5:5" x14ac:dyDescent="0.25">
      <c r="E9058" t="s">
        <v>8635</v>
      </c>
    </row>
    <row r="9059" spans="5:5" x14ac:dyDescent="0.25">
      <c r="E9059" t="s">
        <v>8636</v>
      </c>
    </row>
    <row r="9060" spans="5:5" x14ac:dyDescent="0.25">
      <c r="E9060" t="s">
        <v>8637</v>
      </c>
    </row>
    <row r="9061" spans="5:5" x14ac:dyDescent="0.25">
      <c r="E9061" t="s">
        <v>8638</v>
      </c>
    </row>
    <row r="9062" spans="5:5" x14ac:dyDescent="0.25">
      <c r="E9062" t="s">
        <v>8639</v>
      </c>
    </row>
    <row r="9063" spans="5:5" x14ac:dyDescent="0.25">
      <c r="E9063" t="s">
        <v>8640</v>
      </c>
    </row>
    <row r="9064" spans="5:5" x14ac:dyDescent="0.25">
      <c r="E9064" t="s">
        <v>8641</v>
      </c>
    </row>
    <row r="9065" spans="5:5" x14ac:dyDescent="0.25">
      <c r="E9065" t="s">
        <v>8642</v>
      </c>
    </row>
    <row r="9066" spans="5:5" x14ac:dyDescent="0.25">
      <c r="E9066" t="s">
        <v>8643</v>
      </c>
    </row>
    <row r="9067" spans="5:5" x14ac:dyDescent="0.25">
      <c r="E9067" t="s">
        <v>8644</v>
      </c>
    </row>
    <row r="9068" spans="5:5" x14ac:dyDescent="0.25">
      <c r="E9068" t="s">
        <v>8645</v>
      </c>
    </row>
    <row r="9069" spans="5:5" x14ac:dyDescent="0.25">
      <c r="E9069" t="s">
        <v>8646</v>
      </c>
    </row>
    <row r="9070" spans="5:5" x14ac:dyDescent="0.25">
      <c r="E9070" t="s">
        <v>8647</v>
      </c>
    </row>
    <row r="9071" spans="5:5" x14ac:dyDescent="0.25">
      <c r="E9071" t="s">
        <v>8648</v>
      </c>
    </row>
    <row r="9072" spans="5:5" x14ac:dyDescent="0.25">
      <c r="E9072" t="s">
        <v>8649</v>
      </c>
    </row>
    <row r="9073" spans="5:5" x14ac:dyDescent="0.25">
      <c r="E9073" t="s">
        <v>8650</v>
      </c>
    </row>
    <row r="9074" spans="5:5" x14ac:dyDescent="0.25">
      <c r="E9074" t="s">
        <v>8651</v>
      </c>
    </row>
    <row r="9075" spans="5:5" x14ac:dyDescent="0.25">
      <c r="E9075" t="s">
        <v>8652</v>
      </c>
    </row>
    <row r="9076" spans="5:5" x14ac:dyDescent="0.25">
      <c r="E9076" t="s">
        <v>8653</v>
      </c>
    </row>
    <row r="9077" spans="5:5" x14ac:dyDescent="0.25">
      <c r="E9077" t="s">
        <v>8654</v>
      </c>
    </row>
    <row r="9078" spans="5:5" x14ac:dyDescent="0.25">
      <c r="E9078" t="s">
        <v>8655</v>
      </c>
    </row>
    <row r="9079" spans="5:5" x14ac:dyDescent="0.25">
      <c r="E9079" t="s">
        <v>8656</v>
      </c>
    </row>
    <row r="9080" spans="5:5" x14ac:dyDescent="0.25">
      <c r="E9080" t="s">
        <v>8657</v>
      </c>
    </row>
    <row r="9081" spans="5:5" x14ac:dyDescent="0.25">
      <c r="E9081" t="s">
        <v>8658</v>
      </c>
    </row>
    <row r="9082" spans="5:5" x14ac:dyDescent="0.25">
      <c r="E9082" t="s">
        <v>8659</v>
      </c>
    </row>
    <row r="9083" spans="5:5" x14ac:dyDescent="0.25">
      <c r="E9083" t="s">
        <v>8660</v>
      </c>
    </row>
    <row r="9084" spans="5:5" x14ac:dyDescent="0.25">
      <c r="E9084" t="s">
        <v>8661</v>
      </c>
    </row>
    <row r="9085" spans="5:5" x14ac:dyDescent="0.25">
      <c r="E9085" t="s">
        <v>8662</v>
      </c>
    </row>
    <row r="9086" spans="5:5" x14ac:dyDescent="0.25">
      <c r="E9086" t="s">
        <v>8663</v>
      </c>
    </row>
    <row r="9087" spans="5:5" x14ac:dyDescent="0.25">
      <c r="E9087" t="s">
        <v>8664</v>
      </c>
    </row>
    <row r="9088" spans="5:5" x14ac:dyDescent="0.25">
      <c r="E9088" t="s">
        <v>8665</v>
      </c>
    </row>
    <row r="9089" spans="5:5" x14ac:dyDescent="0.25">
      <c r="E9089" t="s">
        <v>8666</v>
      </c>
    </row>
    <row r="9090" spans="5:5" x14ac:dyDescent="0.25">
      <c r="E9090" t="s">
        <v>8667</v>
      </c>
    </row>
    <row r="9091" spans="5:5" x14ac:dyDescent="0.25">
      <c r="E9091" t="s">
        <v>8668</v>
      </c>
    </row>
    <row r="9092" spans="5:5" x14ac:dyDescent="0.25">
      <c r="E9092" t="s">
        <v>8669</v>
      </c>
    </row>
    <row r="9093" spans="5:5" x14ac:dyDescent="0.25">
      <c r="E9093" t="s">
        <v>8670</v>
      </c>
    </row>
    <row r="9094" spans="5:5" x14ac:dyDescent="0.25">
      <c r="E9094" t="s">
        <v>8671</v>
      </c>
    </row>
    <row r="9095" spans="5:5" x14ac:dyDescent="0.25">
      <c r="E9095" t="s">
        <v>8672</v>
      </c>
    </row>
    <row r="9096" spans="5:5" x14ac:dyDescent="0.25">
      <c r="E9096" t="s">
        <v>8673</v>
      </c>
    </row>
    <row r="9097" spans="5:5" x14ac:dyDescent="0.25">
      <c r="E9097" t="s">
        <v>8674</v>
      </c>
    </row>
    <row r="9098" spans="5:5" x14ac:dyDescent="0.25">
      <c r="E9098" t="s">
        <v>8675</v>
      </c>
    </row>
    <row r="9099" spans="5:5" x14ac:dyDescent="0.25">
      <c r="E9099" t="s">
        <v>8676</v>
      </c>
    </row>
    <row r="9100" spans="5:5" x14ac:dyDescent="0.25">
      <c r="E9100" t="s">
        <v>8677</v>
      </c>
    </row>
    <row r="9101" spans="5:5" x14ac:dyDescent="0.25">
      <c r="E9101" t="s">
        <v>8678</v>
      </c>
    </row>
    <row r="9102" spans="5:5" x14ac:dyDescent="0.25">
      <c r="E9102" t="s">
        <v>8679</v>
      </c>
    </row>
    <row r="9103" spans="5:5" x14ac:dyDescent="0.25">
      <c r="E9103" t="s">
        <v>8680</v>
      </c>
    </row>
    <row r="9104" spans="5:5" x14ac:dyDescent="0.25">
      <c r="E9104" t="s">
        <v>8681</v>
      </c>
    </row>
    <row r="9105" spans="5:5" x14ac:dyDescent="0.25">
      <c r="E9105" t="s">
        <v>8682</v>
      </c>
    </row>
    <row r="9106" spans="5:5" x14ac:dyDescent="0.25">
      <c r="E9106" t="s">
        <v>8683</v>
      </c>
    </row>
    <row r="9107" spans="5:5" x14ac:dyDescent="0.25">
      <c r="E9107" t="s">
        <v>8684</v>
      </c>
    </row>
    <row r="9108" spans="5:5" x14ac:dyDescent="0.25">
      <c r="E9108" t="s">
        <v>8685</v>
      </c>
    </row>
    <row r="9109" spans="5:5" x14ac:dyDescent="0.25">
      <c r="E9109" t="s">
        <v>8686</v>
      </c>
    </row>
    <row r="9110" spans="5:5" x14ac:dyDescent="0.25">
      <c r="E9110" t="s">
        <v>8687</v>
      </c>
    </row>
    <row r="9111" spans="5:5" x14ac:dyDescent="0.25">
      <c r="E9111" t="s">
        <v>8688</v>
      </c>
    </row>
    <row r="9112" spans="5:5" x14ac:dyDescent="0.25">
      <c r="E9112" t="s">
        <v>8689</v>
      </c>
    </row>
    <row r="9113" spans="5:5" x14ac:dyDescent="0.25">
      <c r="E9113" t="s">
        <v>8690</v>
      </c>
    </row>
    <row r="9114" spans="5:5" x14ac:dyDescent="0.25">
      <c r="E9114" t="s">
        <v>8691</v>
      </c>
    </row>
    <row r="9115" spans="5:5" x14ac:dyDescent="0.25">
      <c r="E9115" t="s">
        <v>8692</v>
      </c>
    </row>
    <row r="9116" spans="5:5" x14ac:dyDescent="0.25">
      <c r="E9116" t="s">
        <v>8693</v>
      </c>
    </row>
    <row r="9117" spans="5:5" x14ac:dyDescent="0.25">
      <c r="E9117" t="s">
        <v>8694</v>
      </c>
    </row>
    <row r="9118" spans="5:5" x14ac:dyDescent="0.25">
      <c r="E9118" t="s">
        <v>8695</v>
      </c>
    </row>
    <row r="9119" spans="5:5" x14ac:dyDescent="0.25">
      <c r="E9119" t="s">
        <v>8696</v>
      </c>
    </row>
    <row r="9120" spans="5:5" x14ac:dyDescent="0.25">
      <c r="E9120" t="s">
        <v>8697</v>
      </c>
    </row>
    <row r="9121" spans="5:5" x14ac:dyDescent="0.25">
      <c r="E9121" t="s">
        <v>8698</v>
      </c>
    </row>
    <row r="9122" spans="5:5" x14ac:dyDescent="0.25">
      <c r="E9122" t="s">
        <v>8699</v>
      </c>
    </row>
    <row r="9123" spans="5:5" x14ac:dyDescent="0.25">
      <c r="E9123" t="s">
        <v>8700</v>
      </c>
    </row>
    <row r="9124" spans="5:5" x14ac:dyDescent="0.25">
      <c r="E9124" t="s">
        <v>8701</v>
      </c>
    </row>
    <row r="9125" spans="5:5" x14ac:dyDescent="0.25">
      <c r="E9125" t="s">
        <v>8702</v>
      </c>
    </row>
    <row r="9126" spans="5:5" x14ac:dyDescent="0.25">
      <c r="E9126" t="s">
        <v>8703</v>
      </c>
    </row>
    <row r="9127" spans="5:5" x14ac:dyDescent="0.25">
      <c r="E9127" t="s">
        <v>8704</v>
      </c>
    </row>
    <row r="9128" spans="5:5" x14ac:dyDescent="0.25">
      <c r="E9128" t="s">
        <v>8705</v>
      </c>
    </row>
    <row r="9129" spans="5:5" x14ac:dyDescent="0.25">
      <c r="E9129" t="s">
        <v>8706</v>
      </c>
    </row>
    <row r="9130" spans="5:5" x14ac:dyDescent="0.25">
      <c r="E9130" t="s">
        <v>8707</v>
      </c>
    </row>
    <row r="9131" spans="5:5" x14ac:dyDescent="0.25">
      <c r="E9131" t="s">
        <v>8708</v>
      </c>
    </row>
    <row r="9132" spans="5:5" x14ac:dyDescent="0.25">
      <c r="E9132" t="s">
        <v>8709</v>
      </c>
    </row>
    <row r="9133" spans="5:5" x14ac:dyDescent="0.25">
      <c r="E9133" t="s">
        <v>8710</v>
      </c>
    </row>
    <row r="9134" spans="5:5" x14ac:dyDescent="0.25">
      <c r="E9134" t="s">
        <v>8711</v>
      </c>
    </row>
    <row r="9135" spans="5:5" x14ac:dyDescent="0.25">
      <c r="E9135" t="s">
        <v>8712</v>
      </c>
    </row>
    <row r="9136" spans="5:5" x14ac:dyDescent="0.25">
      <c r="E9136" t="s">
        <v>8713</v>
      </c>
    </row>
    <row r="9137" spans="5:5" x14ac:dyDescent="0.25">
      <c r="E9137" t="s">
        <v>8714</v>
      </c>
    </row>
    <row r="9138" spans="5:5" x14ac:dyDescent="0.25">
      <c r="E9138" t="s">
        <v>8715</v>
      </c>
    </row>
    <row r="9139" spans="5:5" x14ac:dyDescent="0.25">
      <c r="E9139" t="s">
        <v>8716</v>
      </c>
    </row>
    <row r="9140" spans="5:5" x14ac:dyDescent="0.25">
      <c r="E9140" t="s">
        <v>8717</v>
      </c>
    </row>
    <row r="9141" spans="5:5" x14ac:dyDescent="0.25">
      <c r="E9141" t="s">
        <v>8718</v>
      </c>
    </row>
    <row r="9142" spans="5:5" x14ac:dyDescent="0.25">
      <c r="E9142" t="s">
        <v>8719</v>
      </c>
    </row>
    <row r="9143" spans="5:5" x14ac:dyDescent="0.25">
      <c r="E9143" t="s">
        <v>8720</v>
      </c>
    </row>
    <row r="9144" spans="5:5" x14ac:dyDescent="0.25">
      <c r="E9144" t="s">
        <v>8721</v>
      </c>
    </row>
    <row r="9145" spans="5:5" x14ac:dyDescent="0.25">
      <c r="E9145" t="s">
        <v>8722</v>
      </c>
    </row>
    <row r="9146" spans="5:5" x14ac:dyDescent="0.25">
      <c r="E9146" t="s">
        <v>8723</v>
      </c>
    </row>
    <row r="9147" spans="5:5" x14ac:dyDescent="0.25">
      <c r="E9147" t="s">
        <v>8724</v>
      </c>
    </row>
    <row r="9148" spans="5:5" x14ac:dyDescent="0.25">
      <c r="E9148" t="s">
        <v>8725</v>
      </c>
    </row>
    <row r="9149" spans="5:5" x14ac:dyDescent="0.25">
      <c r="E9149" t="s">
        <v>8726</v>
      </c>
    </row>
    <row r="9150" spans="5:5" x14ac:dyDescent="0.25">
      <c r="E9150" t="s">
        <v>8727</v>
      </c>
    </row>
    <row r="9151" spans="5:5" x14ac:dyDescent="0.25">
      <c r="E9151" t="s">
        <v>8728</v>
      </c>
    </row>
    <row r="9152" spans="5:5" x14ac:dyDescent="0.25">
      <c r="E9152" t="s">
        <v>8729</v>
      </c>
    </row>
    <row r="9153" spans="5:5" x14ac:dyDescent="0.25">
      <c r="E9153" t="s">
        <v>8730</v>
      </c>
    </row>
    <row r="9154" spans="5:5" x14ac:dyDescent="0.25">
      <c r="E9154" t="s">
        <v>8731</v>
      </c>
    </row>
    <row r="9155" spans="5:5" x14ac:dyDescent="0.25">
      <c r="E9155" t="s">
        <v>8732</v>
      </c>
    </row>
    <row r="9156" spans="5:5" x14ac:dyDescent="0.25">
      <c r="E9156" t="s">
        <v>8733</v>
      </c>
    </row>
    <row r="9157" spans="5:5" x14ac:dyDescent="0.25">
      <c r="E9157" t="s">
        <v>8734</v>
      </c>
    </row>
    <row r="9158" spans="5:5" x14ac:dyDescent="0.25">
      <c r="E9158" t="s">
        <v>8735</v>
      </c>
    </row>
    <row r="9159" spans="5:5" x14ac:dyDescent="0.25">
      <c r="E9159" t="s">
        <v>8736</v>
      </c>
    </row>
    <row r="9160" spans="5:5" x14ac:dyDescent="0.25">
      <c r="E9160" t="s">
        <v>8737</v>
      </c>
    </row>
    <row r="9161" spans="5:5" x14ac:dyDescent="0.25">
      <c r="E9161" t="s">
        <v>8738</v>
      </c>
    </row>
    <row r="9163" spans="5:5" x14ac:dyDescent="0.25">
      <c r="E9163" t="s">
        <v>8739</v>
      </c>
    </row>
    <row r="9164" spans="5:5" x14ac:dyDescent="0.25">
      <c r="E9164" t="s">
        <v>8740</v>
      </c>
    </row>
    <row r="9165" spans="5:5" x14ac:dyDescent="0.25">
      <c r="E9165" t="s">
        <v>8741</v>
      </c>
    </row>
    <row r="9166" spans="5:5" x14ac:dyDescent="0.25">
      <c r="E9166" t="s">
        <v>8742</v>
      </c>
    </row>
    <row r="9167" spans="5:5" x14ac:dyDescent="0.25">
      <c r="E9167" t="s">
        <v>8743</v>
      </c>
    </row>
    <row r="9168" spans="5:5" x14ac:dyDescent="0.25">
      <c r="E9168" t="s">
        <v>8744</v>
      </c>
    </row>
    <row r="9169" spans="5:5" x14ac:dyDescent="0.25">
      <c r="E9169" t="s">
        <v>8745</v>
      </c>
    </row>
    <row r="9170" spans="5:5" x14ac:dyDescent="0.25">
      <c r="E9170" t="s">
        <v>8746</v>
      </c>
    </row>
    <row r="9171" spans="5:5" x14ac:dyDescent="0.25">
      <c r="E9171" t="s">
        <v>8747</v>
      </c>
    </row>
    <row r="9172" spans="5:5" x14ac:dyDescent="0.25">
      <c r="E9172" t="s">
        <v>8748</v>
      </c>
    </row>
    <row r="9173" spans="5:5" x14ac:dyDescent="0.25">
      <c r="E9173" t="s">
        <v>8749</v>
      </c>
    </row>
    <row r="9174" spans="5:5" x14ac:dyDescent="0.25">
      <c r="E9174" t="s">
        <v>8750</v>
      </c>
    </row>
    <row r="9175" spans="5:5" x14ac:dyDescent="0.25">
      <c r="E9175" t="s">
        <v>8751</v>
      </c>
    </row>
    <row r="9176" spans="5:5" x14ac:dyDescent="0.25">
      <c r="E9176" t="s">
        <v>8752</v>
      </c>
    </row>
    <row r="9177" spans="5:5" x14ac:dyDescent="0.25">
      <c r="E9177" t="s">
        <v>8753</v>
      </c>
    </row>
    <row r="9178" spans="5:5" x14ac:dyDescent="0.25">
      <c r="E9178" t="s">
        <v>8754</v>
      </c>
    </row>
    <row r="9179" spans="5:5" x14ac:dyDescent="0.25">
      <c r="E9179" t="s">
        <v>8755</v>
      </c>
    </row>
    <row r="9180" spans="5:5" x14ac:dyDescent="0.25">
      <c r="E9180" t="s">
        <v>8756</v>
      </c>
    </row>
    <row r="9181" spans="5:5" x14ac:dyDescent="0.25">
      <c r="E9181" t="s">
        <v>8757</v>
      </c>
    </row>
    <row r="9182" spans="5:5" x14ac:dyDescent="0.25">
      <c r="E9182" t="s">
        <v>8758</v>
      </c>
    </row>
    <row r="9183" spans="5:5" x14ac:dyDescent="0.25">
      <c r="E9183" t="s">
        <v>8759</v>
      </c>
    </row>
    <row r="9184" spans="5:5" x14ac:dyDescent="0.25">
      <c r="E9184" t="s">
        <v>8760</v>
      </c>
    </row>
    <row r="9185" spans="5:5" x14ac:dyDescent="0.25">
      <c r="E9185" t="s">
        <v>8761</v>
      </c>
    </row>
    <row r="9186" spans="5:5" x14ac:dyDescent="0.25">
      <c r="E9186" t="s">
        <v>8762</v>
      </c>
    </row>
    <row r="9187" spans="5:5" x14ac:dyDescent="0.25">
      <c r="E9187" t="s">
        <v>8763</v>
      </c>
    </row>
    <row r="9188" spans="5:5" x14ac:dyDescent="0.25">
      <c r="E9188" t="s">
        <v>8764</v>
      </c>
    </row>
    <row r="9189" spans="5:5" x14ac:dyDescent="0.25">
      <c r="E9189" t="s">
        <v>8765</v>
      </c>
    </row>
    <row r="9190" spans="5:5" x14ac:dyDescent="0.25">
      <c r="E9190" t="s">
        <v>8766</v>
      </c>
    </row>
    <row r="9191" spans="5:5" x14ac:dyDescent="0.25">
      <c r="E9191" t="s">
        <v>8767</v>
      </c>
    </row>
    <row r="9192" spans="5:5" x14ac:dyDescent="0.25">
      <c r="E9192" t="s">
        <v>8768</v>
      </c>
    </row>
    <row r="9193" spans="5:5" x14ac:dyDescent="0.25">
      <c r="E9193" t="s">
        <v>8769</v>
      </c>
    </row>
    <row r="9194" spans="5:5" x14ac:dyDescent="0.25">
      <c r="E9194" t="s">
        <v>8770</v>
      </c>
    </row>
    <row r="9195" spans="5:5" x14ac:dyDescent="0.25">
      <c r="E9195" t="s">
        <v>8771</v>
      </c>
    </row>
    <row r="9196" spans="5:5" x14ac:dyDescent="0.25">
      <c r="E9196" t="s">
        <v>8772</v>
      </c>
    </row>
    <row r="9197" spans="5:5" x14ac:dyDescent="0.25">
      <c r="E9197" t="s">
        <v>8773</v>
      </c>
    </row>
    <row r="9198" spans="5:5" x14ac:dyDescent="0.25">
      <c r="E9198" t="s">
        <v>8774</v>
      </c>
    </row>
    <row r="9199" spans="5:5" x14ac:dyDescent="0.25">
      <c r="E9199" t="s">
        <v>8775</v>
      </c>
    </row>
    <row r="9200" spans="5:5" x14ac:dyDescent="0.25">
      <c r="E9200" t="s">
        <v>8776</v>
      </c>
    </row>
    <row r="9201" spans="5:5" x14ac:dyDescent="0.25">
      <c r="E9201" t="s">
        <v>8777</v>
      </c>
    </row>
    <row r="9202" spans="5:5" x14ac:dyDescent="0.25">
      <c r="E9202" t="s">
        <v>8778</v>
      </c>
    </row>
    <row r="9203" spans="5:5" x14ac:dyDescent="0.25">
      <c r="E9203" t="s">
        <v>8779</v>
      </c>
    </row>
    <row r="9204" spans="5:5" x14ac:dyDescent="0.25">
      <c r="E9204" t="s">
        <v>8780</v>
      </c>
    </row>
    <row r="9205" spans="5:5" x14ac:dyDescent="0.25">
      <c r="E9205" t="s">
        <v>8781</v>
      </c>
    </row>
    <row r="9206" spans="5:5" x14ac:dyDescent="0.25">
      <c r="E9206" t="s">
        <v>8782</v>
      </c>
    </row>
    <row r="9207" spans="5:5" x14ac:dyDescent="0.25">
      <c r="E9207" t="s">
        <v>8783</v>
      </c>
    </row>
    <row r="9208" spans="5:5" x14ac:dyDescent="0.25">
      <c r="E9208" t="s">
        <v>8784</v>
      </c>
    </row>
    <row r="9209" spans="5:5" x14ac:dyDescent="0.25">
      <c r="E9209" t="s">
        <v>8785</v>
      </c>
    </row>
    <row r="9210" spans="5:5" x14ac:dyDescent="0.25">
      <c r="E9210" t="s">
        <v>8786</v>
      </c>
    </row>
    <row r="9211" spans="5:5" x14ac:dyDescent="0.25">
      <c r="E9211" t="s">
        <v>8787</v>
      </c>
    </row>
    <row r="9212" spans="5:5" x14ac:dyDescent="0.25">
      <c r="E9212" t="s">
        <v>8788</v>
      </c>
    </row>
    <row r="9213" spans="5:5" x14ac:dyDescent="0.25">
      <c r="E9213" t="s">
        <v>8789</v>
      </c>
    </row>
    <row r="9214" spans="5:5" x14ac:dyDescent="0.25">
      <c r="E9214" t="s">
        <v>8790</v>
      </c>
    </row>
    <row r="9215" spans="5:5" x14ac:dyDescent="0.25">
      <c r="E9215" t="s">
        <v>8791</v>
      </c>
    </row>
    <row r="9216" spans="5:5" x14ac:dyDescent="0.25">
      <c r="E9216" t="s">
        <v>8792</v>
      </c>
    </row>
    <row r="9217" spans="5:5" x14ac:dyDescent="0.25">
      <c r="E9217" t="s">
        <v>8793</v>
      </c>
    </row>
    <row r="9218" spans="5:5" x14ac:dyDescent="0.25">
      <c r="E9218" t="s">
        <v>8794</v>
      </c>
    </row>
    <row r="9219" spans="5:5" x14ac:dyDescent="0.25">
      <c r="E9219" t="s">
        <v>8795</v>
      </c>
    </row>
    <row r="9220" spans="5:5" x14ac:dyDescent="0.25">
      <c r="E9220" t="s">
        <v>8796</v>
      </c>
    </row>
    <row r="9221" spans="5:5" x14ac:dyDescent="0.25">
      <c r="E9221" t="s">
        <v>8797</v>
      </c>
    </row>
    <row r="9222" spans="5:5" x14ac:dyDescent="0.25">
      <c r="E9222" t="s">
        <v>8798</v>
      </c>
    </row>
    <row r="9223" spans="5:5" x14ac:dyDescent="0.25">
      <c r="E9223" t="s">
        <v>8799</v>
      </c>
    </row>
    <row r="9224" spans="5:5" x14ac:dyDescent="0.25">
      <c r="E9224" t="s">
        <v>8800</v>
      </c>
    </row>
    <row r="9225" spans="5:5" x14ac:dyDescent="0.25">
      <c r="E9225" t="s">
        <v>8801</v>
      </c>
    </row>
    <row r="9226" spans="5:5" x14ac:dyDescent="0.25">
      <c r="E9226" t="s">
        <v>8802</v>
      </c>
    </row>
    <row r="9227" spans="5:5" x14ac:dyDescent="0.25">
      <c r="E9227" t="s">
        <v>8803</v>
      </c>
    </row>
    <row r="9228" spans="5:5" x14ac:dyDescent="0.25">
      <c r="E9228" t="s">
        <v>8804</v>
      </c>
    </row>
    <row r="9229" spans="5:5" x14ac:dyDescent="0.25">
      <c r="E9229" t="s">
        <v>8805</v>
      </c>
    </row>
    <row r="9230" spans="5:5" x14ac:dyDescent="0.25">
      <c r="E9230" t="s">
        <v>8806</v>
      </c>
    </row>
    <row r="9231" spans="5:5" x14ac:dyDescent="0.25">
      <c r="E9231" t="s">
        <v>8807</v>
      </c>
    </row>
    <row r="9232" spans="5:5" x14ac:dyDescent="0.25">
      <c r="E9232" t="s">
        <v>8808</v>
      </c>
    </row>
    <row r="9233" spans="5:5" x14ac:dyDescent="0.25">
      <c r="E9233" t="s">
        <v>8809</v>
      </c>
    </row>
    <row r="9234" spans="5:5" x14ac:dyDescent="0.25">
      <c r="E9234" t="s">
        <v>8810</v>
      </c>
    </row>
    <row r="9235" spans="5:5" x14ac:dyDescent="0.25">
      <c r="E9235" t="s">
        <v>8811</v>
      </c>
    </row>
    <row r="9236" spans="5:5" x14ac:dyDescent="0.25">
      <c r="E9236" t="s">
        <v>8812</v>
      </c>
    </row>
    <row r="9237" spans="5:5" x14ac:dyDescent="0.25">
      <c r="E9237" t="s">
        <v>8813</v>
      </c>
    </row>
    <row r="9238" spans="5:5" x14ac:dyDescent="0.25">
      <c r="E9238" t="s">
        <v>8814</v>
      </c>
    </row>
    <row r="9239" spans="5:5" x14ac:dyDescent="0.25">
      <c r="E9239" t="s">
        <v>8815</v>
      </c>
    </row>
    <row r="9240" spans="5:5" x14ac:dyDescent="0.25">
      <c r="E9240" t="s">
        <v>8816</v>
      </c>
    </row>
    <row r="9241" spans="5:5" x14ac:dyDescent="0.25">
      <c r="E9241" t="s">
        <v>8817</v>
      </c>
    </row>
    <row r="9242" spans="5:5" x14ac:dyDescent="0.25">
      <c r="E9242" t="s">
        <v>8818</v>
      </c>
    </row>
    <row r="9243" spans="5:5" x14ac:dyDescent="0.25">
      <c r="E9243" t="s">
        <v>8819</v>
      </c>
    </row>
    <row r="9244" spans="5:5" x14ac:dyDescent="0.25">
      <c r="E9244" t="s">
        <v>8820</v>
      </c>
    </row>
    <row r="9245" spans="5:5" x14ac:dyDescent="0.25">
      <c r="E9245" t="s">
        <v>8821</v>
      </c>
    </row>
    <row r="9246" spans="5:5" x14ac:dyDescent="0.25">
      <c r="E9246" t="s">
        <v>8822</v>
      </c>
    </row>
    <row r="9247" spans="5:5" x14ac:dyDescent="0.25">
      <c r="E9247" t="s">
        <v>8823</v>
      </c>
    </row>
    <row r="9248" spans="5:5" x14ac:dyDescent="0.25">
      <c r="E9248" t="s">
        <v>8824</v>
      </c>
    </row>
    <row r="9249" spans="5:5" x14ac:dyDescent="0.25">
      <c r="E9249" t="s">
        <v>8825</v>
      </c>
    </row>
    <row r="9250" spans="5:5" x14ac:dyDescent="0.25">
      <c r="E9250" t="s">
        <v>8826</v>
      </c>
    </row>
    <row r="9251" spans="5:5" x14ac:dyDescent="0.25">
      <c r="E9251" t="s">
        <v>8827</v>
      </c>
    </row>
    <row r="9252" spans="5:5" x14ac:dyDescent="0.25">
      <c r="E9252" t="s">
        <v>8828</v>
      </c>
    </row>
    <row r="9253" spans="5:5" x14ac:dyDescent="0.25">
      <c r="E9253" t="s">
        <v>8829</v>
      </c>
    </row>
    <row r="9254" spans="5:5" x14ac:dyDescent="0.25">
      <c r="E9254" t="s">
        <v>8830</v>
      </c>
    </row>
    <row r="9255" spans="5:5" x14ac:dyDescent="0.25">
      <c r="E9255" t="s">
        <v>8831</v>
      </c>
    </row>
    <row r="9256" spans="5:5" x14ac:dyDescent="0.25">
      <c r="E9256" t="s">
        <v>8832</v>
      </c>
    </row>
    <row r="9257" spans="5:5" x14ac:dyDescent="0.25">
      <c r="E9257" t="s">
        <v>8833</v>
      </c>
    </row>
    <row r="9258" spans="5:5" x14ac:dyDescent="0.25">
      <c r="E9258" t="s">
        <v>8834</v>
      </c>
    </row>
    <row r="9259" spans="5:5" x14ac:dyDescent="0.25">
      <c r="E9259" t="s">
        <v>8835</v>
      </c>
    </row>
    <row r="9260" spans="5:5" x14ac:dyDescent="0.25">
      <c r="E9260" t="s">
        <v>8836</v>
      </c>
    </row>
    <row r="9261" spans="5:5" x14ac:dyDescent="0.25">
      <c r="E9261" t="s">
        <v>8837</v>
      </c>
    </row>
    <row r="9262" spans="5:5" x14ac:dyDescent="0.25">
      <c r="E9262" t="s">
        <v>8838</v>
      </c>
    </row>
    <row r="9263" spans="5:5" x14ac:dyDescent="0.25">
      <c r="E9263" t="s">
        <v>8839</v>
      </c>
    </row>
    <row r="9264" spans="5:5" x14ac:dyDescent="0.25">
      <c r="E9264" t="s">
        <v>8840</v>
      </c>
    </row>
    <row r="9265" spans="5:5" x14ac:dyDescent="0.25">
      <c r="E9265" t="s">
        <v>8841</v>
      </c>
    </row>
    <row r="9266" spans="5:5" x14ac:dyDescent="0.25">
      <c r="E9266" t="s">
        <v>8842</v>
      </c>
    </row>
    <row r="9267" spans="5:5" x14ac:dyDescent="0.25">
      <c r="E9267" t="s">
        <v>8843</v>
      </c>
    </row>
    <row r="9268" spans="5:5" x14ac:dyDescent="0.25">
      <c r="E9268" t="s">
        <v>8844</v>
      </c>
    </row>
    <row r="9269" spans="5:5" x14ac:dyDescent="0.25">
      <c r="E9269" t="s">
        <v>8845</v>
      </c>
    </row>
    <row r="9270" spans="5:5" x14ac:dyDescent="0.25">
      <c r="E9270" t="s">
        <v>8846</v>
      </c>
    </row>
    <row r="9271" spans="5:5" x14ac:dyDescent="0.25">
      <c r="E9271" t="s">
        <v>8847</v>
      </c>
    </row>
    <row r="9272" spans="5:5" x14ac:dyDescent="0.25">
      <c r="E9272" t="s">
        <v>8848</v>
      </c>
    </row>
    <row r="9273" spans="5:5" x14ac:dyDescent="0.25">
      <c r="E9273" t="s">
        <v>8849</v>
      </c>
    </row>
    <row r="9274" spans="5:5" x14ac:dyDescent="0.25">
      <c r="E9274" t="s">
        <v>8850</v>
      </c>
    </row>
    <row r="9275" spans="5:5" x14ac:dyDescent="0.25">
      <c r="E9275" t="s">
        <v>8851</v>
      </c>
    </row>
    <row r="9276" spans="5:5" x14ac:dyDescent="0.25">
      <c r="E9276" t="s">
        <v>8852</v>
      </c>
    </row>
    <row r="9277" spans="5:5" x14ac:dyDescent="0.25">
      <c r="E9277" t="s">
        <v>8853</v>
      </c>
    </row>
    <row r="9278" spans="5:5" x14ac:dyDescent="0.25">
      <c r="E9278" t="s">
        <v>8854</v>
      </c>
    </row>
    <row r="9279" spans="5:5" x14ac:dyDescent="0.25">
      <c r="E9279" t="s">
        <v>8855</v>
      </c>
    </row>
    <row r="9280" spans="5:5" x14ac:dyDescent="0.25">
      <c r="E9280" t="s">
        <v>8856</v>
      </c>
    </row>
    <row r="9281" spans="5:5" x14ac:dyDescent="0.25">
      <c r="E9281" t="s">
        <v>8857</v>
      </c>
    </row>
    <row r="9282" spans="5:5" x14ac:dyDescent="0.25">
      <c r="E9282" t="s">
        <v>8858</v>
      </c>
    </row>
    <row r="9283" spans="5:5" x14ac:dyDescent="0.25">
      <c r="E9283" t="s">
        <v>8859</v>
      </c>
    </row>
    <row r="9284" spans="5:5" x14ac:dyDescent="0.25">
      <c r="E9284" t="s">
        <v>8860</v>
      </c>
    </row>
    <row r="9285" spans="5:5" x14ac:dyDescent="0.25">
      <c r="E9285" t="s">
        <v>8861</v>
      </c>
    </row>
    <row r="9286" spans="5:5" x14ac:dyDescent="0.25">
      <c r="E9286" t="s">
        <v>8862</v>
      </c>
    </row>
    <row r="9287" spans="5:5" x14ac:dyDescent="0.25">
      <c r="E9287" t="s">
        <v>8863</v>
      </c>
    </row>
    <row r="9288" spans="5:5" x14ac:dyDescent="0.25">
      <c r="E9288" t="s">
        <v>8864</v>
      </c>
    </row>
    <row r="9289" spans="5:5" x14ac:dyDescent="0.25">
      <c r="E9289" t="s">
        <v>8865</v>
      </c>
    </row>
    <row r="9290" spans="5:5" x14ac:dyDescent="0.25">
      <c r="E9290" t="s">
        <v>8866</v>
      </c>
    </row>
    <row r="9291" spans="5:5" x14ac:dyDescent="0.25">
      <c r="E9291" t="s">
        <v>8867</v>
      </c>
    </row>
    <row r="9292" spans="5:5" x14ac:dyDescent="0.25">
      <c r="E9292" t="s">
        <v>8868</v>
      </c>
    </row>
    <row r="9293" spans="5:5" x14ac:dyDescent="0.25">
      <c r="E9293" t="s">
        <v>8869</v>
      </c>
    </row>
    <row r="9294" spans="5:5" x14ac:dyDescent="0.25">
      <c r="E9294" t="s">
        <v>8870</v>
      </c>
    </row>
    <row r="9295" spans="5:5" x14ac:dyDescent="0.25">
      <c r="E9295" t="s">
        <v>8871</v>
      </c>
    </row>
    <row r="9296" spans="5:5" x14ac:dyDescent="0.25">
      <c r="E9296" t="s">
        <v>8872</v>
      </c>
    </row>
    <row r="9297" spans="5:5" x14ac:dyDescent="0.25">
      <c r="E9297" t="s">
        <v>8873</v>
      </c>
    </row>
    <row r="9298" spans="5:5" x14ac:dyDescent="0.25">
      <c r="E9298" t="s">
        <v>8874</v>
      </c>
    </row>
    <row r="9299" spans="5:5" x14ac:dyDescent="0.25">
      <c r="E9299" t="s">
        <v>8875</v>
      </c>
    </row>
    <row r="9300" spans="5:5" x14ac:dyDescent="0.25">
      <c r="E9300" t="s">
        <v>8876</v>
      </c>
    </row>
    <row r="9301" spans="5:5" x14ac:dyDescent="0.25">
      <c r="E9301" t="s">
        <v>8877</v>
      </c>
    </row>
    <row r="9302" spans="5:5" x14ac:dyDescent="0.25">
      <c r="E9302" t="s">
        <v>8878</v>
      </c>
    </row>
    <row r="9303" spans="5:5" x14ac:dyDescent="0.25">
      <c r="E9303" t="s">
        <v>8879</v>
      </c>
    </row>
    <row r="9304" spans="5:5" x14ac:dyDescent="0.25">
      <c r="E9304" t="s">
        <v>8880</v>
      </c>
    </row>
    <row r="9305" spans="5:5" x14ac:dyDescent="0.25">
      <c r="E9305" t="s">
        <v>8881</v>
      </c>
    </row>
    <row r="9306" spans="5:5" x14ac:dyDescent="0.25">
      <c r="E9306" t="s">
        <v>8882</v>
      </c>
    </row>
    <row r="9307" spans="5:5" x14ac:dyDescent="0.25">
      <c r="E9307" t="s">
        <v>8883</v>
      </c>
    </row>
    <row r="9308" spans="5:5" x14ac:dyDescent="0.25">
      <c r="E9308" t="s">
        <v>8884</v>
      </c>
    </row>
    <row r="9309" spans="5:5" x14ac:dyDescent="0.25">
      <c r="E9309" t="s">
        <v>8885</v>
      </c>
    </row>
    <row r="9310" spans="5:5" x14ac:dyDescent="0.25">
      <c r="E9310" t="s">
        <v>8886</v>
      </c>
    </row>
    <row r="9311" spans="5:5" x14ac:dyDescent="0.25">
      <c r="E9311" t="s">
        <v>8887</v>
      </c>
    </row>
    <row r="9312" spans="5:5" x14ac:dyDescent="0.25">
      <c r="E9312" t="s">
        <v>8888</v>
      </c>
    </row>
    <row r="9313" spans="5:5" x14ac:dyDescent="0.25">
      <c r="E9313" t="s">
        <v>8889</v>
      </c>
    </row>
    <row r="9314" spans="5:5" x14ac:dyDescent="0.25">
      <c r="E9314" t="s">
        <v>8890</v>
      </c>
    </row>
    <row r="9315" spans="5:5" x14ac:dyDescent="0.25">
      <c r="E9315" t="s">
        <v>8891</v>
      </c>
    </row>
    <row r="9316" spans="5:5" x14ac:dyDescent="0.25">
      <c r="E9316" t="s">
        <v>8892</v>
      </c>
    </row>
    <row r="9317" spans="5:5" x14ac:dyDescent="0.25">
      <c r="E9317" t="s">
        <v>8893</v>
      </c>
    </row>
    <row r="9318" spans="5:5" x14ac:dyDescent="0.25">
      <c r="E9318" t="s">
        <v>8894</v>
      </c>
    </row>
    <row r="9319" spans="5:5" x14ac:dyDescent="0.25">
      <c r="E9319" t="s">
        <v>8895</v>
      </c>
    </row>
    <row r="9320" spans="5:5" x14ac:dyDescent="0.25">
      <c r="E9320" t="s">
        <v>8896</v>
      </c>
    </row>
    <row r="9321" spans="5:5" x14ac:dyDescent="0.25">
      <c r="E9321" t="s">
        <v>8897</v>
      </c>
    </row>
    <row r="9322" spans="5:5" x14ac:dyDescent="0.25">
      <c r="E9322" t="s">
        <v>8898</v>
      </c>
    </row>
    <row r="9323" spans="5:5" x14ac:dyDescent="0.25">
      <c r="E9323" t="s">
        <v>8899</v>
      </c>
    </row>
    <row r="9324" spans="5:5" x14ac:dyDescent="0.25">
      <c r="E9324" t="s">
        <v>8900</v>
      </c>
    </row>
    <row r="9325" spans="5:5" x14ac:dyDescent="0.25">
      <c r="E9325" t="s">
        <v>8901</v>
      </c>
    </row>
    <row r="9326" spans="5:5" x14ac:dyDescent="0.25">
      <c r="E9326" t="s">
        <v>8902</v>
      </c>
    </row>
    <row r="9327" spans="5:5" x14ac:dyDescent="0.25">
      <c r="E9327" t="s">
        <v>8903</v>
      </c>
    </row>
    <row r="9328" spans="5:5" x14ac:dyDescent="0.25">
      <c r="E9328" t="s">
        <v>8904</v>
      </c>
    </row>
    <row r="9329" spans="5:5" x14ac:dyDescent="0.25">
      <c r="E9329" t="s">
        <v>8905</v>
      </c>
    </row>
    <row r="9330" spans="5:5" x14ac:dyDescent="0.25">
      <c r="E9330" t="s">
        <v>8906</v>
      </c>
    </row>
    <row r="9331" spans="5:5" x14ac:dyDescent="0.25">
      <c r="E9331" t="s">
        <v>8907</v>
      </c>
    </row>
    <row r="9332" spans="5:5" x14ac:dyDescent="0.25">
      <c r="E9332" t="s">
        <v>8908</v>
      </c>
    </row>
    <row r="9333" spans="5:5" x14ac:dyDescent="0.25">
      <c r="E9333" t="s">
        <v>8909</v>
      </c>
    </row>
    <row r="9334" spans="5:5" x14ac:dyDescent="0.25">
      <c r="E9334" t="s">
        <v>8910</v>
      </c>
    </row>
    <row r="9335" spans="5:5" x14ac:dyDescent="0.25">
      <c r="E9335" t="s">
        <v>8911</v>
      </c>
    </row>
    <row r="9336" spans="5:5" x14ac:dyDescent="0.25">
      <c r="E9336" t="s">
        <v>8912</v>
      </c>
    </row>
    <row r="9337" spans="5:5" x14ac:dyDescent="0.25">
      <c r="E9337" t="s">
        <v>8913</v>
      </c>
    </row>
    <row r="9338" spans="5:5" x14ac:dyDescent="0.25">
      <c r="E9338" t="s">
        <v>8914</v>
      </c>
    </row>
    <row r="9339" spans="5:5" x14ac:dyDescent="0.25">
      <c r="E9339" t="s">
        <v>8915</v>
      </c>
    </row>
    <row r="9340" spans="5:5" x14ac:dyDescent="0.25">
      <c r="E9340" t="s">
        <v>8916</v>
      </c>
    </row>
    <row r="9341" spans="5:5" x14ac:dyDescent="0.25">
      <c r="E9341" t="s">
        <v>8917</v>
      </c>
    </row>
    <row r="9342" spans="5:5" x14ac:dyDescent="0.25">
      <c r="E9342" t="s">
        <v>8918</v>
      </c>
    </row>
    <row r="9343" spans="5:5" x14ac:dyDescent="0.25">
      <c r="E9343" t="s">
        <v>8919</v>
      </c>
    </row>
    <row r="9344" spans="5:5" x14ac:dyDescent="0.25">
      <c r="E9344" t="s">
        <v>8920</v>
      </c>
    </row>
    <row r="9345" spans="5:5" x14ac:dyDescent="0.25">
      <c r="E9345" t="s">
        <v>8921</v>
      </c>
    </row>
    <row r="9346" spans="5:5" x14ac:dyDescent="0.25">
      <c r="E9346" t="s">
        <v>8922</v>
      </c>
    </row>
    <row r="9347" spans="5:5" x14ac:dyDescent="0.25">
      <c r="E9347" t="s">
        <v>8923</v>
      </c>
    </row>
    <row r="9348" spans="5:5" x14ac:dyDescent="0.25">
      <c r="E9348" t="s">
        <v>8924</v>
      </c>
    </row>
    <row r="9349" spans="5:5" x14ac:dyDescent="0.25">
      <c r="E9349" t="s">
        <v>8925</v>
      </c>
    </row>
    <row r="9350" spans="5:5" x14ac:dyDescent="0.25">
      <c r="E9350" t="s">
        <v>8926</v>
      </c>
    </row>
    <row r="9351" spans="5:5" x14ac:dyDescent="0.25">
      <c r="E9351" t="s">
        <v>8927</v>
      </c>
    </row>
    <row r="9352" spans="5:5" x14ac:dyDescent="0.25">
      <c r="E9352" t="s">
        <v>8928</v>
      </c>
    </row>
    <row r="9353" spans="5:5" x14ac:dyDescent="0.25">
      <c r="E9353" t="s">
        <v>8929</v>
      </c>
    </row>
    <row r="9354" spans="5:5" x14ac:dyDescent="0.25">
      <c r="E9354" t="s">
        <v>8930</v>
      </c>
    </row>
    <row r="9355" spans="5:5" x14ac:dyDescent="0.25">
      <c r="E9355" t="s">
        <v>8931</v>
      </c>
    </row>
    <row r="9356" spans="5:5" x14ac:dyDescent="0.25">
      <c r="E9356" t="s">
        <v>8932</v>
      </c>
    </row>
    <row r="9357" spans="5:5" x14ac:dyDescent="0.25">
      <c r="E9357" t="s">
        <v>8933</v>
      </c>
    </row>
    <row r="9358" spans="5:5" x14ac:dyDescent="0.25">
      <c r="E9358" t="s">
        <v>8934</v>
      </c>
    </row>
    <row r="9359" spans="5:5" x14ac:dyDescent="0.25">
      <c r="E9359" t="s">
        <v>8935</v>
      </c>
    </row>
    <row r="9360" spans="5:5" x14ac:dyDescent="0.25">
      <c r="E9360" t="s">
        <v>8936</v>
      </c>
    </row>
    <row r="9361" spans="5:5" x14ac:dyDescent="0.25">
      <c r="E9361" t="s">
        <v>8937</v>
      </c>
    </row>
    <row r="9362" spans="5:5" x14ac:dyDescent="0.25">
      <c r="E9362" t="s">
        <v>8938</v>
      </c>
    </row>
    <row r="9363" spans="5:5" x14ac:dyDescent="0.25">
      <c r="E9363" t="s">
        <v>8939</v>
      </c>
    </row>
    <row r="9364" spans="5:5" x14ac:dyDescent="0.25">
      <c r="E9364" t="s">
        <v>8940</v>
      </c>
    </row>
    <row r="9365" spans="5:5" x14ac:dyDescent="0.25">
      <c r="E9365" t="s">
        <v>118</v>
      </c>
    </row>
    <row r="9366" spans="5:5" x14ac:dyDescent="0.25">
      <c r="E9366" t="s">
        <v>8941</v>
      </c>
    </row>
    <row r="9367" spans="5:5" x14ac:dyDescent="0.25">
      <c r="E9367" t="s">
        <v>8942</v>
      </c>
    </row>
    <row r="9368" spans="5:5" x14ac:dyDescent="0.25">
      <c r="E9368" t="s">
        <v>8943</v>
      </c>
    </row>
    <row r="9369" spans="5:5" x14ac:dyDescent="0.25">
      <c r="E9369" t="s">
        <v>8944</v>
      </c>
    </row>
    <row r="9370" spans="5:5" x14ac:dyDescent="0.25">
      <c r="E9370" t="s">
        <v>8945</v>
      </c>
    </row>
    <row r="9371" spans="5:5" x14ac:dyDescent="0.25">
      <c r="E9371" t="s">
        <v>8946</v>
      </c>
    </row>
    <row r="9372" spans="5:5" x14ac:dyDescent="0.25">
      <c r="E9372" t="s">
        <v>8947</v>
      </c>
    </row>
    <row r="9373" spans="5:5" x14ac:dyDescent="0.25">
      <c r="E9373" t="s">
        <v>8948</v>
      </c>
    </row>
    <row r="9374" spans="5:5" x14ac:dyDescent="0.25">
      <c r="E9374" t="s">
        <v>8949</v>
      </c>
    </row>
    <row r="9375" spans="5:5" x14ac:dyDescent="0.25">
      <c r="E9375" t="s">
        <v>8950</v>
      </c>
    </row>
    <row r="9376" spans="5:5" x14ac:dyDescent="0.25">
      <c r="E9376" t="s">
        <v>8951</v>
      </c>
    </row>
    <row r="9377" spans="5:5" x14ac:dyDescent="0.25">
      <c r="E9377" t="s">
        <v>8952</v>
      </c>
    </row>
    <row r="9378" spans="5:5" x14ac:dyDescent="0.25">
      <c r="E9378" t="s">
        <v>8953</v>
      </c>
    </row>
    <row r="9379" spans="5:5" x14ac:dyDescent="0.25">
      <c r="E9379" t="s">
        <v>8954</v>
      </c>
    </row>
    <row r="9380" spans="5:5" x14ac:dyDescent="0.25">
      <c r="E9380" t="s">
        <v>8955</v>
      </c>
    </row>
    <row r="9381" spans="5:5" x14ac:dyDescent="0.25">
      <c r="E9381" t="s">
        <v>8956</v>
      </c>
    </row>
    <row r="9382" spans="5:5" x14ac:dyDescent="0.25">
      <c r="E9382" t="s">
        <v>8957</v>
      </c>
    </row>
    <row r="9383" spans="5:5" x14ac:dyDescent="0.25">
      <c r="E9383" t="s">
        <v>8958</v>
      </c>
    </row>
    <row r="9384" spans="5:5" x14ac:dyDescent="0.25">
      <c r="E9384" t="s">
        <v>8959</v>
      </c>
    </row>
    <row r="9385" spans="5:5" x14ac:dyDescent="0.25">
      <c r="E9385" t="s">
        <v>8960</v>
      </c>
    </row>
    <row r="9386" spans="5:5" x14ac:dyDescent="0.25">
      <c r="E9386" t="s">
        <v>8961</v>
      </c>
    </row>
    <row r="9387" spans="5:5" x14ac:dyDescent="0.25">
      <c r="E9387" t="s">
        <v>8962</v>
      </c>
    </row>
    <row r="9388" spans="5:5" x14ac:dyDescent="0.25">
      <c r="E9388" t="s">
        <v>8963</v>
      </c>
    </row>
    <row r="9389" spans="5:5" x14ac:dyDescent="0.25">
      <c r="E9389" t="s">
        <v>8964</v>
      </c>
    </row>
    <row r="9390" spans="5:5" x14ac:dyDescent="0.25">
      <c r="E9390" t="s">
        <v>8965</v>
      </c>
    </row>
    <row r="9391" spans="5:5" x14ac:dyDescent="0.25">
      <c r="E9391" t="s">
        <v>8966</v>
      </c>
    </row>
    <row r="9392" spans="5:5" x14ac:dyDescent="0.25">
      <c r="E9392" t="s">
        <v>8967</v>
      </c>
    </row>
    <row r="9393" spans="5:5" x14ac:dyDescent="0.25">
      <c r="E9393" t="s">
        <v>8968</v>
      </c>
    </row>
    <row r="9394" spans="5:5" x14ac:dyDescent="0.25">
      <c r="E9394" t="s">
        <v>8969</v>
      </c>
    </row>
    <row r="9395" spans="5:5" x14ac:dyDescent="0.25">
      <c r="E9395" t="s">
        <v>8970</v>
      </c>
    </row>
    <row r="9396" spans="5:5" x14ac:dyDescent="0.25">
      <c r="E9396" t="s">
        <v>8971</v>
      </c>
    </row>
    <row r="9397" spans="5:5" x14ac:dyDescent="0.25">
      <c r="E9397" t="s">
        <v>8972</v>
      </c>
    </row>
    <row r="9398" spans="5:5" x14ac:dyDescent="0.25">
      <c r="E9398" t="s">
        <v>8973</v>
      </c>
    </row>
    <row r="9399" spans="5:5" x14ac:dyDescent="0.25">
      <c r="E9399" t="s">
        <v>8974</v>
      </c>
    </row>
    <row r="9400" spans="5:5" x14ac:dyDescent="0.25">
      <c r="E9400" t="s">
        <v>8975</v>
      </c>
    </row>
    <row r="9401" spans="5:5" x14ac:dyDescent="0.25">
      <c r="E9401" t="s">
        <v>8976</v>
      </c>
    </row>
    <row r="9402" spans="5:5" x14ac:dyDescent="0.25">
      <c r="E9402" t="s">
        <v>8977</v>
      </c>
    </row>
    <row r="9403" spans="5:5" x14ac:dyDescent="0.25">
      <c r="E9403" t="s">
        <v>8978</v>
      </c>
    </row>
    <row r="9404" spans="5:5" x14ac:dyDescent="0.25">
      <c r="E9404" t="s">
        <v>8979</v>
      </c>
    </row>
    <row r="9405" spans="5:5" x14ac:dyDescent="0.25">
      <c r="E9405" t="s">
        <v>8980</v>
      </c>
    </row>
    <row r="9406" spans="5:5" x14ac:dyDescent="0.25">
      <c r="E9406" t="s">
        <v>8981</v>
      </c>
    </row>
    <row r="9407" spans="5:5" x14ac:dyDescent="0.25">
      <c r="E9407" t="s">
        <v>8982</v>
      </c>
    </row>
    <row r="9408" spans="5:5" x14ac:dyDescent="0.25">
      <c r="E9408" t="s">
        <v>8983</v>
      </c>
    </row>
    <row r="9409" spans="5:5" x14ac:dyDescent="0.25">
      <c r="E9409" t="s">
        <v>8984</v>
      </c>
    </row>
    <row r="9410" spans="5:5" x14ac:dyDescent="0.25">
      <c r="E9410" t="s">
        <v>8985</v>
      </c>
    </row>
    <row r="9411" spans="5:5" x14ac:dyDescent="0.25">
      <c r="E9411" t="s">
        <v>8986</v>
      </c>
    </row>
    <row r="9412" spans="5:5" x14ac:dyDescent="0.25">
      <c r="E9412" t="s">
        <v>8987</v>
      </c>
    </row>
    <row r="9413" spans="5:5" x14ac:dyDescent="0.25">
      <c r="E9413" t="s">
        <v>8988</v>
      </c>
    </row>
    <row r="9414" spans="5:5" x14ac:dyDescent="0.25">
      <c r="E9414" t="s">
        <v>8989</v>
      </c>
    </row>
    <row r="9415" spans="5:5" x14ac:dyDescent="0.25">
      <c r="E9415" t="s">
        <v>8990</v>
      </c>
    </row>
    <row r="9416" spans="5:5" x14ac:dyDescent="0.25">
      <c r="E9416" t="s">
        <v>8991</v>
      </c>
    </row>
    <row r="9417" spans="5:5" x14ac:dyDescent="0.25">
      <c r="E9417" t="s">
        <v>8992</v>
      </c>
    </row>
    <row r="9418" spans="5:5" x14ac:dyDescent="0.25">
      <c r="E9418" t="s">
        <v>8993</v>
      </c>
    </row>
    <row r="9419" spans="5:5" x14ac:dyDescent="0.25">
      <c r="E9419" t="s">
        <v>8994</v>
      </c>
    </row>
    <row r="9420" spans="5:5" x14ac:dyDescent="0.25">
      <c r="E9420" t="s">
        <v>8995</v>
      </c>
    </row>
    <row r="9421" spans="5:5" x14ac:dyDescent="0.25">
      <c r="E9421" t="s">
        <v>8996</v>
      </c>
    </row>
    <row r="9422" spans="5:5" x14ac:dyDescent="0.25">
      <c r="E9422" t="s">
        <v>8997</v>
      </c>
    </row>
    <row r="9423" spans="5:5" x14ac:dyDescent="0.25">
      <c r="E9423" t="s">
        <v>8998</v>
      </c>
    </row>
    <row r="9424" spans="5:5" x14ac:dyDescent="0.25">
      <c r="E9424" t="s">
        <v>8999</v>
      </c>
    </row>
    <row r="9425" spans="5:5" x14ac:dyDescent="0.25">
      <c r="E9425" t="s">
        <v>9000</v>
      </c>
    </row>
    <row r="9426" spans="5:5" x14ac:dyDescent="0.25">
      <c r="E9426" t="s">
        <v>9001</v>
      </c>
    </row>
    <row r="9427" spans="5:5" x14ac:dyDescent="0.25">
      <c r="E9427" t="s">
        <v>9002</v>
      </c>
    </row>
    <row r="9428" spans="5:5" x14ac:dyDescent="0.25">
      <c r="E9428" t="s">
        <v>9003</v>
      </c>
    </row>
    <row r="9429" spans="5:5" x14ac:dyDescent="0.25">
      <c r="E9429" t="s">
        <v>9004</v>
      </c>
    </row>
    <row r="9430" spans="5:5" x14ac:dyDescent="0.25">
      <c r="E9430" t="s">
        <v>9005</v>
      </c>
    </row>
    <row r="9431" spans="5:5" x14ac:dyDescent="0.25">
      <c r="E9431" t="s">
        <v>9006</v>
      </c>
    </row>
    <row r="9432" spans="5:5" x14ac:dyDescent="0.25">
      <c r="E9432" t="s">
        <v>9007</v>
      </c>
    </row>
    <row r="9433" spans="5:5" x14ac:dyDescent="0.25">
      <c r="E9433" t="s">
        <v>9008</v>
      </c>
    </row>
    <row r="9434" spans="5:5" x14ac:dyDescent="0.25">
      <c r="E9434" t="s">
        <v>9009</v>
      </c>
    </row>
    <row r="9435" spans="5:5" x14ac:dyDescent="0.25">
      <c r="E9435" t="s">
        <v>9010</v>
      </c>
    </row>
    <row r="9436" spans="5:5" x14ac:dyDescent="0.25">
      <c r="E9436" t="s">
        <v>9011</v>
      </c>
    </row>
    <row r="9437" spans="5:5" x14ac:dyDescent="0.25">
      <c r="E9437" t="s">
        <v>9012</v>
      </c>
    </row>
    <row r="9438" spans="5:5" x14ac:dyDescent="0.25">
      <c r="E9438" t="s">
        <v>9013</v>
      </c>
    </row>
    <row r="9439" spans="5:5" x14ac:dyDescent="0.25">
      <c r="E9439" t="s">
        <v>9014</v>
      </c>
    </row>
    <row r="9440" spans="5:5" x14ac:dyDescent="0.25">
      <c r="E9440" t="s">
        <v>9015</v>
      </c>
    </row>
    <row r="9441" spans="5:5" x14ac:dyDescent="0.25">
      <c r="E9441" t="s">
        <v>9016</v>
      </c>
    </row>
    <row r="9442" spans="5:5" x14ac:dyDescent="0.25">
      <c r="E9442" t="s">
        <v>9017</v>
      </c>
    </row>
    <row r="9443" spans="5:5" x14ac:dyDescent="0.25">
      <c r="E9443" t="s">
        <v>9018</v>
      </c>
    </row>
    <row r="9444" spans="5:5" x14ac:dyDescent="0.25">
      <c r="E9444" t="s">
        <v>9019</v>
      </c>
    </row>
    <row r="9445" spans="5:5" x14ac:dyDescent="0.25">
      <c r="E9445" t="s">
        <v>9020</v>
      </c>
    </row>
    <row r="9446" spans="5:5" x14ac:dyDescent="0.25">
      <c r="E9446" t="s">
        <v>9021</v>
      </c>
    </row>
    <row r="9447" spans="5:5" x14ac:dyDescent="0.25">
      <c r="E9447" t="s">
        <v>9022</v>
      </c>
    </row>
    <row r="9448" spans="5:5" x14ac:dyDescent="0.25">
      <c r="E9448" t="s">
        <v>9023</v>
      </c>
    </row>
    <row r="9449" spans="5:5" x14ac:dyDescent="0.25">
      <c r="E9449" t="s">
        <v>9024</v>
      </c>
    </row>
    <row r="9450" spans="5:5" x14ac:dyDescent="0.25">
      <c r="E9450" t="s">
        <v>9025</v>
      </c>
    </row>
    <row r="9451" spans="5:5" x14ac:dyDescent="0.25">
      <c r="E9451" t="s">
        <v>9026</v>
      </c>
    </row>
    <row r="9452" spans="5:5" x14ac:dyDescent="0.25">
      <c r="E9452" t="s">
        <v>9027</v>
      </c>
    </row>
    <row r="9453" spans="5:5" x14ac:dyDescent="0.25">
      <c r="E9453" t="s">
        <v>9028</v>
      </c>
    </row>
    <row r="9454" spans="5:5" x14ac:dyDescent="0.25">
      <c r="E9454" t="s">
        <v>9029</v>
      </c>
    </row>
    <row r="9455" spans="5:5" x14ac:dyDescent="0.25">
      <c r="E9455" t="s">
        <v>9030</v>
      </c>
    </row>
    <row r="9456" spans="5:5" x14ac:dyDescent="0.25">
      <c r="E9456" t="s">
        <v>9031</v>
      </c>
    </row>
    <row r="9457" spans="5:5" x14ac:dyDescent="0.25">
      <c r="E9457" t="s">
        <v>9032</v>
      </c>
    </row>
    <row r="9458" spans="5:5" x14ac:dyDescent="0.25">
      <c r="E9458" t="s">
        <v>9033</v>
      </c>
    </row>
    <row r="9459" spans="5:5" x14ac:dyDescent="0.25">
      <c r="E9459" t="s">
        <v>9034</v>
      </c>
    </row>
    <row r="9460" spans="5:5" x14ac:dyDescent="0.25">
      <c r="E9460" t="s">
        <v>9035</v>
      </c>
    </row>
    <row r="9461" spans="5:5" x14ac:dyDescent="0.25">
      <c r="E9461" t="s">
        <v>9036</v>
      </c>
    </row>
    <row r="9462" spans="5:5" x14ac:dyDescent="0.25">
      <c r="E9462" t="s">
        <v>9037</v>
      </c>
    </row>
    <row r="9463" spans="5:5" x14ac:dyDescent="0.25">
      <c r="E9463" t="s">
        <v>9038</v>
      </c>
    </row>
    <row r="9464" spans="5:5" x14ac:dyDescent="0.25">
      <c r="E9464" t="s">
        <v>9039</v>
      </c>
    </row>
    <row r="9465" spans="5:5" x14ac:dyDescent="0.25">
      <c r="E9465" t="s">
        <v>9040</v>
      </c>
    </row>
    <row r="9466" spans="5:5" x14ac:dyDescent="0.25">
      <c r="E9466" t="s">
        <v>9041</v>
      </c>
    </row>
    <row r="9467" spans="5:5" x14ac:dyDescent="0.25">
      <c r="E9467" t="s">
        <v>9042</v>
      </c>
    </row>
    <row r="9468" spans="5:5" x14ac:dyDescent="0.25">
      <c r="E9468" t="s">
        <v>9043</v>
      </c>
    </row>
    <row r="9469" spans="5:5" x14ac:dyDescent="0.25">
      <c r="E9469" t="s">
        <v>9044</v>
      </c>
    </row>
    <row r="9470" spans="5:5" x14ac:dyDescent="0.25">
      <c r="E9470" t="s">
        <v>9045</v>
      </c>
    </row>
    <row r="9471" spans="5:5" x14ac:dyDescent="0.25">
      <c r="E9471" t="s">
        <v>9046</v>
      </c>
    </row>
    <row r="9472" spans="5:5" x14ac:dyDescent="0.25">
      <c r="E9472" t="s">
        <v>9047</v>
      </c>
    </row>
    <row r="9473" spans="5:5" x14ac:dyDescent="0.25">
      <c r="E9473" t="s">
        <v>9048</v>
      </c>
    </row>
    <row r="9474" spans="5:5" x14ac:dyDescent="0.25">
      <c r="E9474" t="s">
        <v>9049</v>
      </c>
    </row>
    <row r="9475" spans="5:5" x14ac:dyDescent="0.25">
      <c r="E9475" t="s">
        <v>9050</v>
      </c>
    </row>
    <row r="9476" spans="5:5" x14ac:dyDescent="0.25">
      <c r="E9476" t="s">
        <v>9051</v>
      </c>
    </row>
    <row r="9477" spans="5:5" x14ac:dyDescent="0.25">
      <c r="E9477" t="s">
        <v>9052</v>
      </c>
    </row>
    <row r="9478" spans="5:5" x14ac:dyDescent="0.25">
      <c r="E9478" t="s">
        <v>9053</v>
      </c>
    </row>
    <row r="9479" spans="5:5" x14ac:dyDescent="0.25">
      <c r="E9479" t="s">
        <v>9054</v>
      </c>
    </row>
    <row r="9480" spans="5:5" x14ac:dyDescent="0.25">
      <c r="E9480" t="s">
        <v>9055</v>
      </c>
    </row>
    <row r="9481" spans="5:5" x14ac:dyDescent="0.25">
      <c r="E9481" t="s">
        <v>9056</v>
      </c>
    </row>
    <row r="9482" spans="5:5" x14ac:dyDescent="0.25">
      <c r="E9482" t="s">
        <v>9057</v>
      </c>
    </row>
    <row r="9483" spans="5:5" x14ac:dyDescent="0.25">
      <c r="E9483" t="s">
        <v>9058</v>
      </c>
    </row>
    <row r="9484" spans="5:5" x14ac:dyDescent="0.25">
      <c r="E9484" t="s">
        <v>9059</v>
      </c>
    </row>
    <row r="9485" spans="5:5" x14ac:dyDescent="0.25">
      <c r="E9485" t="s">
        <v>9060</v>
      </c>
    </row>
    <row r="9486" spans="5:5" x14ac:dyDescent="0.25">
      <c r="E9486" t="s">
        <v>9061</v>
      </c>
    </row>
    <row r="9487" spans="5:5" x14ac:dyDescent="0.25">
      <c r="E9487" t="s">
        <v>9062</v>
      </c>
    </row>
    <row r="9488" spans="5:5" x14ac:dyDescent="0.25">
      <c r="E9488" t="s">
        <v>9063</v>
      </c>
    </row>
    <row r="9489" spans="5:5" x14ac:dyDescent="0.25">
      <c r="E9489" t="s">
        <v>9064</v>
      </c>
    </row>
    <row r="9490" spans="5:5" x14ac:dyDescent="0.25">
      <c r="E9490" t="s">
        <v>9065</v>
      </c>
    </row>
    <row r="9491" spans="5:5" x14ac:dyDescent="0.25">
      <c r="E9491" t="s">
        <v>9066</v>
      </c>
    </row>
    <row r="9492" spans="5:5" x14ac:dyDescent="0.25">
      <c r="E9492" t="s">
        <v>9067</v>
      </c>
    </row>
    <row r="9493" spans="5:5" x14ac:dyDescent="0.25">
      <c r="E9493" t="s">
        <v>9068</v>
      </c>
    </row>
    <row r="9494" spans="5:5" x14ac:dyDescent="0.25">
      <c r="E9494" t="s">
        <v>9069</v>
      </c>
    </row>
    <row r="9495" spans="5:5" x14ac:dyDescent="0.25">
      <c r="E9495" t="s">
        <v>9070</v>
      </c>
    </row>
    <row r="9496" spans="5:5" x14ac:dyDescent="0.25">
      <c r="E9496" t="s">
        <v>9071</v>
      </c>
    </row>
    <row r="9497" spans="5:5" x14ac:dyDescent="0.25">
      <c r="E9497" t="s">
        <v>9072</v>
      </c>
    </row>
    <row r="9498" spans="5:5" x14ac:dyDescent="0.25">
      <c r="E9498" t="s">
        <v>9073</v>
      </c>
    </row>
    <row r="9499" spans="5:5" x14ac:dyDescent="0.25">
      <c r="E9499" t="s">
        <v>9074</v>
      </c>
    </row>
    <row r="9500" spans="5:5" x14ac:dyDescent="0.25">
      <c r="E9500" t="s">
        <v>9075</v>
      </c>
    </row>
    <row r="9501" spans="5:5" x14ac:dyDescent="0.25">
      <c r="E9501" t="s">
        <v>9076</v>
      </c>
    </row>
    <row r="9502" spans="5:5" x14ac:dyDescent="0.25">
      <c r="E9502" t="s">
        <v>9077</v>
      </c>
    </row>
    <row r="9503" spans="5:5" x14ac:dyDescent="0.25">
      <c r="E9503" t="s">
        <v>9078</v>
      </c>
    </row>
    <row r="9504" spans="5:5" x14ac:dyDescent="0.25">
      <c r="E9504" t="s">
        <v>9079</v>
      </c>
    </row>
    <row r="9505" spans="5:5" x14ac:dyDescent="0.25">
      <c r="E9505" t="s">
        <v>9080</v>
      </c>
    </row>
    <row r="9506" spans="5:5" x14ac:dyDescent="0.25">
      <c r="E9506" t="s">
        <v>9081</v>
      </c>
    </row>
    <row r="9507" spans="5:5" x14ac:dyDescent="0.25">
      <c r="E9507" t="s">
        <v>9082</v>
      </c>
    </row>
    <row r="9508" spans="5:5" x14ac:dyDescent="0.25">
      <c r="E9508" t="s">
        <v>9083</v>
      </c>
    </row>
    <row r="9509" spans="5:5" x14ac:dyDescent="0.25">
      <c r="E9509" t="s">
        <v>9084</v>
      </c>
    </row>
    <row r="9510" spans="5:5" x14ac:dyDescent="0.25">
      <c r="E9510" t="s">
        <v>9085</v>
      </c>
    </row>
    <row r="9511" spans="5:5" x14ac:dyDescent="0.25">
      <c r="E9511" t="s">
        <v>9086</v>
      </c>
    </row>
    <row r="9512" spans="5:5" x14ac:dyDescent="0.25">
      <c r="E9512" t="s">
        <v>9087</v>
      </c>
    </row>
    <row r="9513" spans="5:5" x14ac:dyDescent="0.25">
      <c r="E9513" t="s">
        <v>9088</v>
      </c>
    </row>
    <row r="9514" spans="5:5" x14ac:dyDescent="0.25">
      <c r="E9514" t="s">
        <v>9089</v>
      </c>
    </row>
    <row r="9515" spans="5:5" x14ac:dyDescent="0.25">
      <c r="E9515" t="s">
        <v>9090</v>
      </c>
    </row>
    <row r="9516" spans="5:5" x14ac:dyDescent="0.25">
      <c r="E9516" t="s">
        <v>9091</v>
      </c>
    </row>
    <row r="9517" spans="5:5" x14ac:dyDescent="0.25">
      <c r="E9517" t="s">
        <v>9092</v>
      </c>
    </row>
    <row r="9518" spans="5:5" x14ac:dyDescent="0.25">
      <c r="E9518" t="s">
        <v>9093</v>
      </c>
    </row>
    <row r="9519" spans="5:5" x14ac:dyDescent="0.25">
      <c r="E9519" t="s">
        <v>9094</v>
      </c>
    </row>
    <row r="9520" spans="5:5" x14ac:dyDescent="0.25">
      <c r="E9520" t="s">
        <v>9095</v>
      </c>
    </row>
    <row r="9521" spans="5:5" x14ac:dyDescent="0.25">
      <c r="E9521" t="s">
        <v>9096</v>
      </c>
    </row>
    <row r="9522" spans="5:5" x14ac:dyDescent="0.25">
      <c r="E9522" t="s">
        <v>9097</v>
      </c>
    </row>
    <row r="9523" spans="5:5" x14ac:dyDescent="0.25">
      <c r="E9523" t="s">
        <v>9098</v>
      </c>
    </row>
    <row r="9524" spans="5:5" x14ac:dyDescent="0.25">
      <c r="E9524" t="s">
        <v>9099</v>
      </c>
    </row>
    <row r="9525" spans="5:5" x14ac:dyDescent="0.25">
      <c r="E9525" t="s">
        <v>9100</v>
      </c>
    </row>
    <row r="9526" spans="5:5" x14ac:dyDescent="0.25">
      <c r="E9526" t="s">
        <v>9101</v>
      </c>
    </row>
    <row r="9527" spans="5:5" x14ac:dyDescent="0.25">
      <c r="E9527" t="s">
        <v>9102</v>
      </c>
    </row>
    <row r="9528" spans="5:5" x14ac:dyDescent="0.25">
      <c r="E9528" t="s">
        <v>9103</v>
      </c>
    </row>
    <row r="9529" spans="5:5" x14ac:dyDescent="0.25">
      <c r="E9529" t="s">
        <v>9104</v>
      </c>
    </row>
    <row r="9530" spans="5:5" x14ac:dyDescent="0.25">
      <c r="E9530" t="s">
        <v>9105</v>
      </c>
    </row>
    <row r="9531" spans="5:5" x14ac:dyDescent="0.25">
      <c r="E9531" t="s">
        <v>9106</v>
      </c>
    </row>
    <row r="9532" spans="5:5" x14ac:dyDescent="0.25">
      <c r="E9532" t="s">
        <v>9107</v>
      </c>
    </row>
    <row r="9533" spans="5:5" x14ac:dyDescent="0.25">
      <c r="E9533" t="s">
        <v>9108</v>
      </c>
    </row>
    <row r="9534" spans="5:5" x14ac:dyDescent="0.25">
      <c r="E9534" t="s">
        <v>9109</v>
      </c>
    </row>
    <row r="9535" spans="5:5" x14ac:dyDescent="0.25">
      <c r="E9535" t="s">
        <v>9110</v>
      </c>
    </row>
    <row r="9536" spans="5:5" x14ac:dyDescent="0.25">
      <c r="E9536" t="s">
        <v>9111</v>
      </c>
    </row>
    <row r="9537" spans="5:5" x14ac:dyDescent="0.25">
      <c r="E9537" t="s">
        <v>9112</v>
      </c>
    </row>
    <row r="9538" spans="5:5" x14ac:dyDescent="0.25">
      <c r="E9538" t="s">
        <v>9113</v>
      </c>
    </row>
    <row r="9539" spans="5:5" x14ac:dyDescent="0.25">
      <c r="E9539" t="s">
        <v>9114</v>
      </c>
    </row>
    <row r="9540" spans="5:5" x14ac:dyDescent="0.25">
      <c r="E9540" t="s">
        <v>9115</v>
      </c>
    </row>
    <row r="9541" spans="5:5" x14ac:dyDescent="0.25">
      <c r="E9541" t="s">
        <v>9116</v>
      </c>
    </row>
    <row r="9542" spans="5:5" x14ac:dyDescent="0.25">
      <c r="E9542" t="s">
        <v>9117</v>
      </c>
    </row>
    <row r="9543" spans="5:5" x14ac:dyDescent="0.25">
      <c r="E9543" t="s">
        <v>9118</v>
      </c>
    </row>
    <row r="9544" spans="5:5" x14ac:dyDescent="0.25">
      <c r="E9544" t="s">
        <v>9119</v>
      </c>
    </row>
    <row r="9545" spans="5:5" x14ac:dyDescent="0.25">
      <c r="E9545" t="s">
        <v>9120</v>
      </c>
    </row>
    <row r="9546" spans="5:5" x14ac:dyDescent="0.25">
      <c r="E9546" t="s">
        <v>9121</v>
      </c>
    </row>
    <row r="9547" spans="5:5" x14ac:dyDescent="0.25">
      <c r="E9547" t="s">
        <v>9122</v>
      </c>
    </row>
    <row r="9548" spans="5:5" x14ac:dyDescent="0.25">
      <c r="E9548" t="s">
        <v>9123</v>
      </c>
    </row>
    <row r="9549" spans="5:5" x14ac:dyDescent="0.25">
      <c r="E9549" t="s">
        <v>9124</v>
      </c>
    </row>
    <row r="9550" spans="5:5" x14ac:dyDescent="0.25">
      <c r="E9550" t="s">
        <v>9125</v>
      </c>
    </row>
    <row r="9551" spans="5:5" x14ac:dyDescent="0.25">
      <c r="E9551" t="s">
        <v>9126</v>
      </c>
    </row>
    <row r="9552" spans="5:5" x14ac:dyDescent="0.25">
      <c r="E9552" t="s">
        <v>9127</v>
      </c>
    </row>
    <row r="9553" spans="5:5" x14ac:dyDescent="0.25">
      <c r="E9553" t="s">
        <v>9128</v>
      </c>
    </row>
    <row r="9554" spans="5:5" x14ac:dyDescent="0.25">
      <c r="E9554" t="s">
        <v>9129</v>
      </c>
    </row>
    <row r="9555" spans="5:5" x14ac:dyDescent="0.25">
      <c r="E9555" t="s">
        <v>9130</v>
      </c>
    </row>
    <row r="9556" spans="5:5" x14ac:dyDescent="0.25">
      <c r="E9556" t="s">
        <v>9131</v>
      </c>
    </row>
    <row r="9557" spans="5:5" x14ac:dyDescent="0.25">
      <c r="E9557" t="s">
        <v>9132</v>
      </c>
    </row>
    <row r="9558" spans="5:5" x14ac:dyDescent="0.25">
      <c r="E9558" t="s">
        <v>9133</v>
      </c>
    </row>
    <row r="9559" spans="5:5" x14ac:dyDescent="0.25">
      <c r="E9559" t="s">
        <v>9134</v>
      </c>
    </row>
    <row r="9560" spans="5:5" x14ac:dyDescent="0.25">
      <c r="E9560" t="s">
        <v>9135</v>
      </c>
    </row>
    <row r="9561" spans="5:5" x14ac:dyDescent="0.25">
      <c r="E9561" t="s">
        <v>9136</v>
      </c>
    </row>
    <row r="9562" spans="5:5" x14ac:dyDescent="0.25">
      <c r="E9562" t="s">
        <v>9137</v>
      </c>
    </row>
    <row r="9563" spans="5:5" x14ac:dyDescent="0.25">
      <c r="E9563" t="s">
        <v>9138</v>
      </c>
    </row>
    <row r="9564" spans="5:5" x14ac:dyDescent="0.25">
      <c r="E9564" t="s">
        <v>9139</v>
      </c>
    </row>
    <row r="9565" spans="5:5" x14ac:dyDescent="0.25">
      <c r="E9565" t="s">
        <v>9140</v>
      </c>
    </row>
    <row r="9566" spans="5:5" x14ac:dyDescent="0.25">
      <c r="E9566" t="s">
        <v>9141</v>
      </c>
    </row>
    <row r="9567" spans="5:5" x14ac:dyDescent="0.25">
      <c r="E9567" t="s">
        <v>9142</v>
      </c>
    </row>
    <row r="9568" spans="5:5" x14ac:dyDescent="0.25">
      <c r="E9568" t="s">
        <v>9143</v>
      </c>
    </row>
    <row r="9569" spans="5:5" x14ac:dyDescent="0.25">
      <c r="E9569" t="s">
        <v>9144</v>
      </c>
    </row>
    <row r="9570" spans="5:5" x14ac:dyDescent="0.25">
      <c r="E9570" t="s">
        <v>9145</v>
      </c>
    </row>
    <row r="9571" spans="5:5" x14ac:dyDescent="0.25">
      <c r="E9571" t="s">
        <v>9146</v>
      </c>
    </row>
    <row r="9572" spans="5:5" x14ac:dyDescent="0.25">
      <c r="E9572" t="s">
        <v>9147</v>
      </c>
    </row>
    <row r="9573" spans="5:5" x14ac:dyDescent="0.25">
      <c r="E9573" t="s">
        <v>9148</v>
      </c>
    </row>
    <row r="9574" spans="5:5" x14ac:dyDescent="0.25">
      <c r="E9574" t="s">
        <v>9149</v>
      </c>
    </row>
    <row r="9575" spans="5:5" x14ac:dyDescent="0.25">
      <c r="E9575" t="s">
        <v>9150</v>
      </c>
    </row>
    <row r="9576" spans="5:5" x14ac:dyDescent="0.25">
      <c r="E9576" t="s">
        <v>9151</v>
      </c>
    </row>
    <row r="9577" spans="5:5" x14ac:dyDescent="0.25">
      <c r="E9577" t="s">
        <v>9152</v>
      </c>
    </row>
    <row r="9578" spans="5:5" x14ac:dyDescent="0.25">
      <c r="E9578" t="s">
        <v>9153</v>
      </c>
    </row>
    <row r="9579" spans="5:5" x14ac:dyDescent="0.25">
      <c r="E9579" t="s">
        <v>9154</v>
      </c>
    </row>
    <row r="9580" spans="5:5" x14ac:dyDescent="0.25">
      <c r="E9580" t="s">
        <v>9155</v>
      </c>
    </row>
    <row r="9581" spans="5:5" x14ac:dyDescent="0.25">
      <c r="E9581" t="s">
        <v>9156</v>
      </c>
    </row>
    <row r="9582" spans="5:5" x14ac:dyDescent="0.25">
      <c r="E9582" t="s">
        <v>9157</v>
      </c>
    </row>
    <row r="9583" spans="5:5" x14ac:dyDescent="0.25">
      <c r="E9583" t="s">
        <v>9158</v>
      </c>
    </row>
    <row r="9584" spans="5:5" x14ac:dyDescent="0.25">
      <c r="E9584" t="s">
        <v>9159</v>
      </c>
    </row>
    <row r="9585" spans="5:5" x14ac:dyDescent="0.25">
      <c r="E9585" t="s">
        <v>9160</v>
      </c>
    </row>
    <row r="9586" spans="5:5" x14ac:dyDescent="0.25">
      <c r="E9586" t="s">
        <v>9161</v>
      </c>
    </row>
    <row r="9587" spans="5:5" x14ac:dyDescent="0.25">
      <c r="E9587" t="s">
        <v>9162</v>
      </c>
    </row>
    <row r="9588" spans="5:5" x14ac:dyDescent="0.25">
      <c r="E9588" t="s">
        <v>9163</v>
      </c>
    </row>
    <row r="9589" spans="5:5" x14ac:dyDescent="0.25">
      <c r="E9589" t="s">
        <v>9164</v>
      </c>
    </row>
    <row r="9590" spans="5:5" x14ac:dyDescent="0.25">
      <c r="E9590" t="s">
        <v>9165</v>
      </c>
    </row>
    <row r="9591" spans="5:5" x14ac:dyDescent="0.25">
      <c r="E9591" t="s">
        <v>9166</v>
      </c>
    </row>
    <row r="9592" spans="5:5" x14ac:dyDescent="0.25">
      <c r="E9592" t="s">
        <v>9167</v>
      </c>
    </row>
    <row r="9593" spans="5:5" x14ac:dyDescent="0.25">
      <c r="E9593" t="s">
        <v>9168</v>
      </c>
    </row>
    <row r="9594" spans="5:5" x14ac:dyDescent="0.25">
      <c r="E9594" t="s">
        <v>9169</v>
      </c>
    </row>
    <row r="9595" spans="5:5" x14ac:dyDescent="0.25">
      <c r="E9595" t="s">
        <v>9170</v>
      </c>
    </row>
    <row r="9596" spans="5:5" x14ac:dyDescent="0.25">
      <c r="E9596" t="s">
        <v>9171</v>
      </c>
    </row>
    <row r="9597" spans="5:5" x14ac:dyDescent="0.25">
      <c r="E9597" t="s">
        <v>9172</v>
      </c>
    </row>
    <row r="9598" spans="5:5" x14ac:dyDescent="0.25">
      <c r="E9598" t="s">
        <v>9173</v>
      </c>
    </row>
    <row r="9599" spans="5:5" x14ac:dyDescent="0.25">
      <c r="E9599" t="s">
        <v>9174</v>
      </c>
    </row>
    <row r="9600" spans="5:5" x14ac:dyDescent="0.25">
      <c r="E9600" t="s">
        <v>9175</v>
      </c>
    </row>
    <row r="9601" spans="5:5" x14ac:dyDescent="0.25">
      <c r="E9601" t="s">
        <v>9176</v>
      </c>
    </row>
    <row r="9602" spans="5:5" x14ac:dyDescent="0.25">
      <c r="E9602" t="s">
        <v>9177</v>
      </c>
    </row>
    <row r="9603" spans="5:5" x14ac:dyDescent="0.25">
      <c r="E9603" t="s">
        <v>9178</v>
      </c>
    </row>
    <row r="9604" spans="5:5" x14ac:dyDescent="0.25">
      <c r="E9604" t="s">
        <v>9179</v>
      </c>
    </row>
    <row r="9605" spans="5:5" x14ac:dyDescent="0.25">
      <c r="E9605" t="s">
        <v>9180</v>
      </c>
    </row>
    <row r="9606" spans="5:5" x14ac:dyDescent="0.25">
      <c r="E9606" t="s">
        <v>9181</v>
      </c>
    </row>
    <row r="9607" spans="5:5" x14ac:dyDescent="0.25">
      <c r="E9607" t="s">
        <v>9182</v>
      </c>
    </row>
    <row r="9608" spans="5:5" x14ac:dyDescent="0.25">
      <c r="E9608" t="s">
        <v>9183</v>
      </c>
    </row>
    <row r="9609" spans="5:5" x14ac:dyDescent="0.25">
      <c r="E9609" t="s">
        <v>9184</v>
      </c>
    </row>
    <row r="9610" spans="5:5" x14ac:dyDescent="0.25">
      <c r="E9610" t="s">
        <v>9185</v>
      </c>
    </row>
    <row r="9611" spans="5:5" x14ac:dyDescent="0.25">
      <c r="E9611" t="s">
        <v>9186</v>
      </c>
    </row>
    <row r="9612" spans="5:5" x14ac:dyDescent="0.25">
      <c r="E9612" t="s">
        <v>9187</v>
      </c>
    </row>
    <row r="9613" spans="5:5" x14ac:dyDescent="0.25">
      <c r="E9613" t="s">
        <v>9188</v>
      </c>
    </row>
    <row r="9614" spans="5:5" x14ac:dyDescent="0.25">
      <c r="E9614" t="s">
        <v>9189</v>
      </c>
    </row>
    <row r="9615" spans="5:5" x14ac:dyDescent="0.25">
      <c r="E9615" t="s">
        <v>9190</v>
      </c>
    </row>
    <row r="9616" spans="5:5" x14ac:dyDescent="0.25">
      <c r="E9616" t="s">
        <v>9191</v>
      </c>
    </row>
    <row r="9617" spans="5:5" x14ac:dyDescent="0.25">
      <c r="E9617" t="s">
        <v>9192</v>
      </c>
    </row>
    <row r="9618" spans="5:5" x14ac:dyDescent="0.25">
      <c r="E9618" t="s">
        <v>9193</v>
      </c>
    </row>
    <row r="9619" spans="5:5" x14ac:dyDescent="0.25">
      <c r="E9619" t="s">
        <v>9194</v>
      </c>
    </row>
    <row r="9620" spans="5:5" x14ac:dyDescent="0.25">
      <c r="E9620" t="s">
        <v>9195</v>
      </c>
    </row>
    <row r="9621" spans="5:5" x14ac:dyDescent="0.25">
      <c r="E9621" t="s">
        <v>9196</v>
      </c>
    </row>
    <row r="9622" spans="5:5" x14ac:dyDescent="0.25">
      <c r="E9622" t="s">
        <v>9197</v>
      </c>
    </row>
    <row r="9623" spans="5:5" x14ac:dyDescent="0.25">
      <c r="E9623" t="s">
        <v>9198</v>
      </c>
    </row>
    <row r="9624" spans="5:5" x14ac:dyDescent="0.25">
      <c r="E9624" t="s">
        <v>9199</v>
      </c>
    </row>
    <row r="9625" spans="5:5" x14ac:dyDescent="0.25">
      <c r="E9625" t="s">
        <v>9200</v>
      </c>
    </row>
    <row r="9626" spans="5:5" x14ac:dyDescent="0.25">
      <c r="E9626" t="s">
        <v>9201</v>
      </c>
    </row>
    <row r="9627" spans="5:5" x14ac:dyDescent="0.25">
      <c r="E9627" t="s">
        <v>9202</v>
      </c>
    </row>
    <row r="9628" spans="5:5" x14ac:dyDescent="0.25">
      <c r="E9628" t="s">
        <v>9203</v>
      </c>
    </row>
    <row r="9629" spans="5:5" x14ac:dyDescent="0.25">
      <c r="E9629" t="s">
        <v>9204</v>
      </c>
    </row>
    <row r="9630" spans="5:5" x14ac:dyDescent="0.25">
      <c r="E9630" t="s">
        <v>9205</v>
      </c>
    </row>
    <row r="9631" spans="5:5" x14ac:dyDescent="0.25">
      <c r="E9631" t="s">
        <v>9206</v>
      </c>
    </row>
    <row r="9632" spans="5:5" x14ac:dyDescent="0.25">
      <c r="E9632" t="s">
        <v>9207</v>
      </c>
    </row>
    <row r="9633" spans="5:5" x14ac:dyDescent="0.25">
      <c r="E9633" t="s">
        <v>9208</v>
      </c>
    </row>
    <row r="9634" spans="5:5" x14ac:dyDescent="0.25">
      <c r="E9634" t="s">
        <v>9209</v>
      </c>
    </row>
    <row r="9635" spans="5:5" x14ac:dyDescent="0.25">
      <c r="E9635" t="s">
        <v>9210</v>
      </c>
    </row>
    <row r="9636" spans="5:5" x14ac:dyDescent="0.25">
      <c r="E9636" t="s">
        <v>9211</v>
      </c>
    </row>
    <row r="9637" spans="5:5" x14ac:dyDescent="0.25">
      <c r="E9637" t="s">
        <v>9212</v>
      </c>
    </row>
    <row r="9638" spans="5:5" x14ac:dyDescent="0.25">
      <c r="E9638" t="s">
        <v>9213</v>
      </c>
    </row>
    <row r="9639" spans="5:5" x14ac:dyDescent="0.25">
      <c r="E9639" t="s">
        <v>9214</v>
      </c>
    </row>
    <row r="9640" spans="5:5" x14ac:dyDescent="0.25">
      <c r="E9640" t="s">
        <v>9215</v>
      </c>
    </row>
    <row r="9641" spans="5:5" x14ac:dyDescent="0.25">
      <c r="E9641" t="s">
        <v>9216</v>
      </c>
    </row>
    <row r="9642" spans="5:5" x14ac:dyDescent="0.25">
      <c r="E9642" t="s">
        <v>9217</v>
      </c>
    </row>
    <row r="9643" spans="5:5" x14ac:dyDescent="0.25">
      <c r="E9643" t="s">
        <v>9218</v>
      </c>
    </row>
    <row r="9644" spans="5:5" x14ac:dyDescent="0.25">
      <c r="E9644" t="s">
        <v>9219</v>
      </c>
    </row>
    <row r="9645" spans="5:5" x14ac:dyDescent="0.25">
      <c r="E9645" t="s">
        <v>9220</v>
      </c>
    </row>
    <row r="9646" spans="5:5" x14ac:dyDescent="0.25">
      <c r="E9646" t="s">
        <v>9221</v>
      </c>
    </row>
    <row r="9647" spans="5:5" x14ac:dyDescent="0.25">
      <c r="E9647" t="s">
        <v>9222</v>
      </c>
    </row>
    <row r="9648" spans="5:5" x14ac:dyDescent="0.25">
      <c r="E9648" t="s">
        <v>9223</v>
      </c>
    </row>
    <row r="9649" spans="5:5" x14ac:dyDescent="0.25">
      <c r="E9649" t="s">
        <v>9224</v>
      </c>
    </row>
    <row r="9650" spans="5:5" x14ac:dyDescent="0.25">
      <c r="E9650" t="s">
        <v>9225</v>
      </c>
    </row>
    <row r="9651" spans="5:5" x14ac:dyDescent="0.25">
      <c r="E9651" t="s">
        <v>9226</v>
      </c>
    </row>
    <row r="9652" spans="5:5" x14ac:dyDescent="0.25">
      <c r="E9652" t="s">
        <v>9227</v>
      </c>
    </row>
    <row r="9653" spans="5:5" x14ac:dyDescent="0.25">
      <c r="E9653" t="s">
        <v>9228</v>
      </c>
    </row>
    <row r="9654" spans="5:5" x14ac:dyDescent="0.25">
      <c r="E9654" t="s">
        <v>9229</v>
      </c>
    </row>
    <row r="9655" spans="5:5" x14ac:dyDescent="0.25">
      <c r="E9655" t="s">
        <v>9230</v>
      </c>
    </row>
    <row r="9656" spans="5:5" x14ac:dyDescent="0.25">
      <c r="E9656" t="s">
        <v>9231</v>
      </c>
    </row>
    <row r="9657" spans="5:5" x14ac:dyDescent="0.25">
      <c r="E9657" t="s">
        <v>9232</v>
      </c>
    </row>
    <row r="9658" spans="5:5" x14ac:dyDescent="0.25">
      <c r="E9658" t="s">
        <v>9233</v>
      </c>
    </row>
    <row r="9659" spans="5:5" x14ac:dyDescent="0.25">
      <c r="E9659" t="s">
        <v>9234</v>
      </c>
    </row>
    <row r="9660" spans="5:5" x14ac:dyDescent="0.25">
      <c r="E9660" t="s">
        <v>9235</v>
      </c>
    </row>
    <row r="9661" spans="5:5" x14ac:dyDescent="0.25">
      <c r="E9661" t="s">
        <v>9236</v>
      </c>
    </row>
    <row r="9662" spans="5:5" x14ac:dyDescent="0.25">
      <c r="E9662" t="s">
        <v>9237</v>
      </c>
    </row>
    <row r="9663" spans="5:5" x14ac:dyDescent="0.25">
      <c r="E9663" t="s">
        <v>9238</v>
      </c>
    </row>
    <row r="9664" spans="5:5" x14ac:dyDescent="0.25">
      <c r="E9664" t="s">
        <v>9239</v>
      </c>
    </row>
    <row r="9665" spans="5:5" x14ac:dyDescent="0.25">
      <c r="E9665" t="s">
        <v>9240</v>
      </c>
    </row>
    <row r="9666" spans="5:5" x14ac:dyDescent="0.25">
      <c r="E9666" t="s">
        <v>9241</v>
      </c>
    </row>
    <row r="9667" spans="5:5" x14ac:dyDescent="0.25">
      <c r="E9667" t="s">
        <v>9242</v>
      </c>
    </row>
    <row r="9668" spans="5:5" x14ac:dyDescent="0.25">
      <c r="E9668" t="s">
        <v>9243</v>
      </c>
    </row>
    <row r="9669" spans="5:5" x14ac:dyDescent="0.25">
      <c r="E9669" t="s">
        <v>9244</v>
      </c>
    </row>
    <row r="9670" spans="5:5" x14ac:dyDescent="0.25">
      <c r="E9670" t="s">
        <v>9245</v>
      </c>
    </row>
    <row r="9671" spans="5:5" x14ac:dyDescent="0.25">
      <c r="E9671" t="s">
        <v>9246</v>
      </c>
    </row>
    <row r="9672" spans="5:5" x14ac:dyDescent="0.25">
      <c r="E9672" t="s">
        <v>9247</v>
      </c>
    </row>
    <row r="9673" spans="5:5" x14ac:dyDescent="0.25">
      <c r="E9673" t="s">
        <v>9248</v>
      </c>
    </row>
    <row r="9674" spans="5:5" x14ac:dyDescent="0.25">
      <c r="E9674" t="s">
        <v>9249</v>
      </c>
    </row>
    <row r="9675" spans="5:5" x14ac:dyDescent="0.25">
      <c r="E9675" t="s">
        <v>9250</v>
      </c>
    </row>
    <row r="9676" spans="5:5" x14ac:dyDescent="0.25">
      <c r="E9676" t="s">
        <v>9251</v>
      </c>
    </row>
    <row r="9677" spans="5:5" x14ac:dyDescent="0.25">
      <c r="E9677" t="s">
        <v>9252</v>
      </c>
    </row>
    <row r="9678" spans="5:5" x14ac:dyDescent="0.25">
      <c r="E9678" t="s">
        <v>9253</v>
      </c>
    </row>
    <row r="9679" spans="5:5" x14ac:dyDescent="0.25">
      <c r="E9679" t="s">
        <v>9254</v>
      </c>
    </row>
    <row r="9680" spans="5:5" x14ac:dyDescent="0.25">
      <c r="E9680" t="s">
        <v>9255</v>
      </c>
    </row>
    <row r="9681" spans="5:5" x14ac:dyDescent="0.25">
      <c r="E9681" t="s">
        <v>9256</v>
      </c>
    </row>
    <row r="9682" spans="5:5" x14ac:dyDescent="0.25">
      <c r="E9682" t="s">
        <v>9257</v>
      </c>
    </row>
    <row r="9683" spans="5:5" x14ac:dyDescent="0.25">
      <c r="E9683" t="s">
        <v>9258</v>
      </c>
    </row>
    <row r="9684" spans="5:5" x14ac:dyDescent="0.25">
      <c r="E9684" t="s">
        <v>9259</v>
      </c>
    </row>
    <row r="9685" spans="5:5" x14ac:dyDescent="0.25">
      <c r="E9685" t="s">
        <v>9260</v>
      </c>
    </row>
    <row r="9686" spans="5:5" x14ac:dyDescent="0.25">
      <c r="E9686" t="s">
        <v>9261</v>
      </c>
    </row>
    <row r="9687" spans="5:5" x14ac:dyDescent="0.25">
      <c r="E9687" t="s">
        <v>9262</v>
      </c>
    </row>
    <row r="9688" spans="5:5" x14ac:dyDescent="0.25">
      <c r="E9688" t="s">
        <v>9263</v>
      </c>
    </row>
    <row r="9689" spans="5:5" x14ac:dyDescent="0.25">
      <c r="E9689" t="s">
        <v>9264</v>
      </c>
    </row>
    <row r="9690" spans="5:5" x14ac:dyDescent="0.25">
      <c r="E9690" t="s">
        <v>9265</v>
      </c>
    </row>
    <row r="9691" spans="5:5" x14ac:dyDescent="0.25">
      <c r="E9691" t="s">
        <v>9266</v>
      </c>
    </row>
    <row r="9692" spans="5:5" x14ac:dyDescent="0.25">
      <c r="E9692" t="s">
        <v>9267</v>
      </c>
    </row>
    <row r="9693" spans="5:5" x14ac:dyDescent="0.25">
      <c r="E9693" t="s">
        <v>9268</v>
      </c>
    </row>
    <row r="9694" spans="5:5" x14ac:dyDescent="0.25">
      <c r="E9694" t="s">
        <v>9269</v>
      </c>
    </row>
    <row r="9695" spans="5:5" x14ac:dyDescent="0.25">
      <c r="E9695" t="s">
        <v>9270</v>
      </c>
    </row>
    <row r="9696" spans="5:5" x14ac:dyDescent="0.25">
      <c r="E9696" t="s">
        <v>9271</v>
      </c>
    </row>
    <row r="9697" spans="5:5" x14ac:dyDescent="0.25">
      <c r="E9697" t="s">
        <v>9272</v>
      </c>
    </row>
    <row r="9698" spans="5:5" x14ac:dyDescent="0.25">
      <c r="E9698" t="s">
        <v>9273</v>
      </c>
    </row>
    <row r="9699" spans="5:5" x14ac:dyDescent="0.25">
      <c r="E9699" t="s">
        <v>9274</v>
      </c>
    </row>
    <row r="9700" spans="5:5" x14ac:dyDescent="0.25">
      <c r="E9700" t="s">
        <v>9275</v>
      </c>
    </row>
    <row r="9701" spans="5:5" x14ac:dyDescent="0.25">
      <c r="E9701" t="s">
        <v>9276</v>
      </c>
    </row>
    <row r="9702" spans="5:5" x14ac:dyDescent="0.25">
      <c r="E9702" t="s">
        <v>9277</v>
      </c>
    </row>
    <row r="9703" spans="5:5" x14ac:dyDescent="0.25">
      <c r="E9703" t="s">
        <v>9278</v>
      </c>
    </row>
    <row r="9704" spans="5:5" x14ac:dyDescent="0.25">
      <c r="E9704" t="s">
        <v>9279</v>
      </c>
    </row>
    <row r="9705" spans="5:5" x14ac:dyDescent="0.25">
      <c r="E9705" t="s">
        <v>9280</v>
      </c>
    </row>
    <row r="9706" spans="5:5" x14ac:dyDescent="0.25">
      <c r="E9706" t="s">
        <v>9281</v>
      </c>
    </row>
    <row r="9707" spans="5:5" x14ac:dyDescent="0.25">
      <c r="E9707" t="s">
        <v>9282</v>
      </c>
    </row>
    <row r="9708" spans="5:5" x14ac:dyDescent="0.25">
      <c r="E9708" t="s">
        <v>9283</v>
      </c>
    </row>
    <row r="9709" spans="5:5" x14ac:dyDescent="0.25">
      <c r="E9709" t="s">
        <v>9284</v>
      </c>
    </row>
    <row r="9710" spans="5:5" x14ac:dyDescent="0.25">
      <c r="E9710" t="s">
        <v>9285</v>
      </c>
    </row>
    <row r="9711" spans="5:5" x14ac:dyDescent="0.25">
      <c r="E9711" t="s">
        <v>9286</v>
      </c>
    </row>
    <row r="9712" spans="5:5" x14ac:dyDescent="0.25">
      <c r="E9712" t="s">
        <v>9287</v>
      </c>
    </row>
    <row r="9713" spans="5:5" x14ac:dyDescent="0.25">
      <c r="E9713" t="s">
        <v>9288</v>
      </c>
    </row>
    <row r="9714" spans="5:5" x14ac:dyDescent="0.25">
      <c r="E9714" t="s">
        <v>9289</v>
      </c>
    </row>
    <row r="9715" spans="5:5" x14ac:dyDescent="0.25">
      <c r="E9715" t="s">
        <v>9290</v>
      </c>
    </row>
    <row r="9716" spans="5:5" x14ac:dyDescent="0.25">
      <c r="E9716" t="s">
        <v>9291</v>
      </c>
    </row>
    <row r="9717" spans="5:5" x14ac:dyDescent="0.25">
      <c r="E9717" t="s">
        <v>9292</v>
      </c>
    </row>
    <row r="9718" spans="5:5" x14ac:dyDescent="0.25">
      <c r="E9718" t="s">
        <v>9293</v>
      </c>
    </row>
    <row r="9719" spans="5:5" x14ac:dyDescent="0.25">
      <c r="E9719" t="s">
        <v>9294</v>
      </c>
    </row>
    <row r="9720" spans="5:5" x14ac:dyDescent="0.25">
      <c r="E9720" t="s">
        <v>9295</v>
      </c>
    </row>
    <row r="9721" spans="5:5" x14ac:dyDescent="0.25">
      <c r="E9721" t="s">
        <v>9296</v>
      </c>
    </row>
    <row r="9722" spans="5:5" x14ac:dyDescent="0.25">
      <c r="E9722" t="s">
        <v>9297</v>
      </c>
    </row>
    <row r="9723" spans="5:5" x14ac:dyDescent="0.25">
      <c r="E9723" t="s">
        <v>9298</v>
      </c>
    </row>
    <row r="9724" spans="5:5" x14ac:dyDescent="0.25">
      <c r="E9724" t="s">
        <v>9299</v>
      </c>
    </row>
    <row r="9725" spans="5:5" x14ac:dyDescent="0.25">
      <c r="E9725" t="s">
        <v>9300</v>
      </c>
    </row>
    <row r="9726" spans="5:5" x14ac:dyDescent="0.25">
      <c r="E9726" t="s">
        <v>9301</v>
      </c>
    </row>
    <row r="9727" spans="5:5" x14ac:dyDescent="0.25">
      <c r="E9727" t="s">
        <v>9302</v>
      </c>
    </row>
    <row r="9728" spans="5:5" x14ac:dyDescent="0.25">
      <c r="E9728" t="s">
        <v>9303</v>
      </c>
    </row>
    <row r="9729" spans="5:5" x14ac:dyDescent="0.25">
      <c r="E9729" t="s">
        <v>9304</v>
      </c>
    </row>
    <row r="9730" spans="5:5" x14ac:dyDescent="0.25">
      <c r="E9730" t="s">
        <v>9305</v>
      </c>
    </row>
    <row r="9731" spans="5:5" x14ac:dyDescent="0.25">
      <c r="E9731" t="s">
        <v>9306</v>
      </c>
    </row>
    <row r="9732" spans="5:5" x14ac:dyDescent="0.25">
      <c r="E9732" t="s">
        <v>9307</v>
      </c>
    </row>
    <row r="9733" spans="5:5" x14ac:dyDescent="0.25">
      <c r="E9733" t="s">
        <v>9308</v>
      </c>
    </row>
    <row r="9734" spans="5:5" x14ac:dyDescent="0.25">
      <c r="E9734" t="s">
        <v>9309</v>
      </c>
    </row>
    <row r="9735" spans="5:5" x14ac:dyDescent="0.25">
      <c r="E9735" t="s">
        <v>9310</v>
      </c>
    </row>
    <row r="9736" spans="5:5" x14ac:dyDescent="0.25">
      <c r="E9736" t="s">
        <v>9311</v>
      </c>
    </row>
    <row r="9737" spans="5:5" x14ac:dyDescent="0.25">
      <c r="E9737" t="s">
        <v>9312</v>
      </c>
    </row>
    <row r="9738" spans="5:5" x14ac:dyDescent="0.25">
      <c r="E9738" t="s">
        <v>9313</v>
      </c>
    </row>
    <row r="9739" spans="5:5" x14ac:dyDescent="0.25">
      <c r="E9739" t="s">
        <v>9314</v>
      </c>
    </row>
    <row r="9740" spans="5:5" x14ac:dyDescent="0.25">
      <c r="E9740" t="s">
        <v>9315</v>
      </c>
    </row>
    <row r="9741" spans="5:5" x14ac:dyDescent="0.25">
      <c r="E9741" t="s">
        <v>9316</v>
      </c>
    </row>
    <row r="9742" spans="5:5" x14ac:dyDescent="0.25">
      <c r="E9742" t="s">
        <v>9317</v>
      </c>
    </row>
    <row r="9743" spans="5:5" x14ac:dyDescent="0.25">
      <c r="E9743" t="s">
        <v>9318</v>
      </c>
    </row>
    <row r="9744" spans="5:5" x14ac:dyDescent="0.25">
      <c r="E9744" t="s">
        <v>9319</v>
      </c>
    </row>
    <row r="9745" spans="5:5" x14ac:dyDescent="0.25">
      <c r="E9745" t="s">
        <v>9320</v>
      </c>
    </row>
    <row r="9746" spans="5:5" x14ac:dyDescent="0.25">
      <c r="E9746" t="s">
        <v>9321</v>
      </c>
    </row>
    <row r="9747" spans="5:5" x14ac:dyDescent="0.25">
      <c r="E9747" t="s">
        <v>9322</v>
      </c>
    </row>
    <row r="9748" spans="5:5" x14ac:dyDescent="0.25">
      <c r="E9748" t="s">
        <v>9323</v>
      </c>
    </row>
    <row r="9749" spans="5:5" x14ac:dyDescent="0.25">
      <c r="E9749" t="s">
        <v>9324</v>
      </c>
    </row>
    <row r="9750" spans="5:5" x14ac:dyDescent="0.25">
      <c r="E9750" t="s">
        <v>9325</v>
      </c>
    </row>
    <row r="9751" spans="5:5" x14ac:dyDescent="0.25">
      <c r="E9751" t="s">
        <v>9326</v>
      </c>
    </row>
    <row r="9752" spans="5:5" x14ac:dyDescent="0.25">
      <c r="E9752" t="s">
        <v>9327</v>
      </c>
    </row>
    <row r="9753" spans="5:5" x14ac:dyDescent="0.25">
      <c r="E9753" t="s">
        <v>9328</v>
      </c>
    </row>
    <row r="9754" spans="5:5" x14ac:dyDescent="0.25">
      <c r="E9754" t="s">
        <v>9329</v>
      </c>
    </row>
    <row r="9755" spans="5:5" x14ac:dyDescent="0.25">
      <c r="E9755" t="s">
        <v>9330</v>
      </c>
    </row>
    <row r="9756" spans="5:5" x14ac:dyDescent="0.25">
      <c r="E9756" t="s">
        <v>9331</v>
      </c>
    </row>
    <row r="9757" spans="5:5" x14ac:dyDescent="0.25">
      <c r="E9757" t="s">
        <v>9332</v>
      </c>
    </row>
    <row r="9758" spans="5:5" x14ac:dyDescent="0.25">
      <c r="E9758" t="s">
        <v>9333</v>
      </c>
    </row>
    <row r="9759" spans="5:5" x14ac:dyDescent="0.25">
      <c r="E9759" t="s">
        <v>9334</v>
      </c>
    </row>
    <row r="9760" spans="5:5" x14ac:dyDescent="0.25">
      <c r="E9760" t="s">
        <v>9335</v>
      </c>
    </row>
    <row r="9761" spans="5:5" x14ac:dyDescent="0.25">
      <c r="E9761" t="s">
        <v>9336</v>
      </c>
    </row>
    <row r="9762" spans="5:5" x14ac:dyDescent="0.25">
      <c r="E9762" t="s">
        <v>9337</v>
      </c>
    </row>
    <row r="9763" spans="5:5" x14ac:dyDescent="0.25">
      <c r="E9763" t="s">
        <v>9338</v>
      </c>
    </row>
    <row r="9764" spans="5:5" x14ac:dyDescent="0.25">
      <c r="E9764" t="s">
        <v>9339</v>
      </c>
    </row>
    <row r="9765" spans="5:5" x14ac:dyDescent="0.25">
      <c r="E9765" t="s">
        <v>9340</v>
      </c>
    </row>
    <row r="9766" spans="5:5" x14ac:dyDescent="0.25">
      <c r="E9766" t="s">
        <v>9341</v>
      </c>
    </row>
    <row r="9767" spans="5:5" x14ac:dyDescent="0.25">
      <c r="E9767" t="s">
        <v>9342</v>
      </c>
    </row>
    <row r="9768" spans="5:5" x14ac:dyDescent="0.25">
      <c r="E9768" t="s">
        <v>9343</v>
      </c>
    </row>
    <row r="9769" spans="5:5" x14ac:dyDescent="0.25">
      <c r="E9769" t="s">
        <v>9344</v>
      </c>
    </row>
    <row r="9770" spans="5:5" x14ac:dyDescent="0.25">
      <c r="E9770" t="s">
        <v>9345</v>
      </c>
    </row>
    <row r="9771" spans="5:5" x14ac:dyDescent="0.25">
      <c r="E9771" t="s">
        <v>9346</v>
      </c>
    </row>
    <row r="9772" spans="5:5" x14ac:dyDescent="0.25">
      <c r="E9772" t="s">
        <v>9347</v>
      </c>
    </row>
    <row r="9773" spans="5:5" x14ac:dyDescent="0.25">
      <c r="E9773" t="s">
        <v>9348</v>
      </c>
    </row>
    <row r="9774" spans="5:5" x14ac:dyDescent="0.25">
      <c r="E9774" t="s">
        <v>9349</v>
      </c>
    </row>
    <row r="9775" spans="5:5" x14ac:dyDescent="0.25">
      <c r="E9775" t="s">
        <v>9350</v>
      </c>
    </row>
    <row r="9776" spans="5:5" x14ac:dyDescent="0.25">
      <c r="E9776" t="s">
        <v>9351</v>
      </c>
    </row>
    <row r="9777" spans="5:5" x14ac:dyDescent="0.25">
      <c r="E9777" t="s">
        <v>9352</v>
      </c>
    </row>
    <row r="9778" spans="5:5" x14ac:dyDescent="0.25">
      <c r="E9778" t="s">
        <v>9353</v>
      </c>
    </row>
    <row r="9779" spans="5:5" x14ac:dyDescent="0.25">
      <c r="E9779" t="s">
        <v>9354</v>
      </c>
    </row>
    <row r="9780" spans="5:5" x14ac:dyDescent="0.25">
      <c r="E9780" t="s">
        <v>9355</v>
      </c>
    </row>
    <row r="9781" spans="5:5" x14ac:dyDescent="0.25">
      <c r="E9781" t="s">
        <v>9356</v>
      </c>
    </row>
    <row r="9782" spans="5:5" x14ac:dyDescent="0.25">
      <c r="E9782" t="s">
        <v>9357</v>
      </c>
    </row>
    <row r="9783" spans="5:5" x14ac:dyDescent="0.25">
      <c r="E9783" t="s">
        <v>9358</v>
      </c>
    </row>
    <row r="9784" spans="5:5" x14ac:dyDescent="0.25">
      <c r="E9784" t="s">
        <v>9359</v>
      </c>
    </row>
    <row r="9785" spans="5:5" x14ac:dyDescent="0.25">
      <c r="E9785" t="s">
        <v>9360</v>
      </c>
    </row>
    <row r="9786" spans="5:5" x14ac:dyDescent="0.25">
      <c r="E9786" t="s">
        <v>9361</v>
      </c>
    </row>
    <row r="9787" spans="5:5" x14ac:dyDescent="0.25">
      <c r="E9787" t="s">
        <v>9362</v>
      </c>
    </row>
    <row r="9788" spans="5:5" x14ac:dyDescent="0.25">
      <c r="E9788" t="s">
        <v>9363</v>
      </c>
    </row>
    <row r="9789" spans="5:5" x14ac:dyDescent="0.25">
      <c r="E9789" t="s">
        <v>9364</v>
      </c>
    </row>
    <row r="9790" spans="5:5" x14ac:dyDescent="0.25">
      <c r="E9790" t="s">
        <v>9365</v>
      </c>
    </row>
    <row r="9791" spans="5:5" x14ac:dyDescent="0.25">
      <c r="E9791" t="s">
        <v>9366</v>
      </c>
    </row>
    <row r="9792" spans="5:5" x14ac:dyDescent="0.25">
      <c r="E9792" t="s">
        <v>9367</v>
      </c>
    </row>
    <row r="9793" spans="5:5" x14ac:dyDescent="0.25">
      <c r="E9793" t="s">
        <v>9368</v>
      </c>
    </row>
    <row r="9794" spans="5:5" x14ac:dyDescent="0.25">
      <c r="E9794" t="s">
        <v>9369</v>
      </c>
    </row>
    <row r="9795" spans="5:5" x14ac:dyDescent="0.25">
      <c r="E9795" t="s">
        <v>9370</v>
      </c>
    </row>
    <row r="9796" spans="5:5" x14ac:dyDescent="0.25">
      <c r="E9796" t="s">
        <v>9371</v>
      </c>
    </row>
    <row r="9797" spans="5:5" x14ac:dyDescent="0.25">
      <c r="E9797" t="s">
        <v>9372</v>
      </c>
    </row>
    <row r="9798" spans="5:5" x14ac:dyDescent="0.25">
      <c r="E9798" t="s">
        <v>9373</v>
      </c>
    </row>
    <row r="9799" spans="5:5" x14ac:dyDescent="0.25">
      <c r="E9799" t="s">
        <v>9374</v>
      </c>
    </row>
    <row r="9800" spans="5:5" x14ac:dyDescent="0.25">
      <c r="E9800" t="s">
        <v>9375</v>
      </c>
    </row>
    <row r="9801" spans="5:5" x14ac:dyDescent="0.25">
      <c r="E9801" t="s">
        <v>9376</v>
      </c>
    </row>
    <row r="9802" spans="5:5" x14ac:dyDescent="0.25">
      <c r="E9802" t="s">
        <v>9377</v>
      </c>
    </row>
    <row r="9803" spans="5:5" x14ac:dyDescent="0.25">
      <c r="E9803" t="s">
        <v>9378</v>
      </c>
    </row>
    <row r="9804" spans="5:5" x14ac:dyDescent="0.25">
      <c r="E9804" t="s">
        <v>9379</v>
      </c>
    </row>
    <row r="9805" spans="5:5" x14ac:dyDescent="0.25">
      <c r="E9805" t="s">
        <v>9380</v>
      </c>
    </row>
    <row r="9806" spans="5:5" x14ac:dyDescent="0.25">
      <c r="E9806" t="s">
        <v>9381</v>
      </c>
    </row>
    <row r="9807" spans="5:5" x14ac:dyDescent="0.25">
      <c r="E9807" t="s">
        <v>9382</v>
      </c>
    </row>
    <row r="9808" spans="5:5" x14ac:dyDescent="0.25">
      <c r="E9808" t="s">
        <v>9383</v>
      </c>
    </row>
    <row r="9809" spans="5:5" x14ac:dyDescent="0.25">
      <c r="E9809" t="s">
        <v>9384</v>
      </c>
    </row>
    <row r="9810" spans="5:5" x14ac:dyDescent="0.25">
      <c r="E9810" t="s">
        <v>9385</v>
      </c>
    </row>
    <row r="9811" spans="5:5" x14ac:dyDescent="0.25">
      <c r="E9811" t="s">
        <v>9386</v>
      </c>
    </row>
    <row r="9812" spans="5:5" x14ac:dyDescent="0.25">
      <c r="E9812" t="s">
        <v>9387</v>
      </c>
    </row>
    <row r="9813" spans="5:5" x14ac:dyDescent="0.25">
      <c r="E9813" t="s">
        <v>9388</v>
      </c>
    </row>
    <row r="9814" spans="5:5" x14ac:dyDescent="0.25">
      <c r="E9814" t="s">
        <v>9389</v>
      </c>
    </row>
    <row r="9815" spans="5:5" x14ac:dyDescent="0.25">
      <c r="E9815" t="s">
        <v>9390</v>
      </c>
    </row>
    <row r="9816" spans="5:5" x14ac:dyDescent="0.25">
      <c r="E9816" t="s">
        <v>9391</v>
      </c>
    </row>
    <row r="9817" spans="5:5" x14ac:dyDescent="0.25">
      <c r="E9817" t="s">
        <v>9392</v>
      </c>
    </row>
    <row r="9818" spans="5:5" x14ac:dyDescent="0.25">
      <c r="E9818" t="s">
        <v>9393</v>
      </c>
    </row>
    <row r="9819" spans="5:5" x14ac:dyDescent="0.25">
      <c r="E9819" t="s">
        <v>9394</v>
      </c>
    </row>
    <row r="9820" spans="5:5" x14ac:dyDescent="0.25">
      <c r="E9820" t="s">
        <v>9395</v>
      </c>
    </row>
    <row r="9821" spans="5:5" x14ac:dyDescent="0.25">
      <c r="E9821" t="s">
        <v>9396</v>
      </c>
    </row>
    <row r="9822" spans="5:5" x14ac:dyDescent="0.25">
      <c r="E9822" t="s">
        <v>9397</v>
      </c>
    </row>
    <row r="9823" spans="5:5" x14ac:dyDescent="0.25">
      <c r="E9823" t="s">
        <v>9398</v>
      </c>
    </row>
    <row r="9824" spans="5:5" x14ac:dyDescent="0.25">
      <c r="E9824" t="s">
        <v>9399</v>
      </c>
    </row>
    <row r="9825" spans="5:5" x14ac:dyDescent="0.25">
      <c r="E9825" t="s">
        <v>9400</v>
      </c>
    </row>
    <row r="9826" spans="5:5" x14ac:dyDescent="0.25">
      <c r="E9826" t="s">
        <v>9401</v>
      </c>
    </row>
    <row r="9827" spans="5:5" x14ac:dyDescent="0.25">
      <c r="E9827" t="s">
        <v>9402</v>
      </c>
    </row>
    <row r="9828" spans="5:5" x14ac:dyDescent="0.25">
      <c r="E9828" t="s">
        <v>9403</v>
      </c>
    </row>
    <row r="9829" spans="5:5" x14ac:dyDescent="0.25">
      <c r="E9829" t="s">
        <v>9404</v>
      </c>
    </row>
    <row r="9830" spans="5:5" x14ac:dyDescent="0.25">
      <c r="E9830" t="s">
        <v>9405</v>
      </c>
    </row>
    <row r="9831" spans="5:5" x14ac:dyDescent="0.25">
      <c r="E9831" t="s">
        <v>9406</v>
      </c>
    </row>
    <row r="9832" spans="5:5" x14ac:dyDescent="0.25">
      <c r="E9832" t="s">
        <v>9407</v>
      </c>
    </row>
    <row r="9833" spans="5:5" x14ac:dyDescent="0.25">
      <c r="E9833" t="s">
        <v>9408</v>
      </c>
    </row>
    <row r="9834" spans="5:5" x14ac:dyDescent="0.25">
      <c r="E9834" t="s">
        <v>9409</v>
      </c>
    </row>
    <row r="9835" spans="5:5" x14ac:dyDescent="0.25">
      <c r="E9835" t="s">
        <v>9410</v>
      </c>
    </row>
    <row r="9836" spans="5:5" x14ac:dyDescent="0.25">
      <c r="E9836" t="s">
        <v>9411</v>
      </c>
    </row>
    <row r="9837" spans="5:5" x14ac:dyDescent="0.25">
      <c r="E9837" t="s">
        <v>9412</v>
      </c>
    </row>
    <row r="9838" spans="5:5" x14ac:dyDescent="0.25">
      <c r="E9838" t="s">
        <v>9413</v>
      </c>
    </row>
    <row r="9839" spans="5:5" x14ac:dyDescent="0.25">
      <c r="E9839" t="s">
        <v>9414</v>
      </c>
    </row>
    <row r="9840" spans="5:5" x14ac:dyDescent="0.25">
      <c r="E9840" t="s">
        <v>9415</v>
      </c>
    </row>
    <row r="9841" spans="5:5" x14ac:dyDescent="0.25">
      <c r="E9841" t="s">
        <v>9416</v>
      </c>
    </row>
    <row r="9842" spans="5:5" x14ac:dyDescent="0.25">
      <c r="E9842" t="s">
        <v>9417</v>
      </c>
    </row>
    <row r="9843" spans="5:5" x14ac:dyDescent="0.25">
      <c r="E9843" t="s">
        <v>9418</v>
      </c>
    </row>
    <row r="9844" spans="5:5" x14ac:dyDescent="0.25">
      <c r="E9844" t="s">
        <v>9419</v>
      </c>
    </row>
    <row r="9845" spans="5:5" x14ac:dyDescent="0.25">
      <c r="E9845" t="s">
        <v>9420</v>
      </c>
    </row>
    <row r="9846" spans="5:5" x14ac:dyDescent="0.25">
      <c r="E9846" t="s">
        <v>9421</v>
      </c>
    </row>
    <row r="9847" spans="5:5" x14ac:dyDescent="0.25">
      <c r="E9847" t="s">
        <v>9422</v>
      </c>
    </row>
    <row r="9848" spans="5:5" x14ac:dyDescent="0.25">
      <c r="E9848" t="s">
        <v>9423</v>
      </c>
    </row>
    <row r="9849" spans="5:5" x14ac:dyDescent="0.25">
      <c r="E9849" t="s">
        <v>9424</v>
      </c>
    </row>
    <row r="9850" spans="5:5" x14ac:dyDescent="0.25">
      <c r="E9850" t="s">
        <v>9425</v>
      </c>
    </row>
    <row r="9851" spans="5:5" x14ac:dyDescent="0.25">
      <c r="E9851" t="s">
        <v>9426</v>
      </c>
    </row>
    <row r="9852" spans="5:5" x14ac:dyDescent="0.25">
      <c r="E9852" t="s">
        <v>9427</v>
      </c>
    </row>
    <row r="9853" spans="5:5" x14ac:dyDescent="0.25">
      <c r="E9853" t="s">
        <v>9428</v>
      </c>
    </row>
    <row r="9854" spans="5:5" x14ac:dyDescent="0.25">
      <c r="E9854" t="s">
        <v>9429</v>
      </c>
    </row>
    <row r="9855" spans="5:5" x14ac:dyDescent="0.25">
      <c r="E9855" t="s">
        <v>9430</v>
      </c>
    </row>
    <row r="9856" spans="5:5" x14ac:dyDescent="0.25">
      <c r="E9856" t="s">
        <v>9431</v>
      </c>
    </row>
    <row r="9857" spans="5:5" x14ac:dyDescent="0.25">
      <c r="E9857" t="s">
        <v>9432</v>
      </c>
    </row>
    <row r="9858" spans="5:5" x14ac:dyDescent="0.25">
      <c r="E9858" t="s">
        <v>9433</v>
      </c>
    </row>
    <row r="9859" spans="5:5" x14ac:dyDescent="0.25">
      <c r="E9859" t="s">
        <v>9434</v>
      </c>
    </row>
    <row r="9860" spans="5:5" x14ac:dyDescent="0.25">
      <c r="E9860" t="s">
        <v>9435</v>
      </c>
    </row>
    <row r="9861" spans="5:5" x14ac:dyDescent="0.25">
      <c r="E9861" t="s">
        <v>9436</v>
      </c>
    </row>
    <row r="9862" spans="5:5" x14ac:dyDescent="0.25">
      <c r="E9862" t="s">
        <v>9437</v>
      </c>
    </row>
    <row r="9863" spans="5:5" x14ac:dyDescent="0.25">
      <c r="E9863" t="s">
        <v>9438</v>
      </c>
    </row>
    <row r="9864" spans="5:5" x14ac:dyDescent="0.25">
      <c r="E9864" t="s">
        <v>9439</v>
      </c>
    </row>
    <row r="9865" spans="5:5" x14ac:dyDescent="0.25">
      <c r="E9865" t="s">
        <v>9440</v>
      </c>
    </row>
    <row r="9866" spans="5:5" x14ac:dyDescent="0.25">
      <c r="E9866" t="s">
        <v>9441</v>
      </c>
    </row>
    <row r="9867" spans="5:5" x14ac:dyDescent="0.25">
      <c r="E9867" t="s">
        <v>9442</v>
      </c>
    </row>
    <row r="9868" spans="5:5" x14ac:dyDescent="0.25">
      <c r="E9868" t="s">
        <v>9443</v>
      </c>
    </row>
    <row r="9869" spans="5:5" x14ac:dyDescent="0.25">
      <c r="E9869" t="s">
        <v>9444</v>
      </c>
    </row>
    <row r="9870" spans="5:5" x14ac:dyDescent="0.25">
      <c r="E9870" t="s">
        <v>9445</v>
      </c>
    </row>
    <row r="9871" spans="5:5" x14ac:dyDescent="0.25">
      <c r="E9871" t="s">
        <v>9446</v>
      </c>
    </row>
    <row r="9872" spans="5:5" x14ac:dyDescent="0.25">
      <c r="E9872" t="s">
        <v>9447</v>
      </c>
    </row>
    <row r="9873" spans="5:5" x14ac:dyDescent="0.25">
      <c r="E9873" t="s">
        <v>9448</v>
      </c>
    </row>
    <row r="9874" spans="5:5" x14ac:dyDescent="0.25">
      <c r="E9874" t="s">
        <v>9449</v>
      </c>
    </row>
    <row r="9875" spans="5:5" x14ac:dyDescent="0.25">
      <c r="E9875" t="s">
        <v>9450</v>
      </c>
    </row>
    <row r="9876" spans="5:5" x14ac:dyDescent="0.25">
      <c r="E9876" t="s">
        <v>9451</v>
      </c>
    </row>
    <row r="9877" spans="5:5" x14ac:dyDescent="0.25">
      <c r="E9877" t="s">
        <v>9452</v>
      </c>
    </row>
    <row r="9878" spans="5:5" x14ac:dyDescent="0.25">
      <c r="E9878" t="s">
        <v>9453</v>
      </c>
    </row>
    <row r="9879" spans="5:5" x14ac:dyDescent="0.25">
      <c r="E9879" t="s">
        <v>9454</v>
      </c>
    </row>
    <row r="9880" spans="5:5" x14ac:dyDescent="0.25">
      <c r="E9880" t="s">
        <v>9455</v>
      </c>
    </row>
    <row r="9881" spans="5:5" x14ac:dyDescent="0.25">
      <c r="E9881" t="s">
        <v>9456</v>
      </c>
    </row>
    <row r="9882" spans="5:5" x14ac:dyDescent="0.25">
      <c r="E9882" t="s">
        <v>9457</v>
      </c>
    </row>
    <row r="9883" spans="5:5" x14ac:dyDescent="0.25">
      <c r="E9883" t="s">
        <v>9458</v>
      </c>
    </row>
    <row r="9884" spans="5:5" x14ac:dyDescent="0.25">
      <c r="E9884" t="s">
        <v>9459</v>
      </c>
    </row>
    <row r="9885" spans="5:5" x14ac:dyDescent="0.25">
      <c r="E9885" t="s">
        <v>9460</v>
      </c>
    </row>
    <row r="9886" spans="5:5" x14ac:dyDescent="0.25">
      <c r="E9886" t="s">
        <v>9461</v>
      </c>
    </row>
    <row r="9887" spans="5:5" x14ac:dyDescent="0.25">
      <c r="E9887" t="s">
        <v>9462</v>
      </c>
    </row>
    <row r="9888" spans="5:5" x14ac:dyDescent="0.25">
      <c r="E9888" t="s">
        <v>9463</v>
      </c>
    </row>
    <row r="9889" spans="5:5" x14ac:dyDescent="0.25">
      <c r="E9889" t="s">
        <v>9464</v>
      </c>
    </row>
    <row r="9890" spans="5:5" x14ac:dyDescent="0.25">
      <c r="E9890" t="s">
        <v>9465</v>
      </c>
    </row>
    <row r="9891" spans="5:5" x14ac:dyDescent="0.25">
      <c r="E9891" t="s">
        <v>9466</v>
      </c>
    </row>
    <row r="9892" spans="5:5" x14ac:dyDescent="0.25">
      <c r="E9892" t="s">
        <v>9467</v>
      </c>
    </row>
    <row r="9893" spans="5:5" x14ac:dyDescent="0.25">
      <c r="E9893" t="s">
        <v>9468</v>
      </c>
    </row>
    <row r="9894" spans="5:5" x14ac:dyDescent="0.25">
      <c r="E9894" t="s">
        <v>9469</v>
      </c>
    </row>
    <row r="9895" spans="5:5" x14ac:dyDescent="0.25">
      <c r="E9895" t="s">
        <v>9470</v>
      </c>
    </row>
    <row r="9896" spans="5:5" x14ac:dyDescent="0.25">
      <c r="E9896" t="s">
        <v>9471</v>
      </c>
    </row>
    <row r="9897" spans="5:5" x14ac:dyDescent="0.25">
      <c r="E9897" t="s">
        <v>9472</v>
      </c>
    </row>
    <row r="9898" spans="5:5" x14ac:dyDescent="0.25">
      <c r="E9898" t="s">
        <v>9473</v>
      </c>
    </row>
    <row r="9899" spans="5:5" x14ac:dyDescent="0.25">
      <c r="E9899" t="s">
        <v>9474</v>
      </c>
    </row>
    <row r="9900" spans="5:5" x14ac:dyDescent="0.25">
      <c r="E9900" t="s">
        <v>9475</v>
      </c>
    </row>
    <row r="9901" spans="5:5" x14ac:dyDescent="0.25">
      <c r="E9901" t="s">
        <v>9476</v>
      </c>
    </row>
    <row r="9902" spans="5:5" x14ac:dyDescent="0.25">
      <c r="E9902" t="s">
        <v>9477</v>
      </c>
    </row>
    <row r="9903" spans="5:5" x14ac:dyDescent="0.25">
      <c r="E9903" t="s">
        <v>9478</v>
      </c>
    </row>
    <row r="9904" spans="5:5" x14ac:dyDescent="0.25">
      <c r="E9904" t="s">
        <v>9479</v>
      </c>
    </row>
    <row r="9905" spans="5:5" x14ac:dyDescent="0.25">
      <c r="E9905" t="s">
        <v>9480</v>
      </c>
    </row>
    <row r="9906" spans="5:5" x14ac:dyDescent="0.25">
      <c r="E9906" t="s">
        <v>9481</v>
      </c>
    </row>
    <row r="9907" spans="5:5" x14ac:dyDescent="0.25">
      <c r="E9907" t="s">
        <v>9482</v>
      </c>
    </row>
    <row r="9908" spans="5:5" x14ac:dyDescent="0.25">
      <c r="E9908" t="s">
        <v>9483</v>
      </c>
    </row>
    <row r="9909" spans="5:5" x14ac:dyDescent="0.25">
      <c r="E9909" t="s">
        <v>9484</v>
      </c>
    </row>
    <row r="9910" spans="5:5" x14ac:dyDescent="0.25">
      <c r="E9910" t="s">
        <v>9485</v>
      </c>
    </row>
    <row r="9911" spans="5:5" x14ac:dyDescent="0.25">
      <c r="E9911" t="s">
        <v>9486</v>
      </c>
    </row>
    <row r="9912" spans="5:5" x14ac:dyDescent="0.25">
      <c r="E9912" t="s">
        <v>9487</v>
      </c>
    </row>
    <row r="9913" spans="5:5" x14ac:dyDescent="0.25">
      <c r="E9913" t="s">
        <v>9488</v>
      </c>
    </row>
    <row r="9914" spans="5:5" x14ac:dyDescent="0.25">
      <c r="E9914" t="s">
        <v>9489</v>
      </c>
    </row>
    <row r="9915" spans="5:5" x14ac:dyDescent="0.25">
      <c r="E9915" t="s">
        <v>9490</v>
      </c>
    </row>
    <row r="9916" spans="5:5" x14ac:dyDescent="0.25">
      <c r="E9916" t="s">
        <v>9491</v>
      </c>
    </row>
    <row r="9917" spans="5:5" x14ac:dyDescent="0.25">
      <c r="E9917" t="s">
        <v>9492</v>
      </c>
    </row>
    <row r="9918" spans="5:5" x14ac:dyDescent="0.25">
      <c r="E9918" t="s">
        <v>9493</v>
      </c>
    </row>
    <row r="9919" spans="5:5" x14ac:dyDescent="0.25">
      <c r="E9919" t="s">
        <v>9494</v>
      </c>
    </row>
    <row r="9920" spans="5:5" x14ac:dyDescent="0.25">
      <c r="E9920" t="s">
        <v>9495</v>
      </c>
    </row>
    <row r="9921" spans="5:5" x14ac:dyDescent="0.25">
      <c r="E9921" t="s">
        <v>9496</v>
      </c>
    </row>
    <row r="9922" spans="5:5" x14ac:dyDescent="0.25">
      <c r="E9922" t="s">
        <v>9497</v>
      </c>
    </row>
    <row r="9923" spans="5:5" x14ac:dyDescent="0.25">
      <c r="E9923" t="s">
        <v>9498</v>
      </c>
    </row>
    <row r="9924" spans="5:5" x14ac:dyDescent="0.25">
      <c r="E9924" t="s">
        <v>9499</v>
      </c>
    </row>
    <row r="9925" spans="5:5" x14ac:dyDescent="0.25">
      <c r="E9925" t="s">
        <v>9500</v>
      </c>
    </row>
    <row r="9926" spans="5:5" x14ac:dyDescent="0.25">
      <c r="E9926" t="s">
        <v>9501</v>
      </c>
    </row>
    <row r="9927" spans="5:5" x14ac:dyDescent="0.25">
      <c r="E9927" t="s">
        <v>9502</v>
      </c>
    </row>
    <row r="9928" spans="5:5" x14ac:dyDescent="0.25">
      <c r="E9928" t="s">
        <v>9503</v>
      </c>
    </row>
    <row r="9929" spans="5:5" x14ac:dyDescent="0.25">
      <c r="E9929" t="s">
        <v>9504</v>
      </c>
    </row>
    <row r="9930" spans="5:5" x14ac:dyDescent="0.25">
      <c r="E9930" t="s">
        <v>9505</v>
      </c>
    </row>
    <row r="9931" spans="5:5" x14ac:dyDescent="0.25">
      <c r="E9931" t="s">
        <v>9506</v>
      </c>
    </row>
    <row r="9932" spans="5:5" x14ac:dyDescent="0.25">
      <c r="E9932" t="s">
        <v>9507</v>
      </c>
    </row>
    <row r="9933" spans="5:5" x14ac:dyDescent="0.25">
      <c r="E9933" t="s">
        <v>9508</v>
      </c>
    </row>
    <row r="9934" spans="5:5" x14ac:dyDescent="0.25">
      <c r="E9934" t="s">
        <v>9509</v>
      </c>
    </row>
    <row r="9935" spans="5:5" x14ac:dyDescent="0.25">
      <c r="E9935" t="s">
        <v>9510</v>
      </c>
    </row>
    <row r="9936" spans="5:5" x14ac:dyDescent="0.25">
      <c r="E9936" t="s">
        <v>9511</v>
      </c>
    </row>
    <row r="9937" spans="5:5" x14ac:dyDescent="0.25">
      <c r="E9937" t="s">
        <v>9512</v>
      </c>
    </row>
    <row r="9938" spans="5:5" x14ac:dyDescent="0.25">
      <c r="E9938" t="s">
        <v>9513</v>
      </c>
    </row>
    <row r="9939" spans="5:5" x14ac:dyDescent="0.25">
      <c r="E9939" t="s">
        <v>9514</v>
      </c>
    </row>
    <row r="9940" spans="5:5" x14ac:dyDescent="0.25">
      <c r="E9940" t="s">
        <v>9515</v>
      </c>
    </row>
    <row r="9941" spans="5:5" x14ac:dyDescent="0.25">
      <c r="E9941" t="s">
        <v>9516</v>
      </c>
    </row>
    <row r="9942" spans="5:5" x14ac:dyDescent="0.25">
      <c r="E9942" t="s">
        <v>9517</v>
      </c>
    </row>
    <row r="9943" spans="5:5" x14ac:dyDescent="0.25">
      <c r="E9943" t="s">
        <v>9518</v>
      </c>
    </row>
    <row r="9944" spans="5:5" x14ac:dyDescent="0.25">
      <c r="E9944" t="s">
        <v>9519</v>
      </c>
    </row>
    <row r="9945" spans="5:5" x14ac:dyDescent="0.25">
      <c r="E9945" t="s">
        <v>9520</v>
      </c>
    </row>
    <row r="9946" spans="5:5" x14ac:dyDescent="0.25">
      <c r="E9946" t="s">
        <v>9521</v>
      </c>
    </row>
    <row r="9947" spans="5:5" x14ac:dyDescent="0.25">
      <c r="E9947" t="s">
        <v>9522</v>
      </c>
    </row>
    <row r="9948" spans="5:5" x14ac:dyDescent="0.25">
      <c r="E9948" t="s">
        <v>9523</v>
      </c>
    </row>
    <row r="9949" spans="5:5" x14ac:dyDescent="0.25">
      <c r="E9949" t="s">
        <v>9524</v>
      </c>
    </row>
    <row r="9950" spans="5:5" x14ac:dyDescent="0.25">
      <c r="E9950" t="s">
        <v>9525</v>
      </c>
    </row>
    <row r="9951" spans="5:5" x14ac:dyDescent="0.25">
      <c r="E9951" t="s">
        <v>9526</v>
      </c>
    </row>
    <row r="9952" spans="5:5" x14ac:dyDescent="0.25">
      <c r="E9952" t="s">
        <v>9527</v>
      </c>
    </row>
    <row r="9953" spans="5:5" x14ac:dyDescent="0.25">
      <c r="E9953" t="s">
        <v>9528</v>
      </c>
    </row>
    <row r="9954" spans="5:5" x14ac:dyDescent="0.25">
      <c r="E9954" t="s">
        <v>9529</v>
      </c>
    </row>
    <row r="9955" spans="5:5" x14ac:dyDescent="0.25">
      <c r="E9955" t="s">
        <v>9530</v>
      </c>
    </row>
    <row r="9956" spans="5:5" x14ac:dyDescent="0.25">
      <c r="E9956" t="s">
        <v>9531</v>
      </c>
    </row>
    <row r="9957" spans="5:5" x14ac:dyDescent="0.25">
      <c r="E9957" t="s">
        <v>9532</v>
      </c>
    </row>
    <row r="9958" spans="5:5" x14ac:dyDescent="0.25">
      <c r="E9958" t="s">
        <v>9533</v>
      </c>
    </row>
    <row r="9959" spans="5:5" x14ac:dyDescent="0.25">
      <c r="E9959" t="s">
        <v>9534</v>
      </c>
    </row>
    <row r="9960" spans="5:5" x14ac:dyDescent="0.25">
      <c r="E9960" t="s">
        <v>9535</v>
      </c>
    </row>
    <row r="9961" spans="5:5" x14ac:dyDescent="0.25">
      <c r="E9961" t="s">
        <v>9536</v>
      </c>
    </row>
    <row r="9962" spans="5:5" x14ac:dyDescent="0.25">
      <c r="E9962" t="s">
        <v>9537</v>
      </c>
    </row>
    <row r="9963" spans="5:5" x14ac:dyDescent="0.25">
      <c r="E9963" t="s">
        <v>9538</v>
      </c>
    </row>
    <row r="9964" spans="5:5" x14ac:dyDescent="0.25">
      <c r="E9964" t="s">
        <v>9539</v>
      </c>
    </row>
    <row r="9965" spans="5:5" x14ac:dyDescent="0.25">
      <c r="E9965" t="s">
        <v>9540</v>
      </c>
    </row>
    <row r="9966" spans="5:5" x14ac:dyDescent="0.25">
      <c r="E9966" t="s">
        <v>9541</v>
      </c>
    </row>
    <row r="9967" spans="5:5" x14ac:dyDescent="0.25">
      <c r="E9967" t="s">
        <v>9542</v>
      </c>
    </row>
    <row r="9968" spans="5:5" x14ac:dyDescent="0.25">
      <c r="E9968" t="s">
        <v>9543</v>
      </c>
    </row>
    <row r="9969" spans="5:5" x14ac:dyDescent="0.25">
      <c r="E9969" t="s">
        <v>9544</v>
      </c>
    </row>
    <row r="9970" spans="5:5" x14ac:dyDescent="0.25">
      <c r="E9970" t="s">
        <v>9545</v>
      </c>
    </row>
    <row r="9971" spans="5:5" x14ac:dyDescent="0.25">
      <c r="E9971" t="s">
        <v>9546</v>
      </c>
    </row>
    <row r="9972" spans="5:5" x14ac:dyDescent="0.25">
      <c r="E9972" t="s">
        <v>9547</v>
      </c>
    </row>
    <row r="9973" spans="5:5" x14ac:dyDescent="0.25">
      <c r="E9973" t="s">
        <v>9548</v>
      </c>
    </row>
    <row r="9974" spans="5:5" x14ac:dyDescent="0.25">
      <c r="E9974" t="s">
        <v>9549</v>
      </c>
    </row>
    <row r="9975" spans="5:5" x14ac:dyDescent="0.25">
      <c r="E9975" t="s">
        <v>9550</v>
      </c>
    </row>
    <row r="9976" spans="5:5" x14ac:dyDescent="0.25">
      <c r="E9976" t="s">
        <v>9551</v>
      </c>
    </row>
    <row r="9977" spans="5:5" x14ac:dyDescent="0.25">
      <c r="E9977" t="s">
        <v>9552</v>
      </c>
    </row>
    <row r="9978" spans="5:5" x14ac:dyDescent="0.25">
      <c r="E9978" t="s">
        <v>9553</v>
      </c>
    </row>
    <row r="9979" spans="5:5" x14ac:dyDescent="0.25">
      <c r="E9979" t="s">
        <v>9554</v>
      </c>
    </row>
    <row r="9980" spans="5:5" x14ac:dyDescent="0.25">
      <c r="E9980" t="s">
        <v>9555</v>
      </c>
    </row>
    <row r="9981" spans="5:5" x14ac:dyDescent="0.25">
      <c r="E9981" t="s">
        <v>9556</v>
      </c>
    </row>
    <row r="9982" spans="5:5" x14ac:dyDescent="0.25">
      <c r="E9982" t="s">
        <v>9557</v>
      </c>
    </row>
    <row r="9983" spans="5:5" x14ac:dyDescent="0.25">
      <c r="E9983" t="s">
        <v>9558</v>
      </c>
    </row>
    <row r="9984" spans="5:5" x14ac:dyDescent="0.25">
      <c r="E9984" t="s">
        <v>9559</v>
      </c>
    </row>
    <row r="9985" spans="5:5" x14ac:dyDescent="0.25">
      <c r="E9985" t="s">
        <v>9560</v>
      </c>
    </row>
    <row r="9986" spans="5:5" x14ac:dyDescent="0.25">
      <c r="E9986" t="s">
        <v>9561</v>
      </c>
    </row>
    <row r="9987" spans="5:5" x14ac:dyDescent="0.25">
      <c r="E9987" t="s">
        <v>9562</v>
      </c>
    </row>
    <row r="9988" spans="5:5" x14ac:dyDescent="0.25">
      <c r="E9988" t="s">
        <v>9563</v>
      </c>
    </row>
    <row r="9989" spans="5:5" x14ac:dyDescent="0.25">
      <c r="E9989" t="s">
        <v>9564</v>
      </c>
    </row>
    <row r="9990" spans="5:5" x14ac:dyDescent="0.25">
      <c r="E9990" t="s">
        <v>9565</v>
      </c>
    </row>
    <row r="9991" spans="5:5" x14ac:dyDescent="0.25">
      <c r="E9991" t="s">
        <v>9566</v>
      </c>
    </row>
    <row r="9992" spans="5:5" x14ac:dyDescent="0.25">
      <c r="E9992" t="s">
        <v>9567</v>
      </c>
    </row>
    <row r="9993" spans="5:5" x14ac:dyDescent="0.25">
      <c r="E9993" t="s">
        <v>9568</v>
      </c>
    </row>
    <row r="9994" spans="5:5" x14ac:dyDescent="0.25">
      <c r="E9994" t="s">
        <v>9569</v>
      </c>
    </row>
    <row r="9995" spans="5:5" x14ac:dyDescent="0.25">
      <c r="E9995" t="s">
        <v>9570</v>
      </c>
    </row>
    <row r="9996" spans="5:5" x14ac:dyDescent="0.25">
      <c r="E9996" t="s">
        <v>9571</v>
      </c>
    </row>
    <row r="9997" spans="5:5" x14ac:dyDescent="0.25">
      <c r="E9997" t="s">
        <v>9572</v>
      </c>
    </row>
    <row r="9998" spans="5:5" x14ac:dyDescent="0.25">
      <c r="E9998" t="s">
        <v>9573</v>
      </c>
    </row>
    <row r="9999" spans="5:5" x14ac:dyDescent="0.25">
      <c r="E9999" t="s">
        <v>9574</v>
      </c>
    </row>
    <row r="10000" spans="5:5" x14ac:dyDescent="0.25">
      <c r="E10000" t="s">
        <v>9575</v>
      </c>
    </row>
    <row r="10001" spans="5:5" x14ac:dyDescent="0.25">
      <c r="E10001" t="s">
        <v>9576</v>
      </c>
    </row>
    <row r="10002" spans="5:5" x14ac:dyDescent="0.25">
      <c r="E10002" t="s">
        <v>9577</v>
      </c>
    </row>
    <row r="10003" spans="5:5" x14ac:dyDescent="0.25">
      <c r="E10003" t="s">
        <v>9578</v>
      </c>
    </row>
    <row r="10004" spans="5:5" x14ac:dyDescent="0.25">
      <c r="E10004" t="s">
        <v>9579</v>
      </c>
    </row>
    <row r="10005" spans="5:5" x14ac:dyDescent="0.25">
      <c r="E10005" t="s">
        <v>9580</v>
      </c>
    </row>
    <row r="10006" spans="5:5" x14ac:dyDescent="0.25">
      <c r="E10006" t="s">
        <v>9581</v>
      </c>
    </row>
    <row r="10007" spans="5:5" x14ac:dyDescent="0.25">
      <c r="E10007" t="s">
        <v>9582</v>
      </c>
    </row>
    <row r="10008" spans="5:5" x14ac:dyDescent="0.25">
      <c r="E10008" t="s">
        <v>9583</v>
      </c>
    </row>
    <row r="10009" spans="5:5" x14ac:dyDescent="0.25">
      <c r="E10009" t="s">
        <v>9584</v>
      </c>
    </row>
    <row r="10010" spans="5:5" x14ac:dyDescent="0.25">
      <c r="E10010" t="s">
        <v>9585</v>
      </c>
    </row>
    <row r="10011" spans="5:5" x14ac:dyDescent="0.25">
      <c r="E10011" t="s">
        <v>9586</v>
      </c>
    </row>
    <row r="10012" spans="5:5" x14ac:dyDescent="0.25">
      <c r="E10012" t="s">
        <v>9587</v>
      </c>
    </row>
    <row r="10013" spans="5:5" x14ac:dyDescent="0.25">
      <c r="E10013" t="s">
        <v>9588</v>
      </c>
    </row>
    <row r="10014" spans="5:5" x14ac:dyDescent="0.25">
      <c r="E10014" t="s">
        <v>9589</v>
      </c>
    </row>
    <row r="10015" spans="5:5" x14ac:dyDescent="0.25">
      <c r="E10015" t="s">
        <v>9590</v>
      </c>
    </row>
    <row r="10016" spans="5:5" x14ac:dyDescent="0.25">
      <c r="E10016" t="s">
        <v>9591</v>
      </c>
    </row>
    <row r="10017" spans="5:5" x14ac:dyDescent="0.25">
      <c r="E10017" t="s">
        <v>9592</v>
      </c>
    </row>
    <row r="10018" spans="5:5" x14ac:dyDescent="0.25">
      <c r="E10018" t="s">
        <v>9593</v>
      </c>
    </row>
    <row r="10019" spans="5:5" x14ac:dyDescent="0.25">
      <c r="E10019" t="s">
        <v>9594</v>
      </c>
    </row>
    <row r="10020" spans="5:5" x14ac:dyDescent="0.25">
      <c r="E10020" t="s">
        <v>9595</v>
      </c>
    </row>
    <row r="10021" spans="5:5" x14ac:dyDescent="0.25">
      <c r="E10021" t="s">
        <v>9596</v>
      </c>
    </row>
    <row r="10022" spans="5:5" x14ac:dyDescent="0.25">
      <c r="E10022" t="s">
        <v>9597</v>
      </c>
    </row>
    <row r="10023" spans="5:5" x14ac:dyDescent="0.25">
      <c r="E10023" t="s">
        <v>9598</v>
      </c>
    </row>
    <row r="10024" spans="5:5" x14ac:dyDescent="0.25">
      <c r="E10024" t="s">
        <v>9599</v>
      </c>
    </row>
    <row r="10025" spans="5:5" x14ac:dyDescent="0.25">
      <c r="E10025" t="s">
        <v>9600</v>
      </c>
    </row>
    <row r="10026" spans="5:5" x14ac:dyDescent="0.25">
      <c r="E10026" t="s">
        <v>9601</v>
      </c>
    </row>
    <row r="10027" spans="5:5" x14ac:dyDescent="0.25">
      <c r="E10027" t="s">
        <v>9602</v>
      </c>
    </row>
    <row r="10028" spans="5:5" x14ac:dyDescent="0.25">
      <c r="E10028" t="s">
        <v>9603</v>
      </c>
    </row>
    <row r="10029" spans="5:5" x14ac:dyDescent="0.25">
      <c r="E10029" t="s">
        <v>9604</v>
      </c>
    </row>
    <row r="10030" spans="5:5" x14ac:dyDescent="0.25">
      <c r="E10030" t="s">
        <v>9605</v>
      </c>
    </row>
    <row r="10031" spans="5:5" x14ac:dyDescent="0.25">
      <c r="E10031" t="s">
        <v>9606</v>
      </c>
    </row>
    <row r="10032" spans="5:5" x14ac:dyDescent="0.25">
      <c r="E10032" t="s">
        <v>9607</v>
      </c>
    </row>
    <row r="10033" spans="5:5" x14ac:dyDescent="0.25">
      <c r="E10033" t="s">
        <v>9608</v>
      </c>
    </row>
    <row r="10034" spans="5:5" x14ac:dyDescent="0.25">
      <c r="E10034" t="s">
        <v>9609</v>
      </c>
    </row>
    <row r="10035" spans="5:5" x14ac:dyDescent="0.25">
      <c r="E10035" t="s">
        <v>9610</v>
      </c>
    </row>
    <row r="10036" spans="5:5" x14ac:dyDescent="0.25">
      <c r="E10036" t="s">
        <v>9611</v>
      </c>
    </row>
    <row r="10037" spans="5:5" x14ac:dyDescent="0.25">
      <c r="E10037" t="s">
        <v>9612</v>
      </c>
    </row>
    <row r="10038" spans="5:5" x14ac:dyDescent="0.25">
      <c r="E10038" t="s">
        <v>9613</v>
      </c>
    </row>
    <row r="10039" spans="5:5" x14ac:dyDescent="0.25">
      <c r="E10039" t="s">
        <v>9614</v>
      </c>
    </row>
    <row r="10040" spans="5:5" x14ac:dyDescent="0.25">
      <c r="E10040" t="s">
        <v>9615</v>
      </c>
    </row>
    <row r="10041" spans="5:5" x14ac:dyDescent="0.25">
      <c r="E10041" t="s">
        <v>9616</v>
      </c>
    </row>
    <row r="10042" spans="5:5" x14ac:dyDescent="0.25">
      <c r="E10042" t="s">
        <v>9617</v>
      </c>
    </row>
    <row r="10043" spans="5:5" x14ac:dyDescent="0.25">
      <c r="E10043" t="s">
        <v>9618</v>
      </c>
    </row>
    <row r="10044" spans="5:5" x14ac:dyDescent="0.25">
      <c r="E10044" t="s">
        <v>9619</v>
      </c>
    </row>
    <row r="10045" spans="5:5" x14ac:dyDescent="0.25">
      <c r="E10045" t="s">
        <v>9620</v>
      </c>
    </row>
    <row r="10046" spans="5:5" x14ac:dyDescent="0.25">
      <c r="E10046" t="s">
        <v>9621</v>
      </c>
    </row>
    <row r="10047" spans="5:5" x14ac:dyDescent="0.25">
      <c r="E10047" t="s">
        <v>9622</v>
      </c>
    </row>
    <row r="10048" spans="5:5" x14ac:dyDescent="0.25">
      <c r="E10048" t="s">
        <v>9623</v>
      </c>
    </row>
    <row r="10049" spans="5:5" x14ac:dyDescent="0.25">
      <c r="E10049" t="s">
        <v>9624</v>
      </c>
    </row>
    <row r="10050" spans="5:5" x14ac:dyDescent="0.25">
      <c r="E10050" t="s">
        <v>9625</v>
      </c>
    </row>
    <row r="10051" spans="5:5" x14ac:dyDescent="0.25">
      <c r="E10051" t="s">
        <v>9626</v>
      </c>
    </row>
    <row r="10052" spans="5:5" x14ac:dyDescent="0.25">
      <c r="E10052" t="s">
        <v>9627</v>
      </c>
    </row>
    <row r="10053" spans="5:5" x14ac:dyDescent="0.25">
      <c r="E10053" t="s">
        <v>9628</v>
      </c>
    </row>
    <row r="10054" spans="5:5" x14ac:dyDescent="0.25">
      <c r="E10054" t="s">
        <v>9629</v>
      </c>
    </row>
    <row r="10055" spans="5:5" x14ac:dyDescent="0.25">
      <c r="E10055" t="s">
        <v>9630</v>
      </c>
    </row>
    <row r="10056" spans="5:5" x14ac:dyDescent="0.25">
      <c r="E10056" t="s">
        <v>9631</v>
      </c>
    </row>
    <row r="10057" spans="5:5" x14ac:dyDescent="0.25">
      <c r="E10057" t="s">
        <v>9632</v>
      </c>
    </row>
    <row r="10058" spans="5:5" x14ac:dyDescent="0.25">
      <c r="E10058" t="s">
        <v>9633</v>
      </c>
    </row>
    <row r="10059" spans="5:5" x14ac:dyDescent="0.25">
      <c r="E10059" t="s">
        <v>9634</v>
      </c>
    </row>
    <row r="10060" spans="5:5" x14ac:dyDescent="0.25">
      <c r="E10060" t="s">
        <v>9635</v>
      </c>
    </row>
    <row r="10061" spans="5:5" x14ac:dyDescent="0.25">
      <c r="E10061" t="s">
        <v>9636</v>
      </c>
    </row>
    <row r="10062" spans="5:5" x14ac:dyDescent="0.25">
      <c r="E10062" t="s">
        <v>9637</v>
      </c>
    </row>
    <row r="10063" spans="5:5" x14ac:dyDescent="0.25">
      <c r="E10063" t="s">
        <v>9638</v>
      </c>
    </row>
    <row r="10064" spans="5:5" x14ac:dyDescent="0.25">
      <c r="E10064" t="s">
        <v>9639</v>
      </c>
    </row>
    <row r="10065" spans="5:5" x14ac:dyDescent="0.25">
      <c r="E10065" t="s">
        <v>9640</v>
      </c>
    </row>
    <row r="10066" spans="5:5" x14ac:dyDescent="0.25">
      <c r="E10066" t="s">
        <v>9641</v>
      </c>
    </row>
    <row r="10067" spans="5:5" x14ac:dyDescent="0.25">
      <c r="E10067" t="s">
        <v>9642</v>
      </c>
    </row>
    <row r="10068" spans="5:5" x14ac:dyDescent="0.25">
      <c r="E10068" t="s">
        <v>9643</v>
      </c>
    </row>
    <row r="10069" spans="5:5" x14ac:dyDescent="0.25">
      <c r="E10069" t="s">
        <v>9644</v>
      </c>
    </row>
    <row r="10070" spans="5:5" x14ac:dyDescent="0.25">
      <c r="E10070" t="s">
        <v>9645</v>
      </c>
    </row>
    <row r="10071" spans="5:5" x14ac:dyDescent="0.25">
      <c r="E10071" t="s">
        <v>9646</v>
      </c>
    </row>
    <row r="10072" spans="5:5" x14ac:dyDescent="0.25">
      <c r="E10072" t="s">
        <v>9647</v>
      </c>
    </row>
    <row r="10073" spans="5:5" x14ac:dyDescent="0.25">
      <c r="E10073" t="s">
        <v>9648</v>
      </c>
    </row>
    <row r="10074" spans="5:5" x14ac:dyDescent="0.25">
      <c r="E10074" t="s">
        <v>9649</v>
      </c>
    </row>
    <row r="10075" spans="5:5" x14ac:dyDescent="0.25">
      <c r="E10075" t="s">
        <v>9650</v>
      </c>
    </row>
    <row r="10076" spans="5:5" x14ac:dyDescent="0.25">
      <c r="E10076" t="s">
        <v>9651</v>
      </c>
    </row>
    <row r="10077" spans="5:5" x14ac:dyDescent="0.25">
      <c r="E10077" t="s">
        <v>9652</v>
      </c>
    </row>
    <row r="10078" spans="5:5" x14ac:dyDescent="0.25">
      <c r="E10078" t="s">
        <v>9653</v>
      </c>
    </row>
    <row r="10079" spans="5:5" x14ac:dyDescent="0.25">
      <c r="E10079" t="s">
        <v>9654</v>
      </c>
    </row>
    <row r="10080" spans="5:5" x14ac:dyDescent="0.25">
      <c r="E10080" t="s">
        <v>9655</v>
      </c>
    </row>
    <row r="10081" spans="5:5" x14ac:dyDescent="0.25">
      <c r="E10081" t="s">
        <v>9656</v>
      </c>
    </row>
    <row r="10082" spans="5:5" x14ac:dyDescent="0.25">
      <c r="E10082" t="s">
        <v>9657</v>
      </c>
    </row>
    <row r="10083" spans="5:5" x14ac:dyDescent="0.25">
      <c r="E10083" t="s">
        <v>9658</v>
      </c>
    </row>
    <row r="10084" spans="5:5" x14ac:dyDescent="0.25">
      <c r="E10084" t="s">
        <v>9659</v>
      </c>
    </row>
    <row r="10085" spans="5:5" x14ac:dyDescent="0.25">
      <c r="E10085" t="s">
        <v>9660</v>
      </c>
    </row>
    <row r="10086" spans="5:5" x14ac:dyDescent="0.25">
      <c r="E10086" t="s">
        <v>9661</v>
      </c>
    </row>
    <row r="10087" spans="5:5" x14ac:dyDescent="0.25">
      <c r="E10087" t="s">
        <v>9662</v>
      </c>
    </row>
    <row r="10088" spans="5:5" x14ac:dyDescent="0.25">
      <c r="E10088" t="s">
        <v>9663</v>
      </c>
    </row>
    <row r="10089" spans="5:5" x14ac:dyDescent="0.25">
      <c r="E10089" t="s">
        <v>9664</v>
      </c>
    </row>
    <row r="10090" spans="5:5" x14ac:dyDescent="0.25">
      <c r="E10090" t="s">
        <v>9665</v>
      </c>
    </row>
    <row r="10091" spans="5:5" x14ac:dyDescent="0.25">
      <c r="E10091" t="s">
        <v>9666</v>
      </c>
    </row>
    <row r="10092" spans="5:5" x14ac:dyDescent="0.25">
      <c r="E10092" t="s">
        <v>9667</v>
      </c>
    </row>
    <row r="10093" spans="5:5" x14ac:dyDescent="0.25">
      <c r="E10093" t="s">
        <v>9668</v>
      </c>
    </row>
    <row r="10094" spans="5:5" x14ac:dyDescent="0.25">
      <c r="E10094" t="s">
        <v>9669</v>
      </c>
    </row>
    <row r="10095" spans="5:5" x14ac:dyDescent="0.25">
      <c r="E10095" t="s">
        <v>9670</v>
      </c>
    </row>
    <row r="10096" spans="5:5" x14ac:dyDescent="0.25">
      <c r="E10096" t="s">
        <v>9671</v>
      </c>
    </row>
    <row r="10097" spans="5:5" x14ac:dyDescent="0.25">
      <c r="E10097" t="s">
        <v>9672</v>
      </c>
    </row>
    <row r="10098" spans="5:5" x14ac:dyDescent="0.25">
      <c r="E10098" t="s">
        <v>9673</v>
      </c>
    </row>
    <row r="10099" spans="5:5" x14ac:dyDescent="0.25">
      <c r="E10099" t="s">
        <v>9674</v>
      </c>
    </row>
    <row r="10100" spans="5:5" x14ac:dyDescent="0.25">
      <c r="E10100" t="s">
        <v>9675</v>
      </c>
    </row>
    <row r="10101" spans="5:5" x14ac:dyDescent="0.25">
      <c r="E10101" t="s">
        <v>9676</v>
      </c>
    </row>
    <row r="10102" spans="5:5" x14ac:dyDescent="0.25">
      <c r="E10102" t="s">
        <v>9677</v>
      </c>
    </row>
    <row r="10103" spans="5:5" x14ac:dyDescent="0.25">
      <c r="E10103" t="s">
        <v>9678</v>
      </c>
    </row>
    <row r="10104" spans="5:5" x14ac:dyDescent="0.25">
      <c r="E10104" t="s">
        <v>9679</v>
      </c>
    </row>
    <row r="10105" spans="5:5" x14ac:dyDescent="0.25">
      <c r="E10105" t="s">
        <v>9680</v>
      </c>
    </row>
    <row r="10106" spans="5:5" x14ac:dyDescent="0.25">
      <c r="E10106" t="s">
        <v>9681</v>
      </c>
    </row>
    <row r="10107" spans="5:5" x14ac:dyDescent="0.25">
      <c r="E10107" t="s">
        <v>9682</v>
      </c>
    </row>
    <row r="10108" spans="5:5" x14ac:dyDescent="0.25">
      <c r="E10108" t="s">
        <v>9683</v>
      </c>
    </row>
    <row r="10109" spans="5:5" x14ac:dyDescent="0.25">
      <c r="E10109" t="s">
        <v>9684</v>
      </c>
    </row>
    <row r="10110" spans="5:5" x14ac:dyDescent="0.25">
      <c r="E10110" t="s">
        <v>9685</v>
      </c>
    </row>
    <row r="10111" spans="5:5" x14ac:dyDescent="0.25">
      <c r="E10111" t="s">
        <v>9686</v>
      </c>
    </row>
    <row r="10112" spans="5:5" x14ac:dyDescent="0.25">
      <c r="E10112" t="s">
        <v>9687</v>
      </c>
    </row>
    <row r="10113" spans="5:5" x14ac:dyDescent="0.25">
      <c r="E10113" t="s">
        <v>9688</v>
      </c>
    </row>
    <row r="10114" spans="5:5" x14ac:dyDescent="0.25">
      <c r="E10114" t="s">
        <v>9689</v>
      </c>
    </row>
    <row r="10115" spans="5:5" x14ac:dyDescent="0.25">
      <c r="E10115" t="s">
        <v>9690</v>
      </c>
    </row>
    <row r="10116" spans="5:5" x14ac:dyDescent="0.25">
      <c r="E10116" t="s">
        <v>9691</v>
      </c>
    </row>
    <row r="10117" spans="5:5" x14ac:dyDescent="0.25">
      <c r="E10117" t="s">
        <v>9692</v>
      </c>
    </row>
    <row r="10118" spans="5:5" x14ac:dyDescent="0.25">
      <c r="E10118" t="s">
        <v>9693</v>
      </c>
    </row>
    <row r="10119" spans="5:5" x14ac:dyDescent="0.25">
      <c r="E10119" t="s">
        <v>9694</v>
      </c>
    </row>
    <row r="10120" spans="5:5" x14ac:dyDescent="0.25">
      <c r="E10120" t="s">
        <v>9695</v>
      </c>
    </row>
    <row r="10121" spans="5:5" x14ac:dyDescent="0.25">
      <c r="E10121" t="s">
        <v>9696</v>
      </c>
    </row>
    <row r="10122" spans="5:5" x14ac:dyDescent="0.25">
      <c r="E10122" t="s">
        <v>9697</v>
      </c>
    </row>
    <row r="10123" spans="5:5" x14ac:dyDescent="0.25">
      <c r="E10123" t="s">
        <v>9698</v>
      </c>
    </row>
    <row r="10124" spans="5:5" x14ac:dyDescent="0.25">
      <c r="E10124" t="s">
        <v>9699</v>
      </c>
    </row>
    <row r="10125" spans="5:5" x14ac:dyDescent="0.25">
      <c r="E10125" t="s">
        <v>9700</v>
      </c>
    </row>
    <row r="10126" spans="5:5" x14ac:dyDescent="0.25">
      <c r="E10126" t="s">
        <v>9701</v>
      </c>
    </row>
    <row r="10127" spans="5:5" x14ac:dyDescent="0.25">
      <c r="E10127" t="s">
        <v>9702</v>
      </c>
    </row>
    <row r="10128" spans="5:5" x14ac:dyDescent="0.25">
      <c r="E10128" t="s">
        <v>9703</v>
      </c>
    </row>
    <row r="10129" spans="5:5" x14ac:dyDescent="0.25">
      <c r="E10129" t="s">
        <v>9704</v>
      </c>
    </row>
    <row r="10130" spans="5:5" x14ac:dyDescent="0.25">
      <c r="E10130" t="s">
        <v>9705</v>
      </c>
    </row>
    <row r="10131" spans="5:5" x14ac:dyDescent="0.25">
      <c r="E10131" t="s">
        <v>9706</v>
      </c>
    </row>
    <row r="10132" spans="5:5" x14ac:dyDescent="0.25">
      <c r="E10132" t="s">
        <v>9707</v>
      </c>
    </row>
    <row r="10133" spans="5:5" x14ac:dyDescent="0.25">
      <c r="E10133" t="s">
        <v>9708</v>
      </c>
    </row>
    <row r="10134" spans="5:5" x14ac:dyDescent="0.25">
      <c r="E10134" t="s">
        <v>9709</v>
      </c>
    </row>
    <row r="10135" spans="5:5" x14ac:dyDescent="0.25">
      <c r="E10135" t="s">
        <v>9710</v>
      </c>
    </row>
    <row r="10136" spans="5:5" x14ac:dyDescent="0.25">
      <c r="E10136" t="s">
        <v>9711</v>
      </c>
    </row>
    <row r="10137" spans="5:5" x14ac:dyDescent="0.25">
      <c r="E10137" t="s">
        <v>9712</v>
      </c>
    </row>
    <row r="10138" spans="5:5" x14ac:dyDescent="0.25">
      <c r="E10138" t="s">
        <v>9713</v>
      </c>
    </row>
    <row r="10139" spans="5:5" x14ac:dyDescent="0.25">
      <c r="E10139" t="s">
        <v>9714</v>
      </c>
    </row>
    <row r="10140" spans="5:5" x14ac:dyDescent="0.25">
      <c r="E10140" t="s">
        <v>9715</v>
      </c>
    </row>
    <row r="10141" spans="5:5" x14ac:dyDescent="0.25">
      <c r="E10141" t="s">
        <v>9716</v>
      </c>
    </row>
    <row r="10142" spans="5:5" x14ac:dyDescent="0.25">
      <c r="E10142" t="s">
        <v>9717</v>
      </c>
    </row>
    <row r="10143" spans="5:5" x14ac:dyDescent="0.25">
      <c r="E10143" t="s">
        <v>9718</v>
      </c>
    </row>
    <row r="10144" spans="5:5" x14ac:dyDescent="0.25">
      <c r="E10144" t="s">
        <v>9719</v>
      </c>
    </row>
    <row r="10145" spans="5:5" x14ac:dyDescent="0.25">
      <c r="E10145" t="s">
        <v>9720</v>
      </c>
    </row>
    <row r="10146" spans="5:5" x14ac:dyDescent="0.25">
      <c r="E10146" t="s">
        <v>9721</v>
      </c>
    </row>
    <row r="10147" spans="5:5" x14ac:dyDescent="0.25">
      <c r="E10147" t="s">
        <v>9722</v>
      </c>
    </row>
    <row r="10148" spans="5:5" x14ac:dyDescent="0.25">
      <c r="E10148" t="s">
        <v>9723</v>
      </c>
    </row>
    <row r="10149" spans="5:5" x14ac:dyDescent="0.25">
      <c r="E10149" t="s">
        <v>9724</v>
      </c>
    </row>
    <row r="10150" spans="5:5" x14ac:dyDescent="0.25">
      <c r="E10150" t="s">
        <v>9725</v>
      </c>
    </row>
    <row r="10151" spans="5:5" x14ac:dyDescent="0.25">
      <c r="E10151" t="s">
        <v>9726</v>
      </c>
    </row>
    <row r="10152" spans="5:5" x14ac:dyDescent="0.25">
      <c r="E10152" t="s">
        <v>9727</v>
      </c>
    </row>
    <row r="10153" spans="5:5" x14ac:dyDescent="0.25">
      <c r="E10153" t="s">
        <v>9728</v>
      </c>
    </row>
    <row r="10154" spans="5:5" x14ac:dyDescent="0.25">
      <c r="E10154" t="s">
        <v>9729</v>
      </c>
    </row>
    <row r="10155" spans="5:5" x14ac:dyDescent="0.25">
      <c r="E10155" t="s">
        <v>9730</v>
      </c>
    </row>
    <row r="10156" spans="5:5" x14ac:dyDescent="0.25">
      <c r="E10156" t="s">
        <v>9731</v>
      </c>
    </row>
    <row r="10157" spans="5:5" x14ac:dyDescent="0.25">
      <c r="E10157" t="s">
        <v>9732</v>
      </c>
    </row>
    <row r="10158" spans="5:5" x14ac:dyDescent="0.25">
      <c r="E10158" t="s">
        <v>9733</v>
      </c>
    </row>
    <row r="10159" spans="5:5" x14ac:dyDescent="0.25">
      <c r="E10159" t="s">
        <v>9734</v>
      </c>
    </row>
    <row r="10160" spans="5:5" x14ac:dyDescent="0.25">
      <c r="E10160" t="s">
        <v>9735</v>
      </c>
    </row>
    <row r="10161" spans="5:5" x14ac:dyDescent="0.25">
      <c r="E10161" t="s">
        <v>9736</v>
      </c>
    </row>
    <row r="10162" spans="5:5" x14ac:dyDescent="0.25">
      <c r="E10162" t="s">
        <v>9737</v>
      </c>
    </row>
    <row r="10163" spans="5:5" x14ac:dyDescent="0.25">
      <c r="E10163" t="s">
        <v>9738</v>
      </c>
    </row>
    <row r="10164" spans="5:5" x14ac:dyDescent="0.25">
      <c r="E10164" t="s">
        <v>9739</v>
      </c>
    </row>
    <row r="10165" spans="5:5" x14ac:dyDescent="0.25">
      <c r="E10165" t="s">
        <v>9740</v>
      </c>
    </row>
    <row r="10166" spans="5:5" x14ac:dyDescent="0.25">
      <c r="E10166" t="s">
        <v>9741</v>
      </c>
    </row>
    <row r="10167" spans="5:5" x14ac:dyDescent="0.25">
      <c r="E10167" t="s">
        <v>9742</v>
      </c>
    </row>
    <row r="10168" spans="5:5" x14ac:dyDescent="0.25">
      <c r="E10168" t="s">
        <v>9743</v>
      </c>
    </row>
    <row r="10169" spans="5:5" x14ac:dyDescent="0.25">
      <c r="E10169" t="s">
        <v>9744</v>
      </c>
    </row>
    <row r="10170" spans="5:5" x14ac:dyDescent="0.25">
      <c r="E10170" t="s">
        <v>9745</v>
      </c>
    </row>
    <row r="10171" spans="5:5" x14ac:dyDescent="0.25">
      <c r="E10171" t="s">
        <v>9746</v>
      </c>
    </row>
    <row r="10172" spans="5:5" x14ac:dyDescent="0.25">
      <c r="E10172" t="s">
        <v>9747</v>
      </c>
    </row>
    <row r="10173" spans="5:5" x14ac:dyDescent="0.25">
      <c r="E10173" t="s">
        <v>9748</v>
      </c>
    </row>
    <row r="10174" spans="5:5" x14ac:dyDescent="0.25">
      <c r="E10174" t="s">
        <v>9749</v>
      </c>
    </row>
    <row r="10175" spans="5:5" x14ac:dyDescent="0.25">
      <c r="E10175" t="s">
        <v>9750</v>
      </c>
    </row>
    <row r="10176" spans="5:5" x14ac:dyDescent="0.25">
      <c r="E10176" t="s">
        <v>9751</v>
      </c>
    </row>
    <row r="10177" spans="5:5" x14ac:dyDescent="0.25">
      <c r="E10177" t="s">
        <v>9752</v>
      </c>
    </row>
    <row r="10178" spans="5:5" x14ac:dyDescent="0.25">
      <c r="E10178" t="s">
        <v>9753</v>
      </c>
    </row>
    <row r="10179" spans="5:5" x14ac:dyDescent="0.25">
      <c r="E10179" t="s">
        <v>9754</v>
      </c>
    </row>
    <row r="10180" spans="5:5" x14ac:dyDescent="0.25">
      <c r="E10180" t="s">
        <v>9755</v>
      </c>
    </row>
    <row r="10181" spans="5:5" x14ac:dyDescent="0.25">
      <c r="E10181" t="s">
        <v>9756</v>
      </c>
    </row>
    <row r="10182" spans="5:5" x14ac:dyDescent="0.25">
      <c r="E10182" t="s">
        <v>9757</v>
      </c>
    </row>
    <row r="10183" spans="5:5" x14ac:dyDescent="0.25">
      <c r="E10183" t="s">
        <v>9758</v>
      </c>
    </row>
    <row r="10184" spans="5:5" x14ac:dyDescent="0.25">
      <c r="E10184" t="s">
        <v>9759</v>
      </c>
    </row>
    <row r="10185" spans="5:5" x14ac:dyDescent="0.25">
      <c r="E10185" t="s">
        <v>9760</v>
      </c>
    </row>
    <row r="10186" spans="5:5" x14ac:dyDescent="0.25">
      <c r="E10186" t="s">
        <v>9761</v>
      </c>
    </row>
    <row r="10187" spans="5:5" x14ac:dyDescent="0.25">
      <c r="E10187" t="s">
        <v>9762</v>
      </c>
    </row>
    <row r="10188" spans="5:5" x14ac:dyDescent="0.25">
      <c r="E10188" t="s">
        <v>9763</v>
      </c>
    </row>
    <row r="10189" spans="5:5" x14ac:dyDescent="0.25">
      <c r="E10189" t="s">
        <v>9764</v>
      </c>
    </row>
    <row r="10190" spans="5:5" x14ac:dyDescent="0.25">
      <c r="E10190" t="s">
        <v>9765</v>
      </c>
    </row>
    <row r="10191" spans="5:5" x14ac:dyDescent="0.25">
      <c r="E10191" t="s">
        <v>9766</v>
      </c>
    </row>
    <row r="10192" spans="5:5" x14ac:dyDescent="0.25">
      <c r="E10192" t="s">
        <v>9767</v>
      </c>
    </row>
    <row r="10193" spans="5:5" x14ac:dyDescent="0.25">
      <c r="E10193" t="s">
        <v>9768</v>
      </c>
    </row>
    <row r="10194" spans="5:5" x14ac:dyDescent="0.25">
      <c r="E10194" t="s">
        <v>9769</v>
      </c>
    </row>
    <row r="10195" spans="5:5" x14ac:dyDescent="0.25">
      <c r="E10195" t="s">
        <v>9770</v>
      </c>
    </row>
    <row r="10196" spans="5:5" x14ac:dyDescent="0.25">
      <c r="E10196" t="s">
        <v>9771</v>
      </c>
    </row>
    <row r="10197" spans="5:5" x14ac:dyDescent="0.25">
      <c r="E10197" t="s">
        <v>9772</v>
      </c>
    </row>
    <row r="10198" spans="5:5" x14ac:dyDescent="0.25">
      <c r="E10198" t="s">
        <v>9773</v>
      </c>
    </row>
    <row r="10199" spans="5:5" x14ac:dyDescent="0.25">
      <c r="E10199" t="s">
        <v>9774</v>
      </c>
    </row>
    <row r="10200" spans="5:5" x14ac:dyDescent="0.25">
      <c r="E10200" t="s">
        <v>9775</v>
      </c>
    </row>
    <row r="10201" spans="5:5" x14ac:dyDescent="0.25">
      <c r="E10201" t="s">
        <v>9776</v>
      </c>
    </row>
    <row r="10202" spans="5:5" x14ac:dyDescent="0.25">
      <c r="E10202" t="s">
        <v>9777</v>
      </c>
    </row>
    <row r="10203" spans="5:5" x14ac:dyDescent="0.25">
      <c r="E10203" t="s">
        <v>9778</v>
      </c>
    </row>
    <row r="10204" spans="5:5" x14ac:dyDescent="0.25">
      <c r="E10204" t="s">
        <v>9779</v>
      </c>
    </row>
    <row r="10205" spans="5:5" x14ac:dyDescent="0.25">
      <c r="E10205" t="s">
        <v>9780</v>
      </c>
    </row>
    <row r="10206" spans="5:5" x14ac:dyDescent="0.25">
      <c r="E10206" t="s">
        <v>9781</v>
      </c>
    </row>
    <row r="10207" spans="5:5" x14ac:dyDescent="0.25">
      <c r="E10207" t="s">
        <v>9782</v>
      </c>
    </row>
    <row r="10208" spans="5:5" x14ac:dyDescent="0.25">
      <c r="E10208" t="s">
        <v>9783</v>
      </c>
    </row>
    <row r="10209" spans="5:5" x14ac:dyDescent="0.25">
      <c r="E10209" t="s">
        <v>9784</v>
      </c>
    </row>
    <row r="10210" spans="5:5" x14ac:dyDescent="0.25">
      <c r="E10210" t="s">
        <v>9785</v>
      </c>
    </row>
    <row r="10211" spans="5:5" x14ac:dyDescent="0.25">
      <c r="E10211" t="s">
        <v>9786</v>
      </c>
    </row>
    <row r="10212" spans="5:5" x14ac:dyDescent="0.25">
      <c r="E10212" t="s">
        <v>9787</v>
      </c>
    </row>
    <row r="10213" spans="5:5" x14ac:dyDescent="0.25">
      <c r="E10213" t="s">
        <v>9788</v>
      </c>
    </row>
    <row r="10214" spans="5:5" x14ac:dyDescent="0.25">
      <c r="E10214" t="s">
        <v>9789</v>
      </c>
    </row>
    <row r="10215" spans="5:5" x14ac:dyDescent="0.25">
      <c r="E10215" t="s">
        <v>9790</v>
      </c>
    </row>
    <row r="10216" spans="5:5" x14ac:dyDescent="0.25">
      <c r="E10216" t="s">
        <v>9791</v>
      </c>
    </row>
    <row r="10217" spans="5:5" x14ac:dyDescent="0.25">
      <c r="E10217" t="s">
        <v>9792</v>
      </c>
    </row>
    <row r="10218" spans="5:5" x14ac:dyDescent="0.25">
      <c r="E10218" t="s">
        <v>9793</v>
      </c>
    </row>
    <row r="10219" spans="5:5" x14ac:dyDescent="0.25">
      <c r="E10219" t="s">
        <v>9794</v>
      </c>
    </row>
    <row r="10220" spans="5:5" x14ac:dyDescent="0.25">
      <c r="E10220" t="s">
        <v>9795</v>
      </c>
    </row>
    <row r="10221" spans="5:5" x14ac:dyDescent="0.25">
      <c r="E10221" t="s">
        <v>9796</v>
      </c>
    </row>
    <row r="10222" spans="5:5" x14ac:dyDescent="0.25">
      <c r="E10222" t="s">
        <v>9797</v>
      </c>
    </row>
    <row r="10223" spans="5:5" x14ac:dyDescent="0.25">
      <c r="E10223" t="s">
        <v>9798</v>
      </c>
    </row>
    <row r="10224" spans="5:5" x14ac:dyDescent="0.25">
      <c r="E10224" t="s">
        <v>9799</v>
      </c>
    </row>
    <row r="10225" spans="5:5" x14ac:dyDescent="0.25">
      <c r="E10225" t="s">
        <v>9800</v>
      </c>
    </row>
    <row r="10226" spans="5:5" x14ac:dyDescent="0.25">
      <c r="E10226" t="s">
        <v>9801</v>
      </c>
    </row>
    <row r="10227" spans="5:5" x14ac:dyDescent="0.25">
      <c r="E10227" t="s">
        <v>9802</v>
      </c>
    </row>
    <row r="10228" spans="5:5" x14ac:dyDescent="0.25">
      <c r="E10228" t="s">
        <v>9803</v>
      </c>
    </row>
    <row r="10229" spans="5:5" x14ac:dyDescent="0.25">
      <c r="E10229" t="s">
        <v>9804</v>
      </c>
    </row>
    <row r="10230" spans="5:5" x14ac:dyDescent="0.25">
      <c r="E10230" t="s">
        <v>9805</v>
      </c>
    </row>
    <row r="10231" spans="5:5" x14ac:dyDescent="0.25">
      <c r="E10231" t="s">
        <v>9806</v>
      </c>
    </row>
    <row r="10232" spans="5:5" x14ac:dyDescent="0.25">
      <c r="E10232" t="s">
        <v>9807</v>
      </c>
    </row>
    <row r="10233" spans="5:5" x14ac:dyDescent="0.25">
      <c r="E10233" t="s">
        <v>9808</v>
      </c>
    </row>
    <row r="10234" spans="5:5" x14ac:dyDescent="0.25">
      <c r="E10234" t="s">
        <v>9809</v>
      </c>
    </row>
    <row r="10235" spans="5:5" x14ac:dyDescent="0.25">
      <c r="E10235" t="s">
        <v>9810</v>
      </c>
    </row>
    <row r="10236" spans="5:5" x14ac:dyDescent="0.25">
      <c r="E10236" t="s">
        <v>9811</v>
      </c>
    </row>
    <row r="10237" spans="5:5" x14ac:dyDescent="0.25">
      <c r="E10237" t="s">
        <v>9812</v>
      </c>
    </row>
    <row r="10238" spans="5:5" x14ac:dyDescent="0.25">
      <c r="E10238" t="s">
        <v>9813</v>
      </c>
    </row>
    <row r="10239" spans="5:5" x14ac:dyDescent="0.25">
      <c r="E10239" t="s">
        <v>9814</v>
      </c>
    </row>
    <row r="10240" spans="5:5" x14ac:dyDescent="0.25">
      <c r="E10240" t="s">
        <v>9815</v>
      </c>
    </row>
    <row r="10241" spans="5:5" x14ac:dyDescent="0.25">
      <c r="E10241" t="s">
        <v>9816</v>
      </c>
    </row>
    <row r="10242" spans="5:5" x14ac:dyDescent="0.25">
      <c r="E10242" t="s">
        <v>9817</v>
      </c>
    </row>
    <row r="10243" spans="5:5" x14ac:dyDescent="0.25">
      <c r="E10243" t="s">
        <v>9818</v>
      </c>
    </row>
    <row r="10244" spans="5:5" x14ac:dyDescent="0.25">
      <c r="E10244" t="s">
        <v>9819</v>
      </c>
    </row>
    <row r="10245" spans="5:5" x14ac:dyDescent="0.25">
      <c r="E10245" t="s">
        <v>9820</v>
      </c>
    </row>
    <row r="10246" spans="5:5" x14ac:dyDescent="0.25">
      <c r="E10246" t="s">
        <v>9821</v>
      </c>
    </row>
    <row r="10247" spans="5:5" x14ac:dyDescent="0.25">
      <c r="E10247" t="s">
        <v>9822</v>
      </c>
    </row>
    <row r="10248" spans="5:5" x14ac:dyDescent="0.25">
      <c r="E10248" t="s">
        <v>9823</v>
      </c>
    </row>
    <row r="10249" spans="5:5" x14ac:dyDescent="0.25">
      <c r="E10249" t="s">
        <v>9824</v>
      </c>
    </row>
    <row r="10250" spans="5:5" x14ac:dyDescent="0.25">
      <c r="E10250" t="s">
        <v>9825</v>
      </c>
    </row>
    <row r="10251" spans="5:5" x14ac:dyDescent="0.25">
      <c r="E10251" t="s">
        <v>9826</v>
      </c>
    </row>
    <row r="10252" spans="5:5" x14ac:dyDescent="0.25">
      <c r="E10252" t="s">
        <v>9827</v>
      </c>
    </row>
    <row r="10253" spans="5:5" x14ac:dyDescent="0.25">
      <c r="E10253" t="s">
        <v>9828</v>
      </c>
    </row>
    <row r="10254" spans="5:5" x14ac:dyDescent="0.25">
      <c r="E10254" t="s">
        <v>9829</v>
      </c>
    </row>
    <row r="10255" spans="5:5" x14ac:dyDescent="0.25">
      <c r="E10255" t="s">
        <v>9830</v>
      </c>
    </row>
    <row r="10256" spans="5:5" x14ac:dyDescent="0.25">
      <c r="E10256" t="s">
        <v>9831</v>
      </c>
    </row>
    <row r="10257" spans="5:5" x14ac:dyDescent="0.25">
      <c r="E10257" t="s">
        <v>9832</v>
      </c>
    </row>
    <row r="10258" spans="5:5" x14ac:dyDescent="0.25">
      <c r="E10258" t="s">
        <v>9833</v>
      </c>
    </row>
    <row r="10259" spans="5:5" x14ac:dyDescent="0.25">
      <c r="E10259" t="s">
        <v>9834</v>
      </c>
    </row>
    <row r="10260" spans="5:5" x14ac:dyDescent="0.25">
      <c r="E10260" t="s">
        <v>9835</v>
      </c>
    </row>
    <row r="10261" spans="5:5" x14ac:dyDescent="0.25">
      <c r="E10261" t="s">
        <v>9836</v>
      </c>
    </row>
    <row r="10262" spans="5:5" x14ac:dyDescent="0.25">
      <c r="E10262" t="s">
        <v>9837</v>
      </c>
    </row>
    <row r="10263" spans="5:5" x14ac:dyDescent="0.25">
      <c r="E10263" t="s">
        <v>9838</v>
      </c>
    </row>
    <row r="10264" spans="5:5" x14ac:dyDescent="0.25">
      <c r="E10264" t="s">
        <v>9839</v>
      </c>
    </row>
    <row r="10265" spans="5:5" x14ac:dyDescent="0.25">
      <c r="E10265" t="s">
        <v>9840</v>
      </c>
    </row>
    <row r="10266" spans="5:5" x14ac:dyDescent="0.25">
      <c r="E10266" t="s">
        <v>9841</v>
      </c>
    </row>
    <row r="10267" spans="5:5" x14ac:dyDescent="0.25">
      <c r="E10267" t="s">
        <v>9842</v>
      </c>
    </row>
    <row r="10268" spans="5:5" x14ac:dyDescent="0.25">
      <c r="E10268" t="s">
        <v>9843</v>
      </c>
    </row>
    <row r="10269" spans="5:5" x14ac:dyDescent="0.25">
      <c r="E10269" t="s">
        <v>9844</v>
      </c>
    </row>
    <row r="10270" spans="5:5" x14ac:dyDescent="0.25">
      <c r="E10270" t="s">
        <v>9845</v>
      </c>
    </row>
    <row r="10271" spans="5:5" x14ac:dyDescent="0.25">
      <c r="E10271" t="s">
        <v>9846</v>
      </c>
    </row>
    <row r="10272" spans="5:5" x14ac:dyDescent="0.25">
      <c r="E10272" t="s">
        <v>9847</v>
      </c>
    </row>
    <row r="10273" spans="5:5" x14ac:dyDescent="0.25">
      <c r="E10273" t="s">
        <v>9848</v>
      </c>
    </row>
    <row r="10274" spans="5:5" x14ac:dyDescent="0.25">
      <c r="E10274" t="s">
        <v>9849</v>
      </c>
    </row>
    <row r="10275" spans="5:5" x14ac:dyDescent="0.25">
      <c r="E10275" t="s">
        <v>9850</v>
      </c>
    </row>
    <row r="10276" spans="5:5" x14ac:dyDescent="0.25">
      <c r="E10276" t="s">
        <v>9851</v>
      </c>
    </row>
    <row r="10277" spans="5:5" x14ac:dyDescent="0.25">
      <c r="E10277" t="s">
        <v>9852</v>
      </c>
    </row>
    <row r="10278" spans="5:5" x14ac:dyDescent="0.25">
      <c r="E10278" t="s">
        <v>9853</v>
      </c>
    </row>
    <row r="10279" spans="5:5" x14ac:dyDescent="0.25">
      <c r="E10279" t="s">
        <v>9854</v>
      </c>
    </row>
    <row r="10280" spans="5:5" x14ac:dyDescent="0.25">
      <c r="E10280" t="s">
        <v>9855</v>
      </c>
    </row>
    <row r="10281" spans="5:5" x14ac:dyDescent="0.25">
      <c r="E10281" t="s">
        <v>9856</v>
      </c>
    </row>
    <row r="10282" spans="5:5" x14ac:dyDescent="0.25">
      <c r="E10282" t="s">
        <v>9857</v>
      </c>
    </row>
    <row r="10283" spans="5:5" x14ac:dyDescent="0.25">
      <c r="E10283" t="s">
        <v>9858</v>
      </c>
    </row>
    <row r="10284" spans="5:5" x14ac:dyDescent="0.25">
      <c r="E10284" t="s">
        <v>9859</v>
      </c>
    </row>
    <row r="10285" spans="5:5" x14ac:dyDescent="0.25">
      <c r="E10285" t="s">
        <v>9860</v>
      </c>
    </row>
    <row r="10286" spans="5:5" x14ac:dyDescent="0.25">
      <c r="E10286" t="s">
        <v>9861</v>
      </c>
    </row>
    <row r="10287" spans="5:5" x14ac:dyDescent="0.25">
      <c r="E10287" t="s">
        <v>9862</v>
      </c>
    </row>
    <row r="10288" spans="5:5" x14ac:dyDescent="0.25">
      <c r="E10288" t="s">
        <v>9863</v>
      </c>
    </row>
    <row r="10289" spans="5:5" x14ac:dyDescent="0.25">
      <c r="E10289" t="s">
        <v>9864</v>
      </c>
    </row>
    <row r="10290" spans="5:5" x14ac:dyDescent="0.25">
      <c r="E10290" t="s">
        <v>9865</v>
      </c>
    </row>
    <row r="10291" spans="5:5" x14ac:dyDescent="0.25">
      <c r="E10291" t="s">
        <v>9866</v>
      </c>
    </row>
    <row r="10292" spans="5:5" x14ac:dyDescent="0.25">
      <c r="E10292" t="s">
        <v>9867</v>
      </c>
    </row>
    <row r="10293" spans="5:5" x14ac:dyDescent="0.25">
      <c r="E10293" t="s">
        <v>9868</v>
      </c>
    </row>
    <row r="10294" spans="5:5" x14ac:dyDescent="0.25">
      <c r="E10294" t="s">
        <v>9869</v>
      </c>
    </row>
    <row r="10295" spans="5:5" x14ac:dyDescent="0.25">
      <c r="E10295" t="s">
        <v>9870</v>
      </c>
    </row>
    <row r="10296" spans="5:5" x14ac:dyDescent="0.25">
      <c r="E10296" t="s">
        <v>9871</v>
      </c>
    </row>
    <row r="10297" spans="5:5" x14ac:dyDescent="0.25">
      <c r="E10297" t="s">
        <v>9872</v>
      </c>
    </row>
    <row r="10298" spans="5:5" x14ac:dyDescent="0.25">
      <c r="E10298" t="s">
        <v>9873</v>
      </c>
    </row>
    <row r="10299" spans="5:5" x14ac:dyDescent="0.25">
      <c r="E10299" t="s">
        <v>9874</v>
      </c>
    </row>
    <row r="10300" spans="5:5" x14ac:dyDescent="0.25">
      <c r="E10300" t="s">
        <v>9875</v>
      </c>
    </row>
    <row r="10301" spans="5:5" x14ac:dyDescent="0.25">
      <c r="E10301" t="s">
        <v>9876</v>
      </c>
    </row>
    <row r="10302" spans="5:5" x14ac:dyDescent="0.25">
      <c r="E10302" t="s">
        <v>9877</v>
      </c>
    </row>
    <row r="10303" spans="5:5" x14ac:dyDescent="0.25">
      <c r="E10303" t="s">
        <v>9878</v>
      </c>
    </row>
    <row r="10304" spans="5:5" x14ac:dyDescent="0.25">
      <c r="E10304" t="s">
        <v>9879</v>
      </c>
    </row>
    <row r="10305" spans="5:5" x14ac:dyDescent="0.25">
      <c r="E10305" t="s">
        <v>9880</v>
      </c>
    </row>
    <row r="10306" spans="5:5" x14ac:dyDescent="0.25">
      <c r="E10306" t="s">
        <v>9881</v>
      </c>
    </row>
    <row r="10307" spans="5:5" x14ac:dyDescent="0.25">
      <c r="E10307" t="s">
        <v>9882</v>
      </c>
    </row>
    <row r="10308" spans="5:5" x14ac:dyDescent="0.25">
      <c r="E10308" t="s">
        <v>9883</v>
      </c>
    </row>
    <row r="10309" spans="5:5" x14ac:dyDescent="0.25">
      <c r="E10309" t="s">
        <v>9884</v>
      </c>
    </row>
    <row r="10310" spans="5:5" x14ac:dyDescent="0.25">
      <c r="E10310" t="s">
        <v>9885</v>
      </c>
    </row>
    <row r="10311" spans="5:5" x14ac:dyDescent="0.25">
      <c r="E10311" t="s">
        <v>9886</v>
      </c>
    </row>
    <row r="10312" spans="5:5" x14ac:dyDescent="0.25">
      <c r="E10312" t="s">
        <v>9887</v>
      </c>
    </row>
    <row r="10313" spans="5:5" x14ac:dyDescent="0.25">
      <c r="E10313" t="s">
        <v>9888</v>
      </c>
    </row>
    <row r="10314" spans="5:5" x14ac:dyDescent="0.25">
      <c r="E10314" t="s">
        <v>9889</v>
      </c>
    </row>
    <row r="10315" spans="5:5" x14ac:dyDescent="0.25">
      <c r="E10315" t="s">
        <v>9890</v>
      </c>
    </row>
    <row r="10316" spans="5:5" x14ac:dyDescent="0.25">
      <c r="E10316" t="s">
        <v>9891</v>
      </c>
    </row>
    <row r="10317" spans="5:5" x14ac:dyDescent="0.25">
      <c r="E10317" t="s">
        <v>9892</v>
      </c>
    </row>
    <row r="10318" spans="5:5" x14ac:dyDescent="0.25">
      <c r="E10318" t="s">
        <v>9893</v>
      </c>
    </row>
    <row r="10319" spans="5:5" x14ac:dyDescent="0.25">
      <c r="E10319" t="s">
        <v>9894</v>
      </c>
    </row>
    <row r="10320" spans="5:5" x14ac:dyDescent="0.25">
      <c r="E10320" t="s">
        <v>9895</v>
      </c>
    </row>
    <row r="10321" spans="5:5" x14ac:dyDescent="0.25">
      <c r="E10321" t="s">
        <v>9896</v>
      </c>
    </row>
    <row r="10322" spans="5:5" x14ac:dyDescent="0.25">
      <c r="E10322" t="s">
        <v>9897</v>
      </c>
    </row>
    <row r="10323" spans="5:5" x14ac:dyDescent="0.25">
      <c r="E10323" t="s">
        <v>9898</v>
      </c>
    </row>
    <row r="10324" spans="5:5" x14ac:dyDescent="0.25">
      <c r="E10324" t="s">
        <v>9899</v>
      </c>
    </row>
    <row r="10325" spans="5:5" x14ac:dyDescent="0.25">
      <c r="E10325" t="s">
        <v>9900</v>
      </c>
    </row>
    <row r="10326" spans="5:5" x14ac:dyDescent="0.25">
      <c r="E10326" t="s">
        <v>9901</v>
      </c>
    </row>
    <row r="10327" spans="5:5" x14ac:dyDescent="0.25">
      <c r="E10327" t="s">
        <v>9902</v>
      </c>
    </row>
    <row r="10328" spans="5:5" x14ac:dyDescent="0.25">
      <c r="E10328" t="s">
        <v>9903</v>
      </c>
    </row>
    <row r="10329" spans="5:5" x14ac:dyDescent="0.25">
      <c r="E10329" t="s">
        <v>9904</v>
      </c>
    </row>
    <row r="10330" spans="5:5" x14ac:dyDescent="0.25">
      <c r="E10330" t="s">
        <v>9905</v>
      </c>
    </row>
    <row r="10331" spans="5:5" x14ac:dyDescent="0.25">
      <c r="E10331" t="s">
        <v>9906</v>
      </c>
    </row>
    <row r="10332" spans="5:5" x14ac:dyDescent="0.25">
      <c r="E10332" t="s">
        <v>9907</v>
      </c>
    </row>
    <row r="10333" spans="5:5" x14ac:dyDescent="0.25">
      <c r="E10333" t="s">
        <v>9908</v>
      </c>
    </row>
    <row r="10334" spans="5:5" x14ac:dyDescent="0.25">
      <c r="E10334" t="s">
        <v>9909</v>
      </c>
    </row>
    <row r="10335" spans="5:5" x14ac:dyDescent="0.25">
      <c r="E10335" t="s">
        <v>9910</v>
      </c>
    </row>
    <row r="10336" spans="5:5" x14ac:dyDescent="0.25">
      <c r="E10336" t="s">
        <v>9911</v>
      </c>
    </row>
    <row r="10337" spans="5:5" x14ac:dyDescent="0.25">
      <c r="E10337" t="s">
        <v>9912</v>
      </c>
    </row>
    <row r="10338" spans="5:5" x14ac:dyDescent="0.25">
      <c r="E10338" t="s">
        <v>9913</v>
      </c>
    </row>
    <row r="10339" spans="5:5" x14ac:dyDescent="0.25">
      <c r="E10339" t="s">
        <v>9914</v>
      </c>
    </row>
    <row r="10340" spans="5:5" x14ac:dyDescent="0.25">
      <c r="E10340" t="s">
        <v>9915</v>
      </c>
    </row>
    <row r="10341" spans="5:5" x14ac:dyDescent="0.25">
      <c r="E10341" t="s">
        <v>9916</v>
      </c>
    </row>
    <row r="10342" spans="5:5" x14ac:dyDescent="0.25">
      <c r="E10342" t="s">
        <v>9917</v>
      </c>
    </row>
    <row r="10343" spans="5:5" x14ac:dyDescent="0.25">
      <c r="E10343" t="s">
        <v>9918</v>
      </c>
    </row>
    <row r="10344" spans="5:5" x14ac:dyDescent="0.25">
      <c r="E10344" t="s">
        <v>9919</v>
      </c>
    </row>
    <row r="10345" spans="5:5" x14ac:dyDescent="0.25">
      <c r="E10345" t="s">
        <v>9920</v>
      </c>
    </row>
    <row r="10346" spans="5:5" x14ac:dyDescent="0.25">
      <c r="E10346" t="s">
        <v>9921</v>
      </c>
    </row>
    <row r="10347" spans="5:5" x14ac:dyDescent="0.25">
      <c r="E10347" t="s">
        <v>9922</v>
      </c>
    </row>
    <row r="10348" spans="5:5" x14ac:dyDescent="0.25">
      <c r="E10348" t="s">
        <v>9923</v>
      </c>
    </row>
    <row r="10349" spans="5:5" x14ac:dyDescent="0.25">
      <c r="E10349" t="s">
        <v>9924</v>
      </c>
    </row>
    <row r="10350" spans="5:5" x14ac:dyDescent="0.25">
      <c r="E10350" t="s">
        <v>9925</v>
      </c>
    </row>
    <row r="10351" spans="5:5" x14ac:dyDescent="0.25">
      <c r="E10351" t="s">
        <v>9926</v>
      </c>
    </row>
    <row r="10352" spans="5:5" x14ac:dyDescent="0.25">
      <c r="E10352" t="s">
        <v>9927</v>
      </c>
    </row>
    <row r="10353" spans="5:5" x14ac:dyDescent="0.25">
      <c r="E10353" t="s">
        <v>9928</v>
      </c>
    </row>
    <row r="10354" spans="5:5" x14ac:dyDescent="0.25">
      <c r="E10354" t="s">
        <v>9929</v>
      </c>
    </row>
    <row r="10355" spans="5:5" x14ac:dyDescent="0.25">
      <c r="E10355" t="s">
        <v>9930</v>
      </c>
    </row>
    <row r="10356" spans="5:5" x14ac:dyDescent="0.25">
      <c r="E10356" t="s">
        <v>9931</v>
      </c>
    </row>
    <row r="10357" spans="5:5" x14ac:dyDescent="0.25">
      <c r="E10357" t="s">
        <v>9932</v>
      </c>
    </row>
    <row r="10358" spans="5:5" x14ac:dyDescent="0.25">
      <c r="E10358" t="s">
        <v>9933</v>
      </c>
    </row>
    <row r="10359" spans="5:5" x14ac:dyDescent="0.25">
      <c r="E10359" t="s">
        <v>9934</v>
      </c>
    </row>
    <row r="10360" spans="5:5" x14ac:dyDescent="0.25">
      <c r="E10360" t="s">
        <v>9935</v>
      </c>
    </row>
    <row r="10361" spans="5:5" x14ac:dyDescent="0.25">
      <c r="E10361" t="s">
        <v>9936</v>
      </c>
    </row>
    <row r="10362" spans="5:5" x14ac:dyDescent="0.25">
      <c r="E10362" t="s">
        <v>9937</v>
      </c>
    </row>
    <row r="10363" spans="5:5" x14ac:dyDescent="0.25">
      <c r="E10363" t="s">
        <v>9938</v>
      </c>
    </row>
    <row r="10364" spans="5:5" x14ac:dyDescent="0.25">
      <c r="E10364" t="s">
        <v>9939</v>
      </c>
    </row>
    <row r="10365" spans="5:5" x14ac:dyDescent="0.25">
      <c r="E10365" t="s">
        <v>9940</v>
      </c>
    </row>
    <row r="10366" spans="5:5" x14ac:dyDescent="0.25">
      <c r="E10366" t="s">
        <v>9941</v>
      </c>
    </row>
    <row r="10367" spans="5:5" x14ac:dyDescent="0.25">
      <c r="E10367" t="s">
        <v>9942</v>
      </c>
    </row>
    <row r="10368" spans="5:5" x14ac:dyDescent="0.25">
      <c r="E10368" t="s">
        <v>9943</v>
      </c>
    </row>
    <row r="10369" spans="5:5" x14ac:dyDescent="0.25">
      <c r="E10369" t="s">
        <v>9944</v>
      </c>
    </row>
    <row r="10370" spans="5:5" x14ac:dyDescent="0.25">
      <c r="E10370" t="s">
        <v>9945</v>
      </c>
    </row>
    <row r="10371" spans="5:5" x14ac:dyDescent="0.25">
      <c r="E10371" t="s">
        <v>9946</v>
      </c>
    </row>
    <row r="10372" spans="5:5" x14ac:dyDescent="0.25">
      <c r="E10372" t="s">
        <v>9947</v>
      </c>
    </row>
    <row r="10373" spans="5:5" x14ac:dyDescent="0.25">
      <c r="E10373" t="s">
        <v>9948</v>
      </c>
    </row>
    <row r="10374" spans="5:5" x14ac:dyDescent="0.25">
      <c r="E10374" t="s">
        <v>9949</v>
      </c>
    </row>
    <row r="10375" spans="5:5" x14ac:dyDescent="0.25">
      <c r="E10375" t="s">
        <v>9950</v>
      </c>
    </row>
    <row r="10376" spans="5:5" x14ac:dyDescent="0.25">
      <c r="E10376" t="s">
        <v>9951</v>
      </c>
    </row>
    <row r="10377" spans="5:5" x14ac:dyDescent="0.25">
      <c r="E10377" t="s">
        <v>9952</v>
      </c>
    </row>
    <row r="10378" spans="5:5" x14ac:dyDescent="0.25">
      <c r="E10378" t="s">
        <v>9953</v>
      </c>
    </row>
    <row r="10379" spans="5:5" x14ac:dyDescent="0.25">
      <c r="E10379" t="s">
        <v>9954</v>
      </c>
    </row>
    <row r="10380" spans="5:5" x14ac:dyDescent="0.25">
      <c r="E10380" t="s">
        <v>9955</v>
      </c>
    </row>
    <row r="10381" spans="5:5" x14ac:dyDescent="0.25">
      <c r="E10381" t="s">
        <v>9956</v>
      </c>
    </row>
    <row r="10382" spans="5:5" x14ac:dyDescent="0.25">
      <c r="E10382" t="s">
        <v>9957</v>
      </c>
    </row>
    <row r="10383" spans="5:5" x14ac:dyDescent="0.25">
      <c r="E10383" t="s">
        <v>9958</v>
      </c>
    </row>
    <row r="10384" spans="5:5" x14ac:dyDescent="0.25">
      <c r="E10384" t="s">
        <v>9959</v>
      </c>
    </row>
    <row r="10385" spans="5:5" x14ac:dyDescent="0.25">
      <c r="E10385" t="s">
        <v>9960</v>
      </c>
    </row>
    <row r="10386" spans="5:5" x14ac:dyDescent="0.25">
      <c r="E10386" t="s">
        <v>9961</v>
      </c>
    </row>
    <row r="10387" spans="5:5" x14ac:dyDescent="0.25">
      <c r="E10387" t="s">
        <v>9962</v>
      </c>
    </row>
    <row r="10388" spans="5:5" x14ac:dyDescent="0.25">
      <c r="E10388" t="s">
        <v>9963</v>
      </c>
    </row>
    <row r="10389" spans="5:5" x14ac:dyDescent="0.25">
      <c r="E10389" t="s">
        <v>9964</v>
      </c>
    </row>
    <row r="10390" spans="5:5" x14ac:dyDescent="0.25">
      <c r="E10390" t="s">
        <v>9965</v>
      </c>
    </row>
    <row r="10391" spans="5:5" x14ac:dyDescent="0.25">
      <c r="E10391" t="s">
        <v>9966</v>
      </c>
    </row>
    <row r="10392" spans="5:5" x14ac:dyDescent="0.25">
      <c r="E10392" t="s">
        <v>9967</v>
      </c>
    </row>
    <row r="10393" spans="5:5" x14ac:dyDescent="0.25">
      <c r="E10393" t="s">
        <v>9968</v>
      </c>
    </row>
    <row r="10394" spans="5:5" x14ac:dyDescent="0.25">
      <c r="E10394" t="s">
        <v>9969</v>
      </c>
    </row>
    <row r="10395" spans="5:5" x14ac:dyDescent="0.25">
      <c r="E10395" t="s">
        <v>9970</v>
      </c>
    </row>
    <row r="10396" spans="5:5" x14ac:dyDescent="0.25">
      <c r="E10396" t="s">
        <v>9971</v>
      </c>
    </row>
    <row r="10397" spans="5:5" x14ac:dyDescent="0.25">
      <c r="E10397" t="s">
        <v>9972</v>
      </c>
    </row>
    <row r="10398" spans="5:5" x14ac:dyDescent="0.25">
      <c r="E10398" t="s">
        <v>9973</v>
      </c>
    </row>
    <row r="10399" spans="5:5" x14ac:dyDescent="0.25">
      <c r="E10399" t="s">
        <v>9974</v>
      </c>
    </row>
    <row r="10400" spans="5:5" x14ac:dyDescent="0.25">
      <c r="E10400" t="s">
        <v>9975</v>
      </c>
    </row>
    <row r="10401" spans="5:5" x14ac:dyDescent="0.25">
      <c r="E10401" t="s">
        <v>9976</v>
      </c>
    </row>
    <row r="10402" spans="5:5" x14ac:dyDescent="0.25">
      <c r="E10402" t="s">
        <v>9977</v>
      </c>
    </row>
    <row r="10403" spans="5:5" x14ac:dyDescent="0.25">
      <c r="E10403" t="s">
        <v>9978</v>
      </c>
    </row>
    <row r="10404" spans="5:5" x14ac:dyDescent="0.25">
      <c r="E10404" t="s">
        <v>9979</v>
      </c>
    </row>
    <row r="10405" spans="5:5" x14ac:dyDescent="0.25">
      <c r="E10405" t="s">
        <v>9980</v>
      </c>
    </row>
    <row r="10406" spans="5:5" x14ac:dyDescent="0.25">
      <c r="E10406" t="s">
        <v>9981</v>
      </c>
    </row>
    <row r="10407" spans="5:5" x14ac:dyDescent="0.25">
      <c r="E10407" t="s">
        <v>9982</v>
      </c>
    </row>
    <row r="10408" spans="5:5" x14ac:dyDescent="0.25">
      <c r="E10408" t="s">
        <v>9983</v>
      </c>
    </row>
    <row r="10409" spans="5:5" x14ac:dyDescent="0.25">
      <c r="E10409" t="s">
        <v>9984</v>
      </c>
    </row>
    <row r="10411" spans="5:5" x14ac:dyDescent="0.25">
      <c r="E10411" t="s">
        <v>9985</v>
      </c>
    </row>
    <row r="10412" spans="5:5" x14ac:dyDescent="0.25">
      <c r="E10412" t="s">
        <v>9986</v>
      </c>
    </row>
    <row r="10413" spans="5:5" x14ac:dyDescent="0.25">
      <c r="E10413" t="s">
        <v>9987</v>
      </c>
    </row>
    <row r="10414" spans="5:5" x14ac:dyDescent="0.25">
      <c r="E10414" t="s">
        <v>9988</v>
      </c>
    </row>
    <row r="10415" spans="5:5" x14ac:dyDescent="0.25">
      <c r="E10415" t="s">
        <v>9989</v>
      </c>
    </row>
    <row r="10416" spans="5:5" x14ac:dyDescent="0.25">
      <c r="E10416" t="s">
        <v>9990</v>
      </c>
    </row>
    <row r="10417" spans="5:5" x14ac:dyDescent="0.25">
      <c r="E10417" t="s">
        <v>9991</v>
      </c>
    </row>
    <row r="10418" spans="5:5" x14ac:dyDescent="0.25">
      <c r="E10418" t="s">
        <v>9992</v>
      </c>
    </row>
    <row r="10419" spans="5:5" x14ac:dyDescent="0.25">
      <c r="E10419" t="s">
        <v>9993</v>
      </c>
    </row>
    <row r="10420" spans="5:5" x14ac:dyDescent="0.25">
      <c r="E10420" t="s">
        <v>9994</v>
      </c>
    </row>
    <row r="10421" spans="5:5" x14ac:dyDescent="0.25">
      <c r="E10421" t="s">
        <v>9995</v>
      </c>
    </row>
    <row r="10422" spans="5:5" x14ac:dyDescent="0.25">
      <c r="E10422" t="s">
        <v>9996</v>
      </c>
    </row>
    <row r="10423" spans="5:5" x14ac:dyDescent="0.25">
      <c r="E10423" t="s">
        <v>9997</v>
      </c>
    </row>
    <row r="10424" spans="5:5" x14ac:dyDescent="0.25">
      <c r="E10424" t="s">
        <v>9998</v>
      </c>
    </row>
    <row r="10425" spans="5:5" x14ac:dyDescent="0.25">
      <c r="E10425" t="s">
        <v>9999</v>
      </c>
    </row>
    <row r="10426" spans="5:5" x14ac:dyDescent="0.25">
      <c r="E10426" t="s">
        <v>10000</v>
      </c>
    </row>
    <row r="10427" spans="5:5" x14ac:dyDescent="0.25">
      <c r="E10427" t="s">
        <v>10001</v>
      </c>
    </row>
    <row r="10428" spans="5:5" x14ac:dyDescent="0.25">
      <c r="E10428" t="s">
        <v>10002</v>
      </c>
    </row>
    <row r="10429" spans="5:5" x14ac:dyDescent="0.25">
      <c r="E10429" t="s">
        <v>10003</v>
      </c>
    </row>
    <row r="10430" spans="5:5" x14ac:dyDescent="0.25">
      <c r="E10430" t="s">
        <v>10004</v>
      </c>
    </row>
    <row r="10431" spans="5:5" x14ac:dyDescent="0.25">
      <c r="E10431" t="s">
        <v>10005</v>
      </c>
    </row>
    <row r="10432" spans="5:5" x14ac:dyDescent="0.25">
      <c r="E10432" t="s">
        <v>10006</v>
      </c>
    </row>
    <row r="10433" spans="5:5" x14ac:dyDescent="0.25">
      <c r="E10433" t="s">
        <v>10007</v>
      </c>
    </row>
    <row r="10434" spans="5:5" x14ac:dyDescent="0.25">
      <c r="E10434" t="s">
        <v>10008</v>
      </c>
    </row>
    <row r="10435" spans="5:5" x14ac:dyDescent="0.25">
      <c r="E10435" t="s">
        <v>10009</v>
      </c>
    </row>
    <row r="10436" spans="5:5" x14ac:dyDescent="0.25">
      <c r="E10436" t="s">
        <v>10010</v>
      </c>
    </row>
    <row r="10437" spans="5:5" x14ac:dyDescent="0.25">
      <c r="E10437" t="s">
        <v>10011</v>
      </c>
    </row>
    <row r="10438" spans="5:5" x14ac:dyDescent="0.25">
      <c r="E10438" t="s">
        <v>10012</v>
      </c>
    </row>
    <row r="10439" spans="5:5" x14ac:dyDescent="0.25">
      <c r="E10439" t="s">
        <v>10013</v>
      </c>
    </row>
    <row r="10440" spans="5:5" x14ac:dyDescent="0.25">
      <c r="E10440" t="s">
        <v>10014</v>
      </c>
    </row>
    <row r="10441" spans="5:5" x14ac:dyDescent="0.25">
      <c r="E10441" t="s">
        <v>10015</v>
      </c>
    </row>
    <row r="10442" spans="5:5" x14ac:dyDescent="0.25">
      <c r="E10442" t="s">
        <v>10016</v>
      </c>
    </row>
    <row r="10443" spans="5:5" x14ac:dyDescent="0.25">
      <c r="E10443" t="s">
        <v>10017</v>
      </c>
    </row>
    <row r="10444" spans="5:5" x14ac:dyDescent="0.25">
      <c r="E10444" t="s">
        <v>10018</v>
      </c>
    </row>
    <row r="10445" spans="5:5" x14ac:dyDescent="0.25">
      <c r="E10445" t="s">
        <v>10019</v>
      </c>
    </row>
    <row r="10446" spans="5:5" x14ac:dyDescent="0.25">
      <c r="E10446" t="s">
        <v>10020</v>
      </c>
    </row>
    <row r="10447" spans="5:5" x14ac:dyDescent="0.25">
      <c r="E10447" t="s">
        <v>10021</v>
      </c>
    </row>
    <row r="10448" spans="5:5" x14ac:dyDescent="0.25">
      <c r="E10448" t="s">
        <v>10022</v>
      </c>
    </row>
    <row r="10449" spans="5:5" x14ac:dyDescent="0.25">
      <c r="E10449" t="s">
        <v>10023</v>
      </c>
    </row>
    <row r="10450" spans="5:5" x14ac:dyDescent="0.25">
      <c r="E10450" t="s">
        <v>10024</v>
      </c>
    </row>
    <row r="10451" spans="5:5" x14ac:dyDescent="0.25">
      <c r="E10451" t="s">
        <v>10025</v>
      </c>
    </row>
    <row r="10452" spans="5:5" x14ac:dyDescent="0.25">
      <c r="E10452" t="s">
        <v>10026</v>
      </c>
    </row>
    <row r="10453" spans="5:5" x14ac:dyDescent="0.25">
      <c r="E10453" t="s">
        <v>10027</v>
      </c>
    </row>
    <row r="10454" spans="5:5" x14ac:dyDescent="0.25">
      <c r="E10454" t="s">
        <v>10028</v>
      </c>
    </row>
    <row r="10455" spans="5:5" x14ac:dyDescent="0.25">
      <c r="E10455" t="s">
        <v>10029</v>
      </c>
    </row>
    <row r="10456" spans="5:5" x14ac:dyDescent="0.25">
      <c r="E10456" t="s">
        <v>10030</v>
      </c>
    </row>
    <row r="10457" spans="5:5" x14ac:dyDescent="0.25">
      <c r="E10457" t="s">
        <v>10031</v>
      </c>
    </row>
    <row r="10458" spans="5:5" x14ac:dyDescent="0.25">
      <c r="E10458" t="s">
        <v>10032</v>
      </c>
    </row>
    <row r="10459" spans="5:5" x14ac:dyDescent="0.25">
      <c r="E10459" t="s">
        <v>10033</v>
      </c>
    </row>
    <row r="10460" spans="5:5" x14ac:dyDescent="0.25">
      <c r="E10460" t="s">
        <v>10034</v>
      </c>
    </row>
    <row r="10461" spans="5:5" x14ac:dyDescent="0.25">
      <c r="E10461" t="s">
        <v>10035</v>
      </c>
    </row>
    <row r="10462" spans="5:5" x14ac:dyDescent="0.25">
      <c r="E10462" t="s">
        <v>10036</v>
      </c>
    </row>
    <row r="10463" spans="5:5" x14ac:dyDescent="0.25">
      <c r="E10463" t="s">
        <v>10037</v>
      </c>
    </row>
    <row r="10464" spans="5:5" x14ac:dyDescent="0.25">
      <c r="E10464" t="s">
        <v>10038</v>
      </c>
    </row>
    <row r="10465" spans="5:5" x14ac:dyDescent="0.25">
      <c r="E10465" t="s">
        <v>10039</v>
      </c>
    </row>
    <row r="10466" spans="5:5" x14ac:dyDescent="0.25">
      <c r="E10466" t="s">
        <v>10040</v>
      </c>
    </row>
    <row r="10467" spans="5:5" x14ac:dyDescent="0.25">
      <c r="E10467" t="s">
        <v>10041</v>
      </c>
    </row>
    <row r="10468" spans="5:5" x14ac:dyDescent="0.25">
      <c r="E10468" t="s">
        <v>10042</v>
      </c>
    </row>
    <row r="10469" spans="5:5" x14ac:dyDescent="0.25">
      <c r="E10469" t="s">
        <v>10043</v>
      </c>
    </row>
    <row r="10470" spans="5:5" x14ac:dyDescent="0.25">
      <c r="E10470" t="s">
        <v>10044</v>
      </c>
    </row>
    <row r="10471" spans="5:5" x14ac:dyDescent="0.25">
      <c r="E10471" t="s">
        <v>10045</v>
      </c>
    </row>
    <row r="10472" spans="5:5" x14ac:dyDescent="0.25">
      <c r="E10472" t="s">
        <v>10046</v>
      </c>
    </row>
    <row r="10473" spans="5:5" x14ac:dyDescent="0.25">
      <c r="E10473" t="s">
        <v>10047</v>
      </c>
    </row>
    <row r="10474" spans="5:5" x14ac:dyDescent="0.25">
      <c r="E10474" t="s">
        <v>10048</v>
      </c>
    </row>
    <row r="10475" spans="5:5" x14ac:dyDescent="0.25">
      <c r="E10475" t="s">
        <v>10049</v>
      </c>
    </row>
    <row r="10476" spans="5:5" x14ac:dyDescent="0.25">
      <c r="E10476" t="s">
        <v>10050</v>
      </c>
    </row>
    <row r="10477" spans="5:5" x14ac:dyDescent="0.25">
      <c r="E10477" t="s">
        <v>10051</v>
      </c>
    </row>
    <row r="10478" spans="5:5" x14ac:dyDescent="0.25">
      <c r="E10478" t="s">
        <v>10052</v>
      </c>
    </row>
    <row r="10479" spans="5:5" x14ac:dyDescent="0.25">
      <c r="E10479" t="s">
        <v>10053</v>
      </c>
    </row>
    <row r="10480" spans="5:5" x14ac:dyDescent="0.25">
      <c r="E10480" t="s">
        <v>10054</v>
      </c>
    </row>
    <row r="10481" spans="5:5" x14ac:dyDescent="0.25">
      <c r="E10481" t="s">
        <v>10055</v>
      </c>
    </row>
    <row r="10482" spans="5:5" x14ac:dyDescent="0.25">
      <c r="E10482" t="s">
        <v>10056</v>
      </c>
    </row>
    <row r="10483" spans="5:5" x14ac:dyDescent="0.25">
      <c r="E10483" t="s">
        <v>10057</v>
      </c>
    </row>
    <row r="10484" spans="5:5" x14ac:dyDescent="0.25">
      <c r="E10484" t="s">
        <v>10058</v>
      </c>
    </row>
    <row r="10485" spans="5:5" x14ac:dyDescent="0.25">
      <c r="E10485" t="s">
        <v>10059</v>
      </c>
    </row>
    <row r="10486" spans="5:5" x14ac:dyDescent="0.25">
      <c r="E10486" t="s">
        <v>10060</v>
      </c>
    </row>
    <row r="10487" spans="5:5" x14ac:dyDescent="0.25">
      <c r="E10487" t="s">
        <v>10061</v>
      </c>
    </row>
    <row r="10488" spans="5:5" x14ac:dyDescent="0.25">
      <c r="E10488" t="s">
        <v>10062</v>
      </c>
    </row>
    <row r="10489" spans="5:5" x14ac:dyDescent="0.25">
      <c r="E10489" t="s">
        <v>10063</v>
      </c>
    </row>
    <row r="10490" spans="5:5" x14ac:dyDescent="0.25">
      <c r="E10490" t="s">
        <v>10064</v>
      </c>
    </row>
    <row r="10491" spans="5:5" x14ac:dyDescent="0.25">
      <c r="E10491" t="s">
        <v>10065</v>
      </c>
    </row>
    <row r="10492" spans="5:5" x14ac:dyDescent="0.25">
      <c r="E10492" t="s">
        <v>10066</v>
      </c>
    </row>
    <row r="10493" spans="5:5" x14ac:dyDescent="0.25">
      <c r="E10493" t="s">
        <v>10067</v>
      </c>
    </row>
    <row r="10494" spans="5:5" x14ac:dyDescent="0.25">
      <c r="E10494" t="s">
        <v>10068</v>
      </c>
    </row>
    <row r="10495" spans="5:5" x14ac:dyDescent="0.25">
      <c r="E10495" t="s">
        <v>10069</v>
      </c>
    </row>
    <row r="10496" spans="5:5" x14ac:dyDescent="0.25">
      <c r="E10496" t="s">
        <v>10070</v>
      </c>
    </row>
    <row r="10497" spans="5:5" x14ac:dyDescent="0.25">
      <c r="E10497" t="s">
        <v>10071</v>
      </c>
    </row>
    <row r="10498" spans="5:5" x14ac:dyDescent="0.25">
      <c r="E10498" t="s">
        <v>10072</v>
      </c>
    </row>
    <row r="10499" spans="5:5" x14ac:dyDescent="0.25">
      <c r="E10499" t="s">
        <v>10073</v>
      </c>
    </row>
    <row r="10500" spans="5:5" x14ac:dyDescent="0.25">
      <c r="E10500" t="s">
        <v>10074</v>
      </c>
    </row>
    <row r="10501" spans="5:5" x14ac:dyDescent="0.25">
      <c r="E10501" t="s">
        <v>10075</v>
      </c>
    </row>
    <row r="10502" spans="5:5" x14ac:dyDescent="0.25">
      <c r="E10502" t="s">
        <v>10076</v>
      </c>
    </row>
    <row r="10503" spans="5:5" x14ac:dyDescent="0.25">
      <c r="E10503" t="s">
        <v>10077</v>
      </c>
    </row>
    <row r="10504" spans="5:5" x14ac:dyDescent="0.25">
      <c r="E10504" t="s">
        <v>10078</v>
      </c>
    </row>
    <row r="10505" spans="5:5" x14ac:dyDescent="0.25">
      <c r="E10505" t="s">
        <v>10079</v>
      </c>
    </row>
    <row r="10506" spans="5:5" x14ac:dyDescent="0.25">
      <c r="E10506" t="s">
        <v>10080</v>
      </c>
    </row>
    <row r="10507" spans="5:5" x14ac:dyDescent="0.25">
      <c r="E10507" t="s">
        <v>10081</v>
      </c>
    </row>
    <row r="10508" spans="5:5" x14ac:dyDescent="0.25">
      <c r="E10508" t="s">
        <v>10082</v>
      </c>
    </row>
    <row r="10509" spans="5:5" x14ac:dyDescent="0.25">
      <c r="E10509" t="s">
        <v>10083</v>
      </c>
    </row>
    <row r="10510" spans="5:5" x14ac:dyDescent="0.25">
      <c r="E10510" t="s">
        <v>10084</v>
      </c>
    </row>
    <row r="10511" spans="5:5" x14ac:dyDescent="0.25">
      <c r="E10511" t="s">
        <v>10085</v>
      </c>
    </row>
    <row r="10512" spans="5:5" x14ac:dyDescent="0.25">
      <c r="E10512" t="s">
        <v>10086</v>
      </c>
    </row>
    <row r="10513" spans="5:5" x14ac:dyDescent="0.25">
      <c r="E10513" t="s">
        <v>10087</v>
      </c>
    </row>
    <row r="10514" spans="5:5" x14ac:dyDescent="0.25">
      <c r="E10514" t="s">
        <v>10088</v>
      </c>
    </row>
    <row r="10515" spans="5:5" x14ac:dyDescent="0.25">
      <c r="E10515" t="s">
        <v>10089</v>
      </c>
    </row>
    <row r="10516" spans="5:5" x14ac:dyDescent="0.25">
      <c r="E10516" t="s">
        <v>10090</v>
      </c>
    </row>
    <row r="10517" spans="5:5" x14ac:dyDescent="0.25">
      <c r="E10517" t="s">
        <v>10091</v>
      </c>
    </row>
    <row r="10518" spans="5:5" x14ac:dyDescent="0.25">
      <c r="E10518" t="s">
        <v>10092</v>
      </c>
    </row>
    <row r="10519" spans="5:5" x14ac:dyDescent="0.25">
      <c r="E10519" t="s">
        <v>10093</v>
      </c>
    </row>
    <row r="10520" spans="5:5" x14ac:dyDescent="0.25">
      <c r="E10520" t="s">
        <v>10094</v>
      </c>
    </row>
    <row r="10521" spans="5:5" x14ac:dyDescent="0.25">
      <c r="E10521" t="s">
        <v>10095</v>
      </c>
    </row>
    <row r="10522" spans="5:5" x14ac:dyDescent="0.25">
      <c r="E10522" t="s">
        <v>10096</v>
      </c>
    </row>
    <row r="10523" spans="5:5" x14ac:dyDescent="0.25">
      <c r="E10523" t="s">
        <v>10097</v>
      </c>
    </row>
    <row r="10524" spans="5:5" x14ac:dyDescent="0.25">
      <c r="E10524" t="s">
        <v>10098</v>
      </c>
    </row>
    <row r="10525" spans="5:5" x14ac:dyDescent="0.25">
      <c r="E10525" t="s">
        <v>10099</v>
      </c>
    </row>
    <row r="10526" spans="5:5" x14ac:dyDescent="0.25">
      <c r="E10526" t="s">
        <v>10100</v>
      </c>
    </row>
    <row r="10527" spans="5:5" x14ac:dyDescent="0.25">
      <c r="E10527" t="s">
        <v>10101</v>
      </c>
    </row>
    <row r="10528" spans="5:5" x14ac:dyDescent="0.25">
      <c r="E10528" t="s">
        <v>10102</v>
      </c>
    </row>
    <row r="10529" spans="5:5" x14ac:dyDescent="0.25">
      <c r="E10529" t="s">
        <v>10103</v>
      </c>
    </row>
    <row r="10530" spans="5:5" x14ac:dyDescent="0.25">
      <c r="E10530" t="s">
        <v>10104</v>
      </c>
    </row>
    <row r="10531" spans="5:5" x14ac:dyDescent="0.25">
      <c r="E10531" t="s">
        <v>10105</v>
      </c>
    </row>
    <row r="10532" spans="5:5" x14ac:dyDescent="0.25">
      <c r="E10532" t="s">
        <v>10106</v>
      </c>
    </row>
    <row r="10533" spans="5:5" x14ac:dyDescent="0.25">
      <c r="E10533" t="s">
        <v>10107</v>
      </c>
    </row>
    <row r="10534" spans="5:5" x14ac:dyDescent="0.25">
      <c r="E10534" t="s">
        <v>10108</v>
      </c>
    </row>
    <row r="10535" spans="5:5" x14ac:dyDescent="0.25">
      <c r="E10535" t="s">
        <v>10109</v>
      </c>
    </row>
    <row r="10536" spans="5:5" x14ac:dyDescent="0.25">
      <c r="E10536" t="s">
        <v>10110</v>
      </c>
    </row>
    <row r="10537" spans="5:5" x14ac:dyDescent="0.25">
      <c r="E10537" t="s">
        <v>10111</v>
      </c>
    </row>
    <row r="10538" spans="5:5" x14ac:dyDescent="0.25">
      <c r="E10538" t="s">
        <v>10112</v>
      </c>
    </row>
    <row r="10539" spans="5:5" x14ac:dyDescent="0.25">
      <c r="E10539" t="s">
        <v>10113</v>
      </c>
    </row>
    <row r="10540" spans="5:5" x14ac:dyDescent="0.25">
      <c r="E10540" t="s">
        <v>10114</v>
      </c>
    </row>
    <row r="10541" spans="5:5" x14ac:dyDescent="0.25">
      <c r="E10541" t="s">
        <v>10115</v>
      </c>
    </row>
    <row r="10542" spans="5:5" x14ac:dyDescent="0.25">
      <c r="E10542" t="s">
        <v>10116</v>
      </c>
    </row>
    <row r="10543" spans="5:5" x14ac:dyDescent="0.25">
      <c r="E10543" t="s">
        <v>10117</v>
      </c>
    </row>
    <row r="10544" spans="5:5" x14ac:dyDescent="0.25">
      <c r="E10544" t="s">
        <v>10118</v>
      </c>
    </row>
    <row r="10545" spans="5:5" x14ac:dyDescent="0.25">
      <c r="E10545" t="s">
        <v>10119</v>
      </c>
    </row>
    <row r="10546" spans="5:5" x14ac:dyDescent="0.25">
      <c r="E10546" t="s">
        <v>10120</v>
      </c>
    </row>
    <row r="10547" spans="5:5" x14ac:dyDescent="0.25">
      <c r="E10547" t="s">
        <v>10121</v>
      </c>
    </row>
    <row r="10548" spans="5:5" x14ac:dyDescent="0.25">
      <c r="E10548" t="s">
        <v>10122</v>
      </c>
    </row>
    <row r="10549" spans="5:5" x14ac:dyDescent="0.25">
      <c r="E10549" t="s">
        <v>10123</v>
      </c>
    </row>
    <row r="10550" spans="5:5" x14ac:dyDescent="0.25">
      <c r="E10550" t="s">
        <v>10124</v>
      </c>
    </row>
    <row r="10551" spans="5:5" x14ac:dyDescent="0.25">
      <c r="E10551" t="s">
        <v>10125</v>
      </c>
    </row>
    <row r="10552" spans="5:5" x14ac:dyDescent="0.25">
      <c r="E10552" t="s">
        <v>10126</v>
      </c>
    </row>
    <row r="10553" spans="5:5" x14ac:dyDescent="0.25">
      <c r="E10553" t="s">
        <v>10127</v>
      </c>
    </row>
    <row r="10554" spans="5:5" x14ac:dyDescent="0.25">
      <c r="E10554" t="s">
        <v>10128</v>
      </c>
    </row>
    <row r="10555" spans="5:5" x14ac:dyDescent="0.25">
      <c r="E10555" t="s">
        <v>10129</v>
      </c>
    </row>
    <row r="10556" spans="5:5" x14ac:dyDescent="0.25">
      <c r="E10556" t="s">
        <v>10130</v>
      </c>
    </row>
    <row r="10557" spans="5:5" x14ac:dyDescent="0.25">
      <c r="E10557" t="s">
        <v>10131</v>
      </c>
    </row>
    <row r="10558" spans="5:5" x14ac:dyDescent="0.25">
      <c r="E10558" t="s">
        <v>10132</v>
      </c>
    </row>
    <row r="10559" spans="5:5" x14ac:dyDescent="0.25">
      <c r="E10559" t="s">
        <v>10133</v>
      </c>
    </row>
    <row r="10560" spans="5:5" x14ac:dyDescent="0.25">
      <c r="E10560" t="s">
        <v>10134</v>
      </c>
    </row>
    <row r="10561" spans="5:5" x14ac:dyDescent="0.25">
      <c r="E10561" t="s">
        <v>10135</v>
      </c>
    </row>
    <row r="10562" spans="5:5" x14ac:dyDescent="0.25">
      <c r="E10562" t="s">
        <v>10136</v>
      </c>
    </row>
    <row r="10563" spans="5:5" x14ac:dyDescent="0.25">
      <c r="E10563" t="s">
        <v>10137</v>
      </c>
    </row>
    <row r="10564" spans="5:5" x14ac:dyDescent="0.25">
      <c r="E10564" t="s">
        <v>10138</v>
      </c>
    </row>
    <row r="10565" spans="5:5" x14ac:dyDescent="0.25">
      <c r="E10565" t="s">
        <v>10139</v>
      </c>
    </row>
    <row r="10566" spans="5:5" x14ac:dyDescent="0.25">
      <c r="E10566" t="s">
        <v>10140</v>
      </c>
    </row>
    <row r="10567" spans="5:5" x14ac:dyDescent="0.25">
      <c r="E10567" t="s">
        <v>10141</v>
      </c>
    </row>
    <row r="10568" spans="5:5" x14ac:dyDescent="0.25">
      <c r="E10568" t="s">
        <v>10142</v>
      </c>
    </row>
    <row r="10569" spans="5:5" x14ac:dyDescent="0.25">
      <c r="E10569" t="s">
        <v>10143</v>
      </c>
    </row>
    <row r="10570" spans="5:5" x14ac:dyDescent="0.25">
      <c r="E10570" t="s">
        <v>10144</v>
      </c>
    </row>
    <row r="10571" spans="5:5" x14ac:dyDescent="0.25">
      <c r="E10571" t="s">
        <v>10145</v>
      </c>
    </row>
    <row r="10572" spans="5:5" x14ac:dyDescent="0.25">
      <c r="E10572" t="s">
        <v>10146</v>
      </c>
    </row>
    <row r="10573" spans="5:5" x14ac:dyDescent="0.25">
      <c r="E10573" t="s">
        <v>10147</v>
      </c>
    </row>
    <row r="10574" spans="5:5" x14ac:dyDescent="0.25">
      <c r="E10574" t="s">
        <v>10148</v>
      </c>
    </row>
    <row r="10575" spans="5:5" x14ac:dyDescent="0.25">
      <c r="E10575" t="s">
        <v>10149</v>
      </c>
    </row>
    <row r="10576" spans="5:5" x14ac:dyDescent="0.25">
      <c r="E10576" t="s">
        <v>10150</v>
      </c>
    </row>
    <row r="10577" spans="5:5" x14ac:dyDescent="0.25">
      <c r="E10577" t="s">
        <v>10151</v>
      </c>
    </row>
    <row r="10578" spans="5:5" x14ac:dyDescent="0.25">
      <c r="E10578" t="s">
        <v>10152</v>
      </c>
    </row>
    <row r="10579" spans="5:5" x14ac:dyDescent="0.25">
      <c r="E10579" t="s">
        <v>10153</v>
      </c>
    </row>
    <row r="10580" spans="5:5" x14ac:dyDescent="0.25">
      <c r="E10580" t="s">
        <v>10154</v>
      </c>
    </row>
    <row r="10581" spans="5:5" x14ac:dyDescent="0.25">
      <c r="E10581" t="s">
        <v>10155</v>
      </c>
    </row>
    <row r="10582" spans="5:5" x14ac:dyDescent="0.25">
      <c r="E10582" t="s">
        <v>10156</v>
      </c>
    </row>
    <row r="10583" spans="5:5" x14ac:dyDescent="0.25">
      <c r="E10583" t="s">
        <v>10157</v>
      </c>
    </row>
    <row r="10584" spans="5:5" x14ac:dyDescent="0.25">
      <c r="E10584" t="s">
        <v>10158</v>
      </c>
    </row>
    <row r="10585" spans="5:5" x14ac:dyDescent="0.25">
      <c r="E10585" t="s">
        <v>10159</v>
      </c>
    </row>
    <row r="10586" spans="5:5" x14ac:dyDescent="0.25">
      <c r="E10586" t="s">
        <v>10160</v>
      </c>
    </row>
    <row r="10587" spans="5:5" x14ac:dyDescent="0.25">
      <c r="E10587" t="s">
        <v>10161</v>
      </c>
    </row>
    <row r="10588" spans="5:5" x14ac:dyDescent="0.25">
      <c r="E10588" t="s">
        <v>10162</v>
      </c>
    </row>
    <row r="10589" spans="5:5" x14ac:dyDescent="0.25">
      <c r="E10589" t="s">
        <v>10163</v>
      </c>
    </row>
    <row r="10590" spans="5:5" x14ac:dyDescent="0.25">
      <c r="E10590" t="s">
        <v>10164</v>
      </c>
    </row>
    <row r="10591" spans="5:5" x14ac:dyDescent="0.25">
      <c r="E10591" t="s">
        <v>10165</v>
      </c>
    </row>
    <row r="10592" spans="5:5" x14ac:dyDescent="0.25">
      <c r="E10592" t="s">
        <v>10166</v>
      </c>
    </row>
    <row r="10593" spans="5:5" x14ac:dyDescent="0.25">
      <c r="E10593" t="s">
        <v>10167</v>
      </c>
    </row>
    <row r="10594" spans="5:5" x14ac:dyDescent="0.25">
      <c r="E10594" t="s">
        <v>10168</v>
      </c>
    </row>
    <row r="10595" spans="5:5" x14ac:dyDescent="0.25">
      <c r="E10595" t="s">
        <v>10169</v>
      </c>
    </row>
    <row r="10596" spans="5:5" x14ac:dyDescent="0.25">
      <c r="E10596" t="s">
        <v>10170</v>
      </c>
    </row>
    <row r="10597" spans="5:5" x14ac:dyDescent="0.25">
      <c r="E10597" t="s">
        <v>10171</v>
      </c>
    </row>
    <row r="10598" spans="5:5" x14ac:dyDescent="0.25">
      <c r="E10598" t="s">
        <v>10172</v>
      </c>
    </row>
    <row r="10599" spans="5:5" x14ac:dyDescent="0.25">
      <c r="E10599" t="s">
        <v>10173</v>
      </c>
    </row>
    <row r="10600" spans="5:5" x14ac:dyDescent="0.25">
      <c r="E10600" t="s">
        <v>10174</v>
      </c>
    </row>
    <row r="10601" spans="5:5" x14ac:dyDescent="0.25">
      <c r="E10601" t="s">
        <v>10175</v>
      </c>
    </row>
    <row r="10602" spans="5:5" x14ac:dyDescent="0.25">
      <c r="E10602" t="s">
        <v>10176</v>
      </c>
    </row>
    <row r="10603" spans="5:5" x14ac:dyDescent="0.25">
      <c r="E10603" t="s">
        <v>10177</v>
      </c>
    </row>
    <row r="10604" spans="5:5" x14ac:dyDescent="0.25">
      <c r="E10604" t="s">
        <v>10178</v>
      </c>
    </row>
    <row r="10605" spans="5:5" x14ac:dyDescent="0.25">
      <c r="E10605" t="s">
        <v>10179</v>
      </c>
    </row>
    <row r="10606" spans="5:5" x14ac:dyDescent="0.25">
      <c r="E10606" t="s">
        <v>10180</v>
      </c>
    </row>
    <row r="10607" spans="5:5" x14ac:dyDescent="0.25">
      <c r="E10607" t="s">
        <v>10181</v>
      </c>
    </row>
    <row r="10608" spans="5:5" x14ac:dyDescent="0.25">
      <c r="E10608" t="s">
        <v>10182</v>
      </c>
    </row>
    <row r="10609" spans="5:5" x14ac:dyDescent="0.25">
      <c r="E10609" t="s">
        <v>10183</v>
      </c>
    </row>
    <row r="10610" spans="5:5" x14ac:dyDescent="0.25">
      <c r="E10610" t="s">
        <v>10184</v>
      </c>
    </row>
    <row r="10611" spans="5:5" x14ac:dyDescent="0.25">
      <c r="E10611" t="s">
        <v>10185</v>
      </c>
    </row>
    <row r="10612" spans="5:5" x14ac:dyDescent="0.25">
      <c r="E10612" t="s">
        <v>10186</v>
      </c>
    </row>
    <row r="10613" spans="5:5" x14ac:dyDescent="0.25">
      <c r="E10613" t="s">
        <v>10187</v>
      </c>
    </row>
    <row r="10614" spans="5:5" x14ac:dyDescent="0.25">
      <c r="E10614" t="s">
        <v>10188</v>
      </c>
    </row>
    <row r="10615" spans="5:5" x14ac:dyDescent="0.25">
      <c r="E10615" t="s">
        <v>10189</v>
      </c>
    </row>
    <row r="10616" spans="5:5" x14ac:dyDescent="0.25">
      <c r="E10616" t="s">
        <v>10190</v>
      </c>
    </row>
    <row r="10617" spans="5:5" x14ac:dyDescent="0.25">
      <c r="E10617" t="s">
        <v>10191</v>
      </c>
    </row>
    <row r="10618" spans="5:5" x14ac:dyDescent="0.25">
      <c r="E10618" t="s">
        <v>10192</v>
      </c>
    </row>
    <row r="10619" spans="5:5" x14ac:dyDescent="0.25">
      <c r="E10619" t="s">
        <v>10193</v>
      </c>
    </row>
    <row r="10620" spans="5:5" x14ac:dyDescent="0.25">
      <c r="E10620" t="s">
        <v>10194</v>
      </c>
    </row>
    <row r="10621" spans="5:5" x14ac:dyDescent="0.25">
      <c r="E10621" t="s">
        <v>10195</v>
      </c>
    </row>
    <row r="10622" spans="5:5" x14ac:dyDescent="0.25">
      <c r="E10622" t="s">
        <v>10196</v>
      </c>
    </row>
    <row r="10623" spans="5:5" x14ac:dyDescent="0.25">
      <c r="E10623" t="s">
        <v>10197</v>
      </c>
    </row>
    <row r="10624" spans="5:5" x14ac:dyDescent="0.25">
      <c r="E10624" t="s">
        <v>10198</v>
      </c>
    </row>
    <row r="10625" spans="5:5" x14ac:dyDescent="0.25">
      <c r="E10625" t="s">
        <v>10199</v>
      </c>
    </row>
    <row r="10626" spans="5:5" x14ac:dyDescent="0.25">
      <c r="E10626" t="s">
        <v>10200</v>
      </c>
    </row>
    <row r="10627" spans="5:5" x14ac:dyDescent="0.25">
      <c r="E10627" t="s">
        <v>10201</v>
      </c>
    </row>
    <row r="10628" spans="5:5" x14ac:dyDescent="0.25">
      <c r="E10628" t="s">
        <v>10202</v>
      </c>
    </row>
    <row r="10629" spans="5:5" x14ac:dyDescent="0.25">
      <c r="E10629" t="s">
        <v>10203</v>
      </c>
    </row>
    <row r="10630" spans="5:5" x14ac:dyDescent="0.25">
      <c r="E10630" t="s">
        <v>10204</v>
      </c>
    </row>
    <row r="10631" spans="5:5" x14ac:dyDescent="0.25">
      <c r="E10631" t="s">
        <v>10205</v>
      </c>
    </row>
    <row r="10632" spans="5:5" x14ac:dyDescent="0.25">
      <c r="E10632" t="s">
        <v>10206</v>
      </c>
    </row>
    <row r="10633" spans="5:5" x14ac:dyDescent="0.25">
      <c r="E10633" t="s">
        <v>10207</v>
      </c>
    </row>
    <row r="10634" spans="5:5" x14ac:dyDescent="0.25">
      <c r="E10634" t="s">
        <v>10208</v>
      </c>
    </row>
    <row r="10635" spans="5:5" x14ac:dyDescent="0.25">
      <c r="E10635" t="s">
        <v>10209</v>
      </c>
    </row>
    <row r="10636" spans="5:5" x14ac:dyDescent="0.25">
      <c r="E10636" t="s">
        <v>10210</v>
      </c>
    </row>
    <row r="10637" spans="5:5" x14ac:dyDescent="0.25">
      <c r="E10637" t="s">
        <v>10211</v>
      </c>
    </row>
    <row r="10638" spans="5:5" x14ac:dyDescent="0.25">
      <c r="E10638" t="s">
        <v>10212</v>
      </c>
    </row>
    <row r="10639" spans="5:5" x14ac:dyDescent="0.25">
      <c r="E10639" t="s">
        <v>10213</v>
      </c>
    </row>
    <row r="10640" spans="5:5" x14ac:dyDescent="0.25">
      <c r="E10640" t="s">
        <v>10214</v>
      </c>
    </row>
    <row r="10641" spans="5:5" x14ac:dyDescent="0.25">
      <c r="E10641" t="s">
        <v>10215</v>
      </c>
    </row>
    <row r="10642" spans="5:5" x14ac:dyDescent="0.25">
      <c r="E10642" t="s">
        <v>10216</v>
      </c>
    </row>
    <row r="10643" spans="5:5" x14ac:dyDescent="0.25">
      <c r="E10643" t="s">
        <v>10217</v>
      </c>
    </row>
    <row r="10644" spans="5:5" x14ac:dyDescent="0.25">
      <c r="E10644" t="s">
        <v>10218</v>
      </c>
    </row>
    <row r="10645" spans="5:5" x14ac:dyDescent="0.25">
      <c r="E10645" t="s">
        <v>10219</v>
      </c>
    </row>
    <row r="10646" spans="5:5" x14ac:dyDescent="0.25">
      <c r="E10646" t="s">
        <v>10220</v>
      </c>
    </row>
    <row r="10647" spans="5:5" x14ac:dyDescent="0.25">
      <c r="E10647" t="s">
        <v>10221</v>
      </c>
    </row>
    <row r="10648" spans="5:5" x14ac:dyDescent="0.25">
      <c r="E10648" t="s">
        <v>10222</v>
      </c>
    </row>
    <row r="10649" spans="5:5" x14ac:dyDescent="0.25">
      <c r="E10649" t="s">
        <v>10223</v>
      </c>
    </row>
    <row r="10650" spans="5:5" x14ac:dyDescent="0.25">
      <c r="E10650" t="s">
        <v>10224</v>
      </c>
    </row>
    <row r="10651" spans="5:5" x14ac:dyDescent="0.25">
      <c r="E10651" t="s">
        <v>10225</v>
      </c>
    </row>
    <row r="10652" spans="5:5" x14ac:dyDescent="0.25">
      <c r="E10652" t="s">
        <v>10226</v>
      </c>
    </row>
    <row r="10653" spans="5:5" x14ac:dyDescent="0.25">
      <c r="E10653" t="s">
        <v>10227</v>
      </c>
    </row>
    <row r="10654" spans="5:5" x14ac:dyDescent="0.25">
      <c r="E10654" t="s">
        <v>10228</v>
      </c>
    </row>
    <row r="10655" spans="5:5" x14ac:dyDescent="0.25">
      <c r="E10655" t="s">
        <v>10229</v>
      </c>
    </row>
    <row r="10656" spans="5:5" x14ac:dyDescent="0.25">
      <c r="E10656" t="s">
        <v>10230</v>
      </c>
    </row>
    <row r="10657" spans="5:5" x14ac:dyDescent="0.25">
      <c r="E10657" t="s">
        <v>10231</v>
      </c>
    </row>
    <row r="10658" spans="5:5" x14ac:dyDescent="0.25">
      <c r="E10658" t="s">
        <v>10232</v>
      </c>
    </row>
    <row r="10659" spans="5:5" x14ac:dyDescent="0.25">
      <c r="E10659" t="s">
        <v>10233</v>
      </c>
    </row>
    <row r="10660" spans="5:5" x14ac:dyDescent="0.25">
      <c r="E10660" t="s">
        <v>10234</v>
      </c>
    </row>
    <row r="10661" spans="5:5" x14ac:dyDescent="0.25">
      <c r="E10661" t="s">
        <v>10235</v>
      </c>
    </row>
    <row r="10662" spans="5:5" x14ac:dyDescent="0.25">
      <c r="E10662" t="s">
        <v>10236</v>
      </c>
    </row>
    <row r="10663" spans="5:5" x14ac:dyDescent="0.25">
      <c r="E10663" t="s">
        <v>10237</v>
      </c>
    </row>
    <row r="10664" spans="5:5" x14ac:dyDescent="0.25">
      <c r="E10664" t="s">
        <v>10238</v>
      </c>
    </row>
    <row r="10665" spans="5:5" x14ac:dyDescent="0.25">
      <c r="E10665" t="s">
        <v>10239</v>
      </c>
    </row>
    <row r="10666" spans="5:5" x14ac:dyDescent="0.25">
      <c r="E10666" t="s">
        <v>10240</v>
      </c>
    </row>
    <row r="10667" spans="5:5" x14ac:dyDescent="0.25">
      <c r="E10667" t="s">
        <v>10241</v>
      </c>
    </row>
    <row r="10668" spans="5:5" x14ac:dyDescent="0.25">
      <c r="E10668" t="s">
        <v>10242</v>
      </c>
    </row>
    <row r="10669" spans="5:5" x14ac:dyDescent="0.25">
      <c r="E10669" t="s">
        <v>10243</v>
      </c>
    </row>
    <row r="10670" spans="5:5" x14ac:dyDescent="0.25">
      <c r="E10670" t="s">
        <v>10244</v>
      </c>
    </row>
    <row r="10671" spans="5:5" x14ac:dyDescent="0.25">
      <c r="E10671" t="s">
        <v>10245</v>
      </c>
    </row>
    <row r="10672" spans="5:5" x14ac:dyDescent="0.25">
      <c r="E10672" t="s">
        <v>10246</v>
      </c>
    </row>
    <row r="10673" spans="5:5" x14ac:dyDescent="0.25">
      <c r="E10673" t="s">
        <v>10247</v>
      </c>
    </row>
    <row r="10674" spans="5:5" x14ac:dyDescent="0.25">
      <c r="E10674" t="s">
        <v>10248</v>
      </c>
    </row>
    <row r="10675" spans="5:5" x14ac:dyDescent="0.25">
      <c r="E10675" t="s">
        <v>10249</v>
      </c>
    </row>
    <row r="10676" spans="5:5" x14ac:dyDescent="0.25">
      <c r="E10676" t="s">
        <v>10250</v>
      </c>
    </row>
    <row r="10677" spans="5:5" x14ac:dyDescent="0.25">
      <c r="E10677" t="s">
        <v>10251</v>
      </c>
    </row>
    <row r="10678" spans="5:5" x14ac:dyDescent="0.25">
      <c r="E10678" t="s">
        <v>10252</v>
      </c>
    </row>
    <row r="10679" spans="5:5" x14ac:dyDescent="0.25">
      <c r="E10679" t="s">
        <v>10253</v>
      </c>
    </row>
    <row r="10680" spans="5:5" x14ac:dyDescent="0.25">
      <c r="E10680" t="s">
        <v>10254</v>
      </c>
    </row>
    <row r="10681" spans="5:5" x14ac:dyDescent="0.25">
      <c r="E10681" t="s">
        <v>10255</v>
      </c>
    </row>
    <row r="10682" spans="5:5" x14ac:dyDescent="0.25">
      <c r="E10682" t="s">
        <v>10256</v>
      </c>
    </row>
    <row r="10683" spans="5:5" x14ac:dyDescent="0.25">
      <c r="E10683" t="s">
        <v>10257</v>
      </c>
    </row>
    <row r="10684" spans="5:5" x14ac:dyDescent="0.25">
      <c r="E10684" t="s">
        <v>10258</v>
      </c>
    </row>
    <row r="10685" spans="5:5" x14ac:dyDescent="0.25">
      <c r="E10685" t="s">
        <v>10259</v>
      </c>
    </row>
    <row r="10686" spans="5:5" x14ac:dyDescent="0.25">
      <c r="E10686" t="s">
        <v>10260</v>
      </c>
    </row>
    <row r="10687" spans="5:5" x14ac:dyDescent="0.25">
      <c r="E10687" t="s">
        <v>10261</v>
      </c>
    </row>
    <row r="10688" spans="5:5" x14ac:dyDescent="0.25">
      <c r="E10688" t="s">
        <v>10262</v>
      </c>
    </row>
    <row r="10689" spans="5:5" x14ac:dyDescent="0.25">
      <c r="E10689" t="s">
        <v>10263</v>
      </c>
    </row>
    <row r="10690" spans="5:5" x14ac:dyDescent="0.25">
      <c r="E10690" t="s">
        <v>10264</v>
      </c>
    </row>
    <row r="10691" spans="5:5" x14ac:dyDescent="0.25">
      <c r="E10691" t="s">
        <v>10265</v>
      </c>
    </row>
    <row r="10692" spans="5:5" x14ac:dyDescent="0.25">
      <c r="E10692" t="s">
        <v>10266</v>
      </c>
    </row>
    <row r="10693" spans="5:5" x14ac:dyDescent="0.25">
      <c r="E10693" t="s">
        <v>10267</v>
      </c>
    </row>
    <row r="10694" spans="5:5" x14ac:dyDescent="0.25">
      <c r="E10694" t="s">
        <v>10268</v>
      </c>
    </row>
    <row r="10695" spans="5:5" x14ac:dyDescent="0.25">
      <c r="E10695" t="s">
        <v>10269</v>
      </c>
    </row>
    <row r="10696" spans="5:5" x14ac:dyDescent="0.25">
      <c r="E10696" t="s">
        <v>10270</v>
      </c>
    </row>
    <row r="10697" spans="5:5" x14ac:dyDescent="0.25">
      <c r="E10697" t="s">
        <v>10271</v>
      </c>
    </row>
    <row r="10698" spans="5:5" x14ac:dyDescent="0.25">
      <c r="E10698" t="s">
        <v>10272</v>
      </c>
    </row>
    <row r="10699" spans="5:5" x14ac:dyDescent="0.25">
      <c r="E10699" t="s">
        <v>10273</v>
      </c>
    </row>
    <row r="10700" spans="5:5" x14ac:dyDescent="0.25">
      <c r="E10700" t="s">
        <v>10274</v>
      </c>
    </row>
    <row r="10701" spans="5:5" x14ac:dyDescent="0.25">
      <c r="E10701" t="s">
        <v>10275</v>
      </c>
    </row>
    <row r="10702" spans="5:5" x14ac:dyDescent="0.25">
      <c r="E10702" t="s">
        <v>10276</v>
      </c>
    </row>
    <row r="10703" spans="5:5" x14ac:dyDescent="0.25">
      <c r="E10703" t="s">
        <v>10277</v>
      </c>
    </row>
    <row r="10704" spans="5:5" x14ac:dyDescent="0.25">
      <c r="E10704" t="s">
        <v>10278</v>
      </c>
    </row>
    <row r="10705" spans="5:5" x14ac:dyDescent="0.25">
      <c r="E10705" t="s">
        <v>10279</v>
      </c>
    </row>
    <row r="10706" spans="5:5" x14ac:dyDescent="0.25">
      <c r="E10706" t="s">
        <v>10280</v>
      </c>
    </row>
    <row r="10707" spans="5:5" x14ac:dyDescent="0.25">
      <c r="E10707" t="s">
        <v>10281</v>
      </c>
    </row>
    <row r="10708" spans="5:5" x14ac:dyDescent="0.25">
      <c r="E10708" t="s">
        <v>10282</v>
      </c>
    </row>
    <row r="10709" spans="5:5" x14ac:dyDescent="0.25">
      <c r="E10709" t="s">
        <v>10283</v>
      </c>
    </row>
    <row r="10710" spans="5:5" x14ac:dyDescent="0.25">
      <c r="E10710" t="s">
        <v>10284</v>
      </c>
    </row>
    <row r="10711" spans="5:5" x14ac:dyDescent="0.25">
      <c r="E10711" t="s">
        <v>10285</v>
      </c>
    </row>
    <row r="10712" spans="5:5" x14ac:dyDescent="0.25">
      <c r="E10712" t="s">
        <v>10286</v>
      </c>
    </row>
    <row r="10713" spans="5:5" x14ac:dyDescent="0.25">
      <c r="E10713" t="s">
        <v>10287</v>
      </c>
    </row>
    <row r="10715" spans="5:5" x14ac:dyDescent="0.25">
      <c r="E10715" t="s">
        <v>10288</v>
      </c>
    </row>
    <row r="10716" spans="5:5" x14ac:dyDescent="0.25">
      <c r="E10716" t="s">
        <v>10289</v>
      </c>
    </row>
    <row r="10717" spans="5:5" x14ac:dyDescent="0.25">
      <c r="E10717" t="s">
        <v>10290</v>
      </c>
    </row>
    <row r="10718" spans="5:5" x14ac:dyDescent="0.25">
      <c r="E10718" t="s">
        <v>10291</v>
      </c>
    </row>
    <row r="10719" spans="5:5" x14ac:dyDescent="0.25">
      <c r="E10719" t="s">
        <v>10292</v>
      </c>
    </row>
    <row r="10720" spans="5:5" x14ac:dyDescent="0.25">
      <c r="E10720" t="s">
        <v>10293</v>
      </c>
    </row>
    <row r="10721" spans="5:5" x14ac:dyDescent="0.25">
      <c r="E10721" t="s">
        <v>10294</v>
      </c>
    </row>
    <row r="10722" spans="5:5" x14ac:dyDescent="0.25">
      <c r="E10722" t="s">
        <v>10295</v>
      </c>
    </row>
    <row r="10723" spans="5:5" x14ac:dyDescent="0.25">
      <c r="E10723" t="s">
        <v>10296</v>
      </c>
    </row>
    <row r="10724" spans="5:5" x14ac:dyDescent="0.25">
      <c r="E10724" t="s">
        <v>10297</v>
      </c>
    </row>
    <row r="10725" spans="5:5" x14ac:dyDescent="0.25">
      <c r="E10725" t="s">
        <v>10298</v>
      </c>
    </row>
    <row r="10726" spans="5:5" x14ac:dyDescent="0.25">
      <c r="E10726" t="s">
        <v>10299</v>
      </c>
    </row>
    <row r="10727" spans="5:5" x14ac:dyDescent="0.25">
      <c r="E10727" t="s">
        <v>10300</v>
      </c>
    </row>
    <row r="10728" spans="5:5" x14ac:dyDescent="0.25">
      <c r="E10728" t="s">
        <v>10301</v>
      </c>
    </row>
    <row r="10729" spans="5:5" x14ac:dyDescent="0.25">
      <c r="E10729" t="s">
        <v>10302</v>
      </c>
    </row>
    <row r="10730" spans="5:5" x14ac:dyDescent="0.25">
      <c r="E10730" t="s">
        <v>10303</v>
      </c>
    </row>
    <row r="10731" spans="5:5" x14ac:dyDescent="0.25">
      <c r="E10731" t="s">
        <v>10304</v>
      </c>
    </row>
    <row r="10732" spans="5:5" x14ac:dyDescent="0.25">
      <c r="E10732" t="s">
        <v>10305</v>
      </c>
    </row>
    <row r="10733" spans="5:5" x14ac:dyDescent="0.25">
      <c r="E10733" t="s">
        <v>10306</v>
      </c>
    </row>
    <row r="10734" spans="5:5" x14ac:dyDescent="0.25">
      <c r="E10734" t="s">
        <v>10307</v>
      </c>
    </row>
    <row r="10735" spans="5:5" x14ac:dyDescent="0.25">
      <c r="E10735" t="s">
        <v>10308</v>
      </c>
    </row>
    <row r="10736" spans="5:5" x14ac:dyDescent="0.25">
      <c r="E10736" t="s">
        <v>10309</v>
      </c>
    </row>
    <row r="10737" spans="5:5" x14ac:dyDescent="0.25">
      <c r="E10737" t="s">
        <v>10310</v>
      </c>
    </row>
    <row r="10738" spans="5:5" x14ac:dyDescent="0.25">
      <c r="E10738" t="s">
        <v>10311</v>
      </c>
    </row>
    <row r="10739" spans="5:5" x14ac:dyDescent="0.25">
      <c r="E10739" t="s">
        <v>10312</v>
      </c>
    </row>
    <row r="10740" spans="5:5" x14ac:dyDescent="0.25">
      <c r="E10740" t="s">
        <v>10313</v>
      </c>
    </row>
    <row r="10741" spans="5:5" x14ac:dyDescent="0.25">
      <c r="E10741" t="s">
        <v>10314</v>
      </c>
    </row>
    <row r="10742" spans="5:5" x14ac:dyDescent="0.25">
      <c r="E10742" t="s">
        <v>10315</v>
      </c>
    </row>
    <row r="10743" spans="5:5" x14ac:dyDescent="0.25">
      <c r="E10743" t="s">
        <v>10316</v>
      </c>
    </row>
    <row r="10744" spans="5:5" x14ac:dyDescent="0.25">
      <c r="E10744" t="s">
        <v>10317</v>
      </c>
    </row>
    <row r="10745" spans="5:5" x14ac:dyDescent="0.25">
      <c r="E10745" t="s">
        <v>10318</v>
      </c>
    </row>
    <row r="10746" spans="5:5" x14ac:dyDescent="0.25">
      <c r="E10746" t="s">
        <v>10319</v>
      </c>
    </row>
    <row r="10747" spans="5:5" x14ac:dyDescent="0.25">
      <c r="E10747" t="s">
        <v>10320</v>
      </c>
    </row>
    <row r="10748" spans="5:5" x14ac:dyDescent="0.25">
      <c r="E10748" t="s">
        <v>10321</v>
      </c>
    </row>
    <row r="10749" spans="5:5" x14ac:dyDescent="0.25">
      <c r="E10749" t="s">
        <v>10322</v>
      </c>
    </row>
    <row r="10750" spans="5:5" x14ac:dyDescent="0.25">
      <c r="E10750" t="s">
        <v>10323</v>
      </c>
    </row>
    <row r="10751" spans="5:5" x14ac:dyDescent="0.25">
      <c r="E10751" t="s">
        <v>10324</v>
      </c>
    </row>
    <row r="10752" spans="5:5" x14ac:dyDescent="0.25">
      <c r="E10752" t="s">
        <v>10325</v>
      </c>
    </row>
    <row r="10753" spans="5:5" x14ac:dyDescent="0.25">
      <c r="E10753" t="s">
        <v>10326</v>
      </c>
    </row>
    <row r="10754" spans="5:5" x14ac:dyDescent="0.25">
      <c r="E10754" t="s">
        <v>10327</v>
      </c>
    </row>
    <row r="10755" spans="5:5" x14ac:dyDescent="0.25">
      <c r="E10755" t="s">
        <v>10328</v>
      </c>
    </row>
    <row r="10756" spans="5:5" x14ac:dyDescent="0.25">
      <c r="E10756" t="s">
        <v>10329</v>
      </c>
    </row>
    <row r="10757" spans="5:5" x14ac:dyDescent="0.25">
      <c r="E10757" t="s">
        <v>10330</v>
      </c>
    </row>
    <row r="10758" spans="5:5" x14ac:dyDescent="0.25">
      <c r="E10758" t="s">
        <v>10331</v>
      </c>
    </row>
    <row r="10759" spans="5:5" x14ac:dyDescent="0.25">
      <c r="E10759" t="s">
        <v>10332</v>
      </c>
    </row>
    <row r="10760" spans="5:5" x14ac:dyDescent="0.25">
      <c r="E10760" t="s">
        <v>10333</v>
      </c>
    </row>
    <row r="10761" spans="5:5" x14ac:dyDescent="0.25">
      <c r="E10761" t="s">
        <v>10334</v>
      </c>
    </row>
    <row r="10762" spans="5:5" x14ac:dyDescent="0.25">
      <c r="E10762" t="s">
        <v>10335</v>
      </c>
    </row>
    <row r="10763" spans="5:5" x14ac:dyDescent="0.25">
      <c r="E10763" t="s">
        <v>10336</v>
      </c>
    </row>
    <row r="10764" spans="5:5" x14ac:dyDescent="0.25">
      <c r="E10764" t="s">
        <v>10337</v>
      </c>
    </row>
    <row r="10765" spans="5:5" x14ac:dyDescent="0.25">
      <c r="E10765" t="s">
        <v>10338</v>
      </c>
    </row>
    <row r="10766" spans="5:5" x14ac:dyDescent="0.25">
      <c r="E10766" t="s">
        <v>10339</v>
      </c>
    </row>
    <row r="10767" spans="5:5" x14ac:dyDescent="0.25">
      <c r="E10767" t="s">
        <v>10340</v>
      </c>
    </row>
    <row r="10768" spans="5:5" x14ac:dyDescent="0.25">
      <c r="E10768" t="s">
        <v>10341</v>
      </c>
    </row>
    <row r="10769" spans="5:5" x14ac:dyDescent="0.25">
      <c r="E10769" t="s">
        <v>10342</v>
      </c>
    </row>
    <row r="10770" spans="5:5" x14ac:dyDescent="0.25">
      <c r="E10770" t="s">
        <v>10343</v>
      </c>
    </row>
    <row r="10771" spans="5:5" x14ac:dyDescent="0.25">
      <c r="E10771" t="s">
        <v>10344</v>
      </c>
    </row>
    <row r="10772" spans="5:5" x14ac:dyDescent="0.25">
      <c r="E10772" t="s">
        <v>10345</v>
      </c>
    </row>
    <row r="10773" spans="5:5" x14ac:dyDescent="0.25">
      <c r="E10773" t="s">
        <v>10346</v>
      </c>
    </row>
    <row r="10774" spans="5:5" x14ac:dyDescent="0.25">
      <c r="E10774" t="s">
        <v>10347</v>
      </c>
    </row>
    <row r="10775" spans="5:5" x14ac:dyDescent="0.25">
      <c r="E10775" t="s">
        <v>10348</v>
      </c>
    </row>
    <row r="10776" spans="5:5" x14ac:dyDescent="0.25">
      <c r="E10776" t="s">
        <v>10349</v>
      </c>
    </row>
    <row r="10777" spans="5:5" x14ac:dyDescent="0.25">
      <c r="E10777" t="s">
        <v>10350</v>
      </c>
    </row>
    <row r="10778" spans="5:5" x14ac:dyDescent="0.25">
      <c r="E10778" t="s">
        <v>10351</v>
      </c>
    </row>
    <row r="10779" spans="5:5" x14ac:dyDescent="0.25">
      <c r="E10779" t="s">
        <v>10352</v>
      </c>
    </row>
    <row r="10780" spans="5:5" x14ac:dyDescent="0.25">
      <c r="E10780" t="s">
        <v>10353</v>
      </c>
    </row>
    <row r="10781" spans="5:5" x14ac:dyDescent="0.25">
      <c r="E10781" t="s">
        <v>10354</v>
      </c>
    </row>
    <row r="10782" spans="5:5" x14ac:dyDescent="0.25">
      <c r="E10782" t="s">
        <v>10355</v>
      </c>
    </row>
    <row r="10783" spans="5:5" x14ac:dyDescent="0.25">
      <c r="E10783" t="s">
        <v>10356</v>
      </c>
    </row>
    <row r="10784" spans="5:5" x14ac:dyDescent="0.25">
      <c r="E10784" t="s">
        <v>10357</v>
      </c>
    </row>
    <row r="10785" spans="5:5" x14ac:dyDescent="0.25">
      <c r="E10785" t="s">
        <v>10358</v>
      </c>
    </row>
    <row r="10786" spans="5:5" x14ac:dyDescent="0.25">
      <c r="E10786" t="s">
        <v>10359</v>
      </c>
    </row>
    <row r="10787" spans="5:5" x14ac:dyDescent="0.25">
      <c r="E10787" t="s">
        <v>10360</v>
      </c>
    </row>
    <row r="10788" spans="5:5" x14ac:dyDescent="0.25">
      <c r="E10788" t="s">
        <v>10361</v>
      </c>
    </row>
    <row r="10789" spans="5:5" x14ac:dyDescent="0.25">
      <c r="E10789" t="s">
        <v>10362</v>
      </c>
    </row>
    <row r="10790" spans="5:5" x14ac:dyDescent="0.25">
      <c r="E10790" t="s">
        <v>10363</v>
      </c>
    </row>
    <row r="10791" spans="5:5" x14ac:dyDescent="0.25">
      <c r="E10791" t="s">
        <v>10364</v>
      </c>
    </row>
    <row r="10792" spans="5:5" x14ac:dyDescent="0.25">
      <c r="E10792" t="s">
        <v>10365</v>
      </c>
    </row>
    <row r="10793" spans="5:5" x14ac:dyDescent="0.25">
      <c r="E10793" t="s">
        <v>10366</v>
      </c>
    </row>
    <row r="10794" spans="5:5" x14ac:dyDescent="0.25">
      <c r="E10794" t="s">
        <v>10367</v>
      </c>
    </row>
    <row r="10795" spans="5:5" x14ac:dyDescent="0.25">
      <c r="E10795" t="s">
        <v>10368</v>
      </c>
    </row>
    <row r="10796" spans="5:5" x14ac:dyDescent="0.25">
      <c r="E10796" t="s">
        <v>10369</v>
      </c>
    </row>
    <row r="10797" spans="5:5" x14ac:dyDescent="0.25">
      <c r="E10797" t="s">
        <v>10370</v>
      </c>
    </row>
    <row r="10798" spans="5:5" x14ac:dyDescent="0.25">
      <c r="E10798" t="s">
        <v>10371</v>
      </c>
    </row>
    <row r="10799" spans="5:5" x14ac:dyDescent="0.25">
      <c r="E10799" t="s">
        <v>10372</v>
      </c>
    </row>
    <row r="10800" spans="5:5" x14ac:dyDescent="0.25">
      <c r="E10800" t="s">
        <v>10373</v>
      </c>
    </row>
    <row r="10801" spans="5:5" x14ac:dyDescent="0.25">
      <c r="E10801" t="s">
        <v>10374</v>
      </c>
    </row>
    <row r="10802" spans="5:5" x14ac:dyDescent="0.25">
      <c r="E10802" t="s">
        <v>10375</v>
      </c>
    </row>
    <row r="10803" spans="5:5" x14ac:dyDescent="0.25">
      <c r="E10803" t="s">
        <v>10376</v>
      </c>
    </row>
    <row r="10804" spans="5:5" x14ac:dyDescent="0.25">
      <c r="E10804" t="s">
        <v>10377</v>
      </c>
    </row>
    <row r="10805" spans="5:5" x14ac:dyDescent="0.25">
      <c r="E10805" t="s">
        <v>10378</v>
      </c>
    </row>
    <row r="10806" spans="5:5" x14ac:dyDescent="0.25">
      <c r="E10806" t="s">
        <v>10379</v>
      </c>
    </row>
    <row r="10807" spans="5:5" x14ac:dyDescent="0.25">
      <c r="E10807" t="s">
        <v>10380</v>
      </c>
    </row>
    <row r="10808" spans="5:5" x14ac:dyDescent="0.25">
      <c r="E10808" t="s">
        <v>10381</v>
      </c>
    </row>
    <row r="10809" spans="5:5" x14ac:dyDescent="0.25">
      <c r="E10809" t="s">
        <v>10382</v>
      </c>
    </row>
    <row r="10810" spans="5:5" x14ac:dyDescent="0.25">
      <c r="E10810" t="s">
        <v>10383</v>
      </c>
    </row>
    <row r="10811" spans="5:5" x14ac:dyDescent="0.25">
      <c r="E10811" t="s">
        <v>10384</v>
      </c>
    </row>
    <row r="10812" spans="5:5" x14ac:dyDescent="0.25">
      <c r="E10812" t="s">
        <v>10385</v>
      </c>
    </row>
    <row r="10813" spans="5:5" x14ac:dyDescent="0.25">
      <c r="E10813" t="s">
        <v>10386</v>
      </c>
    </row>
    <row r="10814" spans="5:5" x14ac:dyDescent="0.25">
      <c r="E10814" t="s">
        <v>10387</v>
      </c>
    </row>
    <row r="10815" spans="5:5" x14ac:dyDescent="0.25">
      <c r="E10815" t="s">
        <v>10388</v>
      </c>
    </row>
    <row r="10816" spans="5:5" x14ac:dyDescent="0.25">
      <c r="E10816" t="s">
        <v>10389</v>
      </c>
    </row>
    <row r="10817" spans="5:5" x14ac:dyDescent="0.25">
      <c r="E10817" t="s">
        <v>10390</v>
      </c>
    </row>
    <row r="10818" spans="5:5" x14ac:dyDescent="0.25">
      <c r="E10818" t="s">
        <v>10391</v>
      </c>
    </row>
    <row r="10819" spans="5:5" x14ac:dyDescent="0.25">
      <c r="E10819" t="s">
        <v>10392</v>
      </c>
    </row>
    <row r="10820" spans="5:5" x14ac:dyDescent="0.25">
      <c r="E10820" t="s">
        <v>10393</v>
      </c>
    </row>
    <row r="10821" spans="5:5" x14ac:dyDescent="0.25">
      <c r="E10821" t="s">
        <v>10394</v>
      </c>
    </row>
    <row r="10822" spans="5:5" x14ac:dyDescent="0.25">
      <c r="E10822" t="s">
        <v>10395</v>
      </c>
    </row>
    <row r="10823" spans="5:5" x14ac:dyDescent="0.25">
      <c r="E10823" t="s">
        <v>10396</v>
      </c>
    </row>
    <row r="10824" spans="5:5" x14ac:dyDescent="0.25">
      <c r="E10824" t="s">
        <v>10397</v>
      </c>
    </row>
    <row r="10825" spans="5:5" x14ac:dyDescent="0.25">
      <c r="E10825" t="s">
        <v>10398</v>
      </c>
    </row>
    <row r="10826" spans="5:5" x14ac:dyDescent="0.25">
      <c r="E10826" t="s">
        <v>10399</v>
      </c>
    </row>
    <row r="10827" spans="5:5" x14ac:dyDescent="0.25">
      <c r="E10827" t="s">
        <v>10400</v>
      </c>
    </row>
    <row r="10828" spans="5:5" x14ac:dyDescent="0.25">
      <c r="E10828" t="s">
        <v>10401</v>
      </c>
    </row>
    <row r="10829" spans="5:5" x14ac:dyDescent="0.25">
      <c r="E10829" t="s">
        <v>10402</v>
      </c>
    </row>
    <row r="10830" spans="5:5" x14ac:dyDescent="0.25">
      <c r="E10830" t="s">
        <v>10403</v>
      </c>
    </row>
    <row r="10831" spans="5:5" x14ac:dyDescent="0.25">
      <c r="E10831" t="s">
        <v>10404</v>
      </c>
    </row>
    <row r="10832" spans="5:5" x14ac:dyDescent="0.25">
      <c r="E10832" t="s">
        <v>10405</v>
      </c>
    </row>
    <row r="10833" spans="5:5" x14ac:dyDescent="0.25">
      <c r="E10833" t="s">
        <v>10406</v>
      </c>
    </row>
    <row r="10834" spans="5:5" x14ac:dyDescent="0.25">
      <c r="E10834" t="s">
        <v>10407</v>
      </c>
    </row>
    <row r="10835" spans="5:5" x14ac:dyDescent="0.25">
      <c r="E10835" t="s">
        <v>10408</v>
      </c>
    </row>
    <row r="10836" spans="5:5" x14ac:dyDescent="0.25">
      <c r="E10836" t="s">
        <v>10409</v>
      </c>
    </row>
    <row r="10837" spans="5:5" x14ac:dyDescent="0.25">
      <c r="E10837" t="s">
        <v>10410</v>
      </c>
    </row>
    <row r="10838" spans="5:5" x14ac:dyDescent="0.25">
      <c r="E10838" t="s">
        <v>10411</v>
      </c>
    </row>
    <row r="10839" spans="5:5" x14ac:dyDescent="0.25">
      <c r="E10839" t="s">
        <v>10412</v>
      </c>
    </row>
    <row r="10840" spans="5:5" x14ac:dyDescent="0.25">
      <c r="E10840" t="s">
        <v>10413</v>
      </c>
    </row>
    <row r="10841" spans="5:5" x14ac:dyDescent="0.25">
      <c r="E10841" t="s">
        <v>10414</v>
      </c>
    </row>
    <row r="10842" spans="5:5" x14ac:dyDescent="0.25">
      <c r="E10842" t="s">
        <v>10415</v>
      </c>
    </row>
    <row r="10843" spans="5:5" x14ac:dyDescent="0.25">
      <c r="E10843" t="s">
        <v>10416</v>
      </c>
    </row>
    <row r="10844" spans="5:5" x14ac:dyDescent="0.25">
      <c r="E10844" t="s">
        <v>10417</v>
      </c>
    </row>
    <row r="10845" spans="5:5" x14ac:dyDescent="0.25">
      <c r="E10845" t="s">
        <v>10418</v>
      </c>
    </row>
    <row r="10846" spans="5:5" x14ac:dyDescent="0.25">
      <c r="E10846" t="s">
        <v>10419</v>
      </c>
    </row>
    <row r="10847" spans="5:5" x14ac:dyDescent="0.25">
      <c r="E10847" t="s">
        <v>10420</v>
      </c>
    </row>
    <row r="10850" spans="5:5" x14ac:dyDescent="0.25">
      <c r="E10850" t="s">
        <v>10421</v>
      </c>
    </row>
    <row r="10851" spans="5:5" x14ac:dyDescent="0.25">
      <c r="E10851" t="s">
        <v>10422</v>
      </c>
    </row>
    <row r="10854" spans="5:5" x14ac:dyDescent="0.25">
      <c r="E10854" t="s">
        <v>10423</v>
      </c>
    </row>
    <row r="10855" spans="5:5" x14ac:dyDescent="0.25">
      <c r="E10855" t="s">
        <v>10424</v>
      </c>
    </row>
    <row r="10856" spans="5:5" x14ac:dyDescent="0.25">
      <c r="E10856" t="s">
        <v>10425</v>
      </c>
    </row>
    <row r="10857" spans="5:5" x14ac:dyDescent="0.25">
      <c r="E10857" t="s">
        <v>10426</v>
      </c>
    </row>
    <row r="10858" spans="5:5" x14ac:dyDescent="0.25">
      <c r="E10858" t="s">
        <v>10427</v>
      </c>
    </row>
    <row r="10859" spans="5:5" x14ac:dyDescent="0.25">
      <c r="E10859" t="s">
        <v>10428</v>
      </c>
    </row>
    <row r="10860" spans="5:5" x14ac:dyDescent="0.25">
      <c r="E10860" t="s">
        <v>10429</v>
      </c>
    </row>
    <row r="10861" spans="5:5" x14ac:dyDescent="0.25">
      <c r="E10861" t="s">
        <v>10430</v>
      </c>
    </row>
    <row r="10862" spans="5:5" x14ac:dyDescent="0.25">
      <c r="E10862" t="s">
        <v>10431</v>
      </c>
    </row>
    <row r="10863" spans="5:5" x14ac:dyDescent="0.25">
      <c r="E10863" t="s">
        <v>10432</v>
      </c>
    </row>
    <row r="10864" spans="5:5" x14ac:dyDescent="0.25">
      <c r="E10864" t="s">
        <v>10433</v>
      </c>
    </row>
    <row r="10865" spans="5:5" x14ac:dyDescent="0.25">
      <c r="E10865" t="s">
        <v>10434</v>
      </c>
    </row>
    <row r="10866" spans="5:5" x14ac:dyDescent="0.25">
      <c r="E10866" t="s">
        <v>10435</v>
      </c>
    </row>
    <row r="10867" spans="5:5" x14ac:dyDescent="0.25">
      <c r="E10867" t="s">
        <v>10436</v>
      </c>
    </row>
    <row r="10868" spans="5:5" x14ac:dyDescent="0.25">
      <c r="E10868" t="s">
        <v>10437</v>
      </c>
    </row>
    <row r="10869" spans="5:5" x14ac:dyDescent="0.25">
      <c r="E10869" t="s">
        <v>10438</v>
      </c>
    </row>
    <row r="10870" spans="5:5" x14ac:dyDescent="0.25">
      <c r="E10870" t="s">
        <v>10439</v>
      </c>
    </row>
    <row r="10871" spans="5:5" x14ac:dyDescent="0.25">
      <c r="E10871" t="s">
        <v>10440</v>
      </c>
    </row>
    <row r="10872" spans="5:5" x14ac:dyDescent="0.25">
      <c r="E10872" t="s">
        <v>10441</v>
      </c>
    </row>
    <row r="10873" spans="5:5" x14ac:dyDescent="0.25">
      <c r="E10873" t="s">
        <v>10442</v>
      </c>
    </row>
    <row r="10877" spans="5:5" x14ac:dyDescent="0.25">
      <c r="E10877" t="s">
        <v>10443</v>
      </c>
    </row>
    <row r="10878" spans="5:5" x14ac:dyDescent="0.25">
      <c r="E10878" t="s">
        <v>10444</v>
      </c>
    </row>
    <row r="10879" spans="5:5" x14ac:dyDescent="0.25">
      <c r="E10879" t="s">
        <v>10445</v>
      </c>
    </row>
    <row r="10880" spans="5:5" x14ac:dyDescent="0.25">
      <c r="E10880" t="s">
        <v>10446</v>
      </c>
    </row>
    <row r="10881" spans="5:5" x14ac:dyDescent="0.25">
      <c r="E10881" t="s">
        <v>10447</v>
      </c>
    </row>
    <row r="10882" spans="5:5" x14ac:dyDescent="0.25">
      <c r="E10882" t="s">
        <v>10448</v>
      </c>
    </row>
    <row r="10883" spans="5:5" x14ac:dyDescent="0.25">
      <c r="E10883" t="s">
        <v>10449</v>
      </c>
    </row>
    <row r="10884" spans="5:5" x14ac:dyDescent="0.25">
      <c r="E10884" t="s">
        <v>10450</v>
      </c>
    </row>
    <row r="10885" spans="5:5" x14ac:dyDescent="0.25">
      <c r="E10885" t="s">
        <v>10451</v>
      </c>
    </row>
    <row r="10886" spans="5:5" x14ac:dyDescent="0.25">
      <c r="E10886" t="s">
        <v>10452</v>
      </c>
    </row>
    <row r="10887" spans="5:5" x14ac:dyDescent="0.25">
      <c r="E10887" t="s">
        <v>10453</v>
      </c>
    </row>
    <row r="10888" spans="5:5" x14ac:dyDescent="0.25">
      <c r="E10888" t="s">
        <v>10454</v>
      </c>
    </row>
    <row r="10889" spans="5:5" x14ac:dyDescent="0.25">
      <c r="E10889" t="s">
        <v>10455</v>
      </c>
    </row>
    <row r="10890" spans="5:5" x14ac:dyDescent="0.25">
      <c r="E10890" t="s">
        <v>10456</v>
      </c>
    </row>
    <row r="10891" spans="5:5" x14ac:dyDescent="0.25">
      <c r="E10891" t="s">
        <v>10457</v>
      </c>
    </row>
    <row r="10892" spans="5:5" x14ac:dyDescent="0.25">
      <c r="E10892" t="s">
        <v>10458</v>
      </c>
    </row>
    <row r="10893" spans="5:5" x14ac:dyDescent="0.25">
      <c r="E10893" t="s">
        <v>10459</v>
      </c>
    </row>
    <row r="10894" spans="5:5" x14ac:dyDescent="0.25">
      <c r="E10894" t="s">
        <v>10460</v>
      </c>
    </row>
    <row r="10895" spans="5:5" x14ac:dyDescent="0.25">
      <c r="E10895" t="s">
        <v>10461</v>
      </c>
    </row>
    <row r="10896" spans="5:5" x14ac:dyDescent="0.25">
      <c r="E10896" t="s">
        <v>10462</v>
      </c>
    </row>
    <row r="10897" spans="5:5" x14ac:dyDescent="0.25">
      <c r="E10897" t="s">
        <v>10463</v>
      </c>
    </row>
    <row r="10898" spans="5:5" x14ac:dyDescent="0.25">
      <c r="E10898" t="s">
        <v>10464</v>
      </c>
    </row>
    <row r="10899" spans="5:5" x14ac:dyDescent="0.25">
      <c r="E10899" t="s">
        <v>10465</v>
      </c>
    </row>
    <row r="10900" spans="5:5" x14ac:dyDescent="0.25">
      <c r="E10900" t="s">
        <v>10466</v>
      </c>
    </row>
    <row r="10901" spans="5:5" x14ac:dyDescent="0.25">
      <c r="E10901" t="s">
        <v>10467</v>
      </c>
    </row>
    <row r="10902" spans="5:5" x14ac:dyDescent="0.25">
      <c r="E10902" t="s">
        <v>10468</v>
      </c>
    </row>
    <row r="10903" spans="5:5" x14ac:dyDescent="0.25">
      <c r="E10903" t="s">
        <v>10469</v>
      </c>
    </row>
    <row r="10904" spans="5:5" x14ac:dyDescent="0.25">
      <c r="E10904" t="s">
        <v>10470</v>
      </c>
    </row>
    <row r="10905" spans="5:5" x14ac:dyDescent="0.25">
      <c r="E10905" t="s">
        <v>10471</v>
      </c>
    </row>
    <row r="10906" spans="5:5" x14ac:dyDescent="0.25">
      <c r="E10906" t="s">
        <v>10472</v>
      </c>
    </row>
    <row r="10907" spans="5:5" x14ac:dyDescent="0.25">
      <c r="E10907" t="s">
        <v>10473</v>
      </c>
    </row>
    <row r="10908" spans="5:5" x14ac:dyDescent="0.25">
      <c r="E10908" t="s">
        <v>10474</v>
      </c>
    </row>
    <row r="10909" spans="5:5" x14ac:dyDescent="0.25">
      <c r="E10909" t="s">
        <v>10475</v>
      </c>
    </row>
    <row r="10910" spans="5:5" x14ac:dyDescent="0.25">
      <c r="E10910" t="s">
        <v>10476</v>
      </c>
    </row>
    <row r="10911" spans="5:5" x14ac:dyDescent="0.25">
      <c r="E10911" t="s">
        <v>10477</v>
      </c>
    </row>
    <row r="10912" spans="5:5" x14ac:dyDescent="0.25">
      <c r="E10912" t="s">
        <v>10478</v>
      </c>
    </row>
    <row r="10913" spans="5:5" x14ac:dyDescent="0.25">
      <c r="E10913" t="s">
        <v>10479</v>
      </c>
    </row>
    <row r="10914" spans="5:5" x14ac:dyDescent="0.25">
      <c r="E10914" t="s">
        <v>10480</v>
      </c>
    </row>
    <row r="10915" spans="5:5" x14ac:dyDescent="0.25">
      <c r="E10915" t="s">
        <v>10481</v>
      </c>
    </row>
    <row r="10916" spans="5:5" x14ac:dyDescent="0.25">
      <c r="E10916" t="s">
        <v>10482</v>
      </c>
    </row>
    <row r="10917" spans="5:5" x14ac:dyDescent="0.25">
      <c r="E10917" t="s">
        <v>10483</v>
      </c>
    </row>
    <row r="10918" spans="5:5" x14ac:dyDescent="0.25">
      <c r="E10918" t="s">
        <v>10484</v>
      </c>
    </row>
    <row r="10919" spans="5:5" x14ac:dyDescent="0.25">
      <c r="E10919" t="s">
        <v>10485</v>
      </c>
    </row>
    <row r="10920" spans="5:5" x14ac:dyDescent="0.25">
      <c r="E10920" t="s">
        <v>10486</v>
      </c>
    </row>
    <row r="10921" spans="5:5" x14ac:dyDescent="0.25">
      <c r="E10921" t="s">
        <v>10487</v>
      </c>
    </row>
    <row r="10922" spans="5:5" x14ac:dyDescent="0.25">
      <c r="E10922" t="s">
        <v>10488</v>
      </c>
    </row>
    <row r="10923" spans="5:5" x14ac:dyDescent="0.25">
      <c r="E10923" t="s">
        <v>10489</v>
      </c>
    </row>
    <row r="10924" spans="5:5" x14ac:dyDescent="0.25">
      <c r="E10924" t="s">
        <v>10490</v>
      </c>
    </row>
    <row r="10925" spans="5:5" x14ac:dyDescent="0.25">
      <c r="E10925" t="s">
        <v>10491</v>
      </c>
    </row>
    <row r="10926" spans="5:5" x14ac:dyDescent="0.25">
      <c r="E10926" t="s">
        <v>10492</v>
      </c>
    </row>
    <row r="10927" spans="5:5" x14ac:dyDescent="0.25">
      <c r="E10927" t="s">
        <v>10493</v>
      </c>
    </row>
    <row r="10928" spans="5:5" x14ac:dyDescent="0.25">
      <c r="E10928" t="s">
        <v>10494</v>
      </c>
    </row>
    <row r="10929" spans="5:5" x14ac:dyDescent="0.25">
      <c r="E10929" t="s">
        <v>10495</v>
      </c>
    </row>
    <row r="10930" spans="5:5" x14ac:dyDescent="0.25">
      <c r="E10930" t="s">
        <v>10496</v>
      </c>
    </row>
    <row r="10931" spans="5:5" x14ac:dyDescent="0.25">
      <c r="E10931" t="s">
        <v>10497</v>
      </c>
    </row>
    <row r="10932" spans="5:5" x14ac:dyDescent="0.25">
      <c r="E10932" t="s">
        <v>10498</v>
      </c>
    </row>
    <row r="10933" spans="5:5" x14ac:dyDescent="0.25">
      <c r="E10933" t="s">
        <v>10499</v>
      </c>
    </row>
    <row r="10934" spans="5:5" x14ac:dyDescent="0.25">
      <c r="E10934" t="s">
        <v>10500</v>
      </c>
    </row>
    <row r="10935" spans="5:5" x14ac:dyDescent="0.25">
      <c r="E10935" t="s">
        <v>10501</v>
      </c>
    </row>
    <row r="10936" spans="5:5" x14ac:dyDescent="0.25">
      <c r="E10936" t="s">
        <v>10502</v>
      </c>
    </row>
    <row r="10937" spans="5:5" x14ac:dyDescent="0.25">
      <c r="E10937" t="s">
        <v>10503</v>
      </c>
    </row>
    <row r="10938" spans="5:5" x14ac:dyDescent="0.25">
      <c r="E10938" t="s">
        <v>10504</v>
      </c>
    </row>
    <row r="10939" spans="5:5" x14ac:dyDescent="0.25">
      <c r="E10939" t="s">
        <v>10505</v>
      </c>
    </row>
    <row r="10940" spans="5:5" x14ac:dyDescent="0.25">
      <c r="E10940" t="s">
        <v>10506</v>
      </c>
    </row>
    <row r="10941" spans="5:5" x14ac:dyDescent="0.25">
      <c r="E10941" t="s">
        <v>10507</v>
      </c>
    </row>
    <row r="10942" spans="5:5" x14ac:dyDescent="0.25">
      <c r="E10942" t="s">
        <v>10508</v>
      </c>
    </row>
    <row r="10943" spans="5:5" x14ac:dyDescent="0.25">
      <c r="E10943" t="s">
        <v>10509</v>
      </c>
    </row>
    <row r="10944" spans="5:5" x14ac:dyDescent="0.25">
      <c r="E10944" t="s">
        <v>10510</v>
      </c>
    </row>
    <row r="10945" spans="5:5" x14ac:dyDescent="0.25">
      <c r="E10945" t="s">
        <v>10511</v>
      </c>
    </row>
    <row r="10946" spans="5:5" x14ac:dyDescent="0.25">
      <c r="E10946" t="s">
        <v>10512</v>
      </c>
    </row>
    <row r="10947" spans="5:5" x14ac:dyDescent="0.25">
      <c r="E10947" t="s">
        <v>10513</v>
      </c>
    </row>
    <row r="10948" spans="5:5" x14ac:dyDescent="0.25">
      <c r="E10948" t="s">
        <v>10514</v>
      </c>
    </row>
    <row r="10949" spans="5:5" x14ac:dyDescent="0.25">
      <c r="E10949" t="s">
        <v>10515</v>
      </c>
    </row>
    <row r="10950" spans="5:5" x14ac:dyDescent="0.25">
      <c r="E10950" t="s">
        <v>10516</v>
      </c>
    </row>
    <row r="10951" spans="5:5" x14ac:dyDescent="0.25">
      <c r="E10951" t="s">
        <v>10517</v>
      </c>
    </row>
    <row r="10952" spans="5:5" x14ac:dyDescent="0.25">
      <c r="E10952" t="s">
        <v>10518</v>
      </c>
    </row>
    <row r="10953" spans="5:5" x14ac:dyDescent="0.25">
      <c r="E10953" t="s">
        <v>10519</v>
      </c>
    </row>
    <row r="10954" spans="5:5" x14ac:dyDescent="0.25">
      <c r="E10954" t="s">
        <v>10520</v>
      </c>
    </row>
    <row r="10955" spans="5:5" x14ac:dyDescent="0.25">
      <c r="E10955" t="s">
        <v>10521</v>
      </c>
    </row>
    <row r="10956" spans="5:5" x14ac:dyDescent="0.25">
      <c r="E10956" t="s">
        <v>10522</v>
      </c>
    </row>
    <row r="10957" spans="5:5" x14ac:dyDescent="0.25">
      <c r="E10957" t="s">
        <v>10523</v>
      </c>
    </row>
    <row r="10958" spans="5:5" x14ac:dyDescent="0.25">
      <c r="E10958" t="s">
        <v>10524</v>
      </c>
    </row>
    <row r="10959" spans="5:5" x14ac:dyDescent="0.25">
      <c r="E10959" t="s">
        <v>10525</v>
      </c>
    </row>
    <row r="10960" spans="5:5" x14ac:dyDescent="0.25">
      <c r="E10960" t="s">
        <v>10526</v>
      </c>
    </row>
    <row r="10961" spans="5:5" x14ac:dyDescent="0.25">
      <c r="E10961" t="s">
        <v>10527</v>
      </c>
    </row>
    <row r="10962" spans="5:5" x14ac:dyDescent="0.25">
      <c r="E10962" t="s">
        <v>10528</v>
      </c>
    </row>
    <row r="10963" spans="5:5" x14ac:dyDescent="0.25">
      <c r="E10963" t="s">
        <v>10529</v>
      </c>
    </row>
    <row r="10964" spans="5:5" x14ac:dyDescent="0.25">
      <c r="E10964" t="s">
        <v>10530</v>
      </c>
    </row>
    <row r="10965" spans="5:5" x14ac:dyDescent="0.25">
      <c r="E10965" t="s">
        <v>10531</v>
      </c>
    </row>
    <row r="10966" spans="5:5" x14ac:dyDescent="0.25">
      <c r="E10966" t="s">
        <v>10532</v>
      </c>
    </row>
    <row r="10967" spans="5:5" x14ac:dyDescent="0.25">
      <c r="E10967" t="s">
        <v>10533</v>
      </c>
    </row>
    <row r="10968" spans="5:5" x14ac:dyDescent="0.25">
      <c r="E10968" t="s">
        <v>10534</v>
      </c>
    </row>
    <row r="10969" spans="5:5" x14ac:dyDescent="0.25">
      <c r="E10969" t="s">
        <v>10535</v>
      </c>
    </row>
    <row r="10970" spans="5:5" x14ac:dyDescent="0.25">
      <c r="E10970" t="s">
        <v>10536</v>
      </c>
    </row>
    <row r="10971" spans="5:5" x14ac:dyDescent="0.25">
      <c r="E10971" t="s">
        <v>10537</v>
      </c>
    </row>
    <row r="10972" spans="5:5" x14ac:dyDescent="0.25">
      <c r="E10972" t="s">
        <v>10538</v>
      </c>
    </row>
    <row r="10973" spans="5:5" x14ac:dyDescent="0.25">
      <c r="E10973" t="s">
        <v>10539</v>
      </c>
    </row>
    <row r="10974" spans="5:5" x14ac:dyDescent="0.25">
      <c r="E10974" t="s">
        <v>10540</v>
      </c>
    </row>
    <row r="10975" spans="5:5" x14ac:dyDescent="0.25">
      <c r="E10975" t="s">
        <v>10541</v>
      </c>
    </row>
    <row r="10976" spans="5:5" x14ac:dyDescent="0.25">
      <c r="E10976" t="s">
        <v>10542</v>
      </c>
    </row>
    <row r="10977" spans="5:5" x14ac:dyDescent="0.25">
      <c r="E10977" t="s">
        <v>10543</v>
      </c>
    </row>
    <row r="10978" spans="5:5" x14ac:dyDescent="0.25">
      <c r="E10978" t="s">
        <v>10544</v>
      </c>
    </row>
    <row r="10979" spans="5:5" x14ac:dyDescent="0.25">
      <c r="E10979" t="s">
        <v>10545</v>
      </c>
    </row>
    <row r="10980" spans="5:5" x14ac:dyDescent="0.25">
      <c r="E10980" t="s">
        <v>10546</v>
      </c>
    </row>
    <row r="10981" spans="5:5" x14ac:dyDescent="0.25">
      <c r="E10981" t="s">
        <v>10547</v>
      </c>
    </row>
    <row r="10982" spans="5:5" x14ac:dyDescent="0.25">
      <c r="E10982" t="s">
        <v>10548</v>
      </c>
    </row>
    <row r="10983" spans="5:5" x14ac:dyDescent="0.25">
      <c r="E10983" t="s">
        <v>10549</v>
      </c>
    </row>
    <row r="10984" spans="5:5" x14ac:dyDescent="0.25">
      <c r="E10984" t="s">
        <v>10550</v>
      </c>
    </row>
    <row r="10985" spans="5:5" x14ac:dyDescent="0.25">
      <c r="E10985" t="s">
        <v>10551</v>
      </c>
    </row>
    <row r="10986" spans="5:5" x14ac:dyDescent="0.25">
      <c r="E10986" t="s">
        <v>10552</v>
      </c>
    </row>
    <row r="10987" spans="5:5" x14ac:dyDescent="0.25">
      <c r="E10987" t="s">
        <v>10553</v>
      </c>
    </row>
    <row r="10988" spans="5:5" x14ac:dyDescent="0.25">
      <c r="E10988" t="s">
        <v>10554</v>
      </c>
    </row>
    <row r="10989" spans="5:5" x14ac:dyDescent="0.25">
      <c r="E10989" t="s">
        <v>10555</v>
      </c>
    </row>
    <row r="10990" spans="5:5" x14ac:dyDescent="0.25">
      <c r="E10990" t="s">
        <v>10556</v>
      </c>
    </row>
    <row r="10991" spans="5:5" x14ac:dyDescent="0.25">
      <c r="E10991" t="s">
        <v>10557</v>
      </c>
    </row>
    <row r="10992" spans="5:5" x14ac:dyDescent="0.25">
      <c r="E10992" t="s">
        <v>10558</v>
      </c>
    </row>
    <row r="10993" spans="5:5" x14ac:dyDescent="0.25">
      <c r="E10993" t="s">
        <v>10559</v>
      </c>
    </row>
    <row r="10994" spans="5:5" x14ac:dyDescent="0.25">
      <c r="E10994" t="s">
        <v>10560</v>
      </c>
    </row>
    <row r="10995" spans="5:5" x14ac:dyDescent="0.25">
      <c r="E10995" t="s">
        <v>10561</v>
      </c>
    </row>
    <row r="10996" spans="5:5" x14ac:dyDescent="0.25">
      <c r="E10996" t="s">
        <v>10562</v>
      </c>
    </row>
    <row r="10997" spans="5:5" x14ac:dyDescent="0.25">
      <c r="E10997" t="s">
        <v>10563</v>
      </c>
    </row>
    <row r="10998" spans="5:5" x14ac:dyDescent="0.25">
      <c r="E10998" t="s">
        <v>10564</v>
      </c>
    </row>
    <row r="10999" spans="5:5" x14ac:dyDescent="0.25">
      <c r="E10999" t="s">
        <v>10565</v>
      </c>
    </row>
    <row r="11000" spans="5:5" x14ac:dyDescent="0.25">
      <c r="E11000" t="s">
        <v>10566</v>
      </c>
    </row>
    <row r="11001" spans="5:5" x14ac:dyDescent="0.25">
      <c r="E11001" t="s">
        <v>10567</v>
      </c>
    </row>
    <row r="11002" spans="5:5" x14ac:dyDescent="0.25">
      <c r="E11002" t="s">
        <v>10568</v>
      </c>
    </row>
    <row r="11003" spans="5:5" x14ac:dyDescent="0.25">
      <c r="E11003" t="s">
        <v>10569</v>
      </c>
    </row>
    <row r="11004" spans="5:5" x14ac:dyDescent="0.25">
      <c r="E11004" t="s">
        <v>10570</v>
      </c>
    </row>
    <row r="11005" spans="5:5" x14ac:dyDescent="0.25">
      <c r="E11005" t="s">
        <v>10571</v>
      </c>
    </row>
    <row r="11006" spans="5:5" x14ac:dyDescent="0.25">
      <c r="E11006" t="s">
        <v>10572</v>
      </c>
    </row>
    <row r="11007" spans="5:5" x14ac:dyDescent="0.25">
      <c r="E11007" t="s">
        <v>10573</v>
      </c>
    </row>
    <row r="11008" spans="5:5" x14ac:dyDescent="0.25">
      <c r="E11008" t="s">
        <v>10574</v>
      </c>
    </row>
    <row r="11009" spans="5:5" x14ac:dyDescent="0.25">
      <c r="E11009" t="s">
        <v>10575</v>
      </c>
    </row>
    <row r="11010" spans="5:5" x14ac:dyDescent="0.25">
      <c r="E11010" t="s">
        <v>10576</v>
      </c>
    </row>
    <row r="11011" spans="5:5" x14ac:dyDescent="0.25">
      <c r="E11011" t="s">
        <v>10577</v>
      </c>
    </row>
    <row r="11012" spans="5:5" x14ac:dyDescent="0.25">
      <c r="E11012" t="s">
        <v>10578</v>
      </c>
    </row>
    <row r="11013" spans="5:5" x14ac:dyDescent="0.25">
      <c r="E11013" t="s">
        <v>10579</v>
      </c>
    </row>
    <row r="11014" spans="5:5" x14ac:dyDescent="0.25">
      <c r="E11014" t="s">
        <v>10580</v>
      </c>
    </row>
    <row r="11015" spans="5:5" x14ac:dyDescent="0.25">
      <c r="E11015" t="s">
        <v>10581</v>
      </c>
    </row>
    <row r="11016" spans="5:5" x14ac:dyDescent="0.25">
      <c r="E11016" t="s">
        <v>10582</v>
      </c>
    </row>
    <row r="11017" spans="5:5" x14ac:dyDescent="0.25">
      <c r="E11017" t="s">
        <v>10583</v>
      </c>
    </row>
    <row r="11018" spans="5:5" x14ac:dyDescent="0.25">
      <c r="E11018" t="s">
        <v>10584</v>
      </c>
    </row>
    <row r="11019" spans="5:5" x14ac:dyDescent="0.25">
      <c r="E11019" t="s">
        <v>10585</v>
      </c>
    </row>
    <row r="11020" spans="5:5" x14ac:dyDescent="0.25">
      <c r="E11020" t="s">
        <v>10586</v>
      </c>
    </row>
    <row r="11021" spans="5:5" x14ac:dyDescent="0.25">
      <c r="E11021" t="s">
        <v>10587</v>
      </c>
    </row>
    <row r="11022" spans="5:5" x14ac:dyDescent="0.25">
      <c r="E11022" t="s">
        <v>10588</v>
      </c>
    </row>
    <row r="11023" spans="5:5" x14ac:dyDescent="0.25">
      <c r="E11023" t="s">
        <v>10589</v>
      </c>
    </row>
    <row r="11024" spans="5:5" x14ac:dyDescent="0.25">
      <c r="E11024" t="s">
        <v>10590</v>
      </c>
    </row>
    <row r="11025" spans="5:5" x14ac:dyDescent="0.25">
      <c r="E11025" t="s">
        <v>10591</v>
      </c>
    </row>
    <row r="11026" spans="5:5" x14ac:dyDescent="0.25">
      <c r="E11026" t="s">
        <v>10592</v>
      </c>
    </row>
    <row r="11027" spans="5:5" x14ac:dyDescent="0.25">
      <c r="E11027" t="s">
        <v>10593</v>
      </c>
    </row>
    <row r="11028" spans="5:5" x14ac:dyDescent="0.25">
      <c r="E11028" t="s">
        <v>10594</v>
      </c>
    </row>
    <row r="11029" spans="5:5" x14ac:dyDescent="0.25">
      <c r="E11029" t="s">
        <v>10595</v>
      </c>
    </row>
    <row r="11030" spans="5:5" x14ac:dyDescent="0.25">
      <c r="E11030" t="s">
        <v>10596</v>
      </c>
    </row>
    <row r="11031" spans="5:5" x14ac:dyDescent="0.25">
      <c r="E11031" t="s">
        <v>10597</v>
      </c>
    </row>
    <row r="11032" spans="5:5" x14ac:dyDescent="0.25">
      <c r="E11032" t="s">
        <v>10598</v>
      </c>
    </row>
    <row r="11033" spans="5:5" x14ac:dyDescent="0.25">
      <c r="E11033" t="s">
        <v>10599</v>
      </c>
    </row>
    <row r="11034" spans="5:5" x14ac:dyDescent="0.25">
      <c r="E11034" t="s">
        <v>10600</v>
      </c>
    </row>
    <row r="11035" spans="5:5" x14ac:dyDescent="0.25">
      <c r="E11035" t="s">
        <v>10601</v>
      </c>
    </row>
    <row r="11036" spans="5:5" x14ac:dyDescent="0.25">
      <c r="E11036" t="s">
        <v>10602</v>
      </c>
    </row>
    <row r="11037" spans="5:5" x14ac:dyDescent="0.25">
      <c r="E11037" t="s">
        <v>10603</v>
      </c>
    </row>
    <row r="11038" spans="5:5" x14ac:dyDescent="0.25">
      <c r="E11038" t="s">
        <v>10604</v>
      </c>
    </row>
    <row r="11039" spans="5:5" x14ac:dyDescent="0.25">
      <c r="E11039" t="s">
        <v>10605</v>
      </c>
    </row>
    <row r="11040" spans="5:5" x14ac:dyDescent="0.25">
      <c r="E11040" t="s">
        <v>10606</v>
      </c>
    </row>
    <row r="11041" spans="5:5" x14ac:dyDescent="0.25">
      <c r="E11041" t="s">
        <v>10607</v>
      </c>
    </row>
    <row r="11042" spans="5:5" x14ac:dyDescent="0.25">
      <c r="E11042" t="s">
        <v>10608</v>
      </c>
    </row>
    <row r="11043" spans="5:5" x14ac:dyDescent="0.25">
      <c r="E11043" t="s">
        <v>10609</v>
      </c>
    </row>
    <row r="11044" spans="5:5" x14ac:dyDescent="0.25">
      <c r="E11044" t="s">
        <v>10610</v>
      </c>
    </row>
    <row r="11045" spans="5:5" x14ac:dyDescent="0.25">
      <c r="E11045" t="s">
        <v>10611</v>
      </c>
    </row>
    <row r="11046" spans="5:5" x14ac:dyDescent="0.25">
      <c r="E11046" t="s">
        <v>10612</v>
      </c>
    </row>
    <row r="11047" spans="5:5" x14ac:dyDescent="0.25">
      <c r="E11047" t="s">
        <v>10613</v>
      </c>
    </row>
    <row r="11048" spans="5:5" x14ac:dyDescent="0.25">
      <c r="E11048" t="s">
        <v>10614</v>
      </c>
    </row>
    <row r="11049" spans="5:5" x14ac:dyDescent="0.25">
      <c r="E11049" t="s">
        <v>10615</v>
      </c>
    </row>
    <row r="11050" spans="5:5" x14ac:dyDescent="0.25">
      <c r="E11050" t="s">
        <v>10616</v>
      </c>
    </row>
    <row r="11051" spans="5:5" x14ac:dyDescent="0.25">
      <c r="E11051" t="s">
        <v>10617</v>
      </c>
    </row>
    <row r="11052" spans="5:5" x14ac:dyDescent="0.25">
      <c r="E11052" t="s">
        <v>10618</v>
      </c>
    </row>
    <row r="11053" spans="5:5" x14ac:dyDescent="0.25">
      <c r="E11053" t="s">
        <v>10619</v>
      </c>
    </row>
    <row r="11054" spans="5:5" x14ac:dyDescent="0.25">
      <c r="E11054" t="s">
        <v>10620</v>
      </c>
    </row>
    <row r="11055" spans="5:5" x14ac:dyDescent="0.25">
      <c r="E11055" t="s">
        <v>10621</v>
      </c>
    </row>
    <row r="11056" spans="5:5" x14ac:dyDescent="0.25">
      <c r="E11056" t="s">
        <v>10622</v>
      </c>
    </row>
    <row r="11057" spans="5:5" x14ac:dyDescent="0.25">
      <c r="E11057" t="s">
        <v>10623</v>
      </c>
    </row>
    <row r="11058" spans="5:5" x14ac:dyDescent="0.25">
      <c r="E11058" t="s">
        <v>10624</v>
      </c>
    </row>
    <row r="11059" spans="5:5" x14ac:dyDescent="0.25">
      <c r="E11059" t="s">
        <v>10625</v>
      </c>
    </row>
    <row r="11060" spans="5:5" x14ac:dyDescent="0.25">
      <c r="E11060" t="s">
        <v>10626</v>
      </c>
    </row>
    <row r="11061" spans="5:5" x14ac:dyDescent="0.25">
      <c r="E11061" t="s">
        <v>10627</v>
      </c>
    </row>
    <row r="11062" spans="5:5" x14ac:dyDescent="0.25">
      <c r="E11062" t="s">
        <v>10628</v>
      </c>
    </row>
    <row r="11063" spans="5:5" x14ac:dyDescent="0.25">
      <c r="E11063" t="s">
        <v>10629</v>
      </c>
    </row>
    <row r="11064" spans="5:5" x14ac:dyDescent="0.25">
      <c r="E11064" t="s">
        <v>10630</v>
      </c>
    </row>
    <row r="11065" spans="5:5" x14ac:dyDescent="0.25">
      <c r="E11065" t="s">
        <v>10631</v>
      </c>
    </row>
    <row r="11066" spans="5:5" x14ac:dyDescent="0.25">
      <c r="E11066" t="s">
        <v>10632</v>
      </c>
    </row>
    <row r="11067" spans="5:5" x14ac:dyDescent="0.25">
      <c r="E11067" t="s">
        <v>10633</v>
      </c>
    </row>
    <row r="11068" spans="5:5" x14ac:dyDescent="0.25">
      <c r="E11068" t="s">
        <v>10634</v>
      </c>
    </row>
    <row r="11069" spans="5:5" x14ac:dyDescent="0.25">
      <c r="E11069" t="s">
        <v>10635</v>
      </c>
    </row>
    <row r="11070" spans="5:5" x14ac:dyDescent="0.25">
      <c r="E11070" t="s">
        <v>10636</v>
      </c>
    </row>
    <row r="11071" spans="5:5" x14ac:dyDescent="0.25">
      <c r="E11071" t="s">
        <v>10637</v>
      </c>
    </row>
    <row r="11072" spans="5:5" x14ac:dyDescent="0.25">
      <c r="E11072" t="s">
        <v>10638</v>
      </c>
    </row>
    <row r="11073" spans="5:5" x14ac:dyDescent="0.25">
      <c r="E11073" t="s">
        <v>10639</v>
      </c>
    </row>
    <row r="11074" spans="5:5" x14ac:dyDescent="0.25">
      <c r="E11074" t="s">
        <v>10640</v>
      </c>
    </row>
    <row r="11075" spans="5:5" x14ac:dyDescent="0.25">
      <c r="E11075" t="s">
        <v>10641</v>
      </c>
    </row>
    <row r="11076" spans="5:5" x14ac:dyDescent="0.25">
      <c r="E11076" t="s">
        <v>10642</v>
      </c>
    </row>
    <row r="11077" spans="5:5" x14ac:dyDescent="0.25">
      <c r="E11077" t="s">
        <v>10643</v>
      </c>
    </row>
    <row r="11078" spans="5:5" x14ac:dyDescent="0.25">
      <c r="E11078" t="s">
        <v>10644</v>
      </c>
    </row>
    <row r="11079" spans="5:5" x14ac:dyDescent="0.25">
      <c r="E11079" t="s">
        <v>10645</v>
      </c>
    </row>
    <row r="11080" spans="5:5" x14ac:dyDescent="0.25">
      <c r="E11080" t="s">
        <v>10646</v>
      </c>
    </row>
    <row r="11081" spans="5:5" x14ac:dyDescent="0.25">
      <c r="E11081" t="s">
        <v>10647</v>
      </c>
    </row>
    <row r="11082" spans="5:5" x14ac:dyDescent="0.25">
      <c r="E11082" t="s">
        <v>10648</v>
      </c>
    </row>
    <row r="11083" spans="5:5" x14ac:dyDescent="0.25">
      <c r="E11083" t="s">
        <v>10649</v>
      </c>
    </row>
    <row r="11084" spans="5:5" x14ac:dyDescent="0.25">
      <c r="E11084" t="s">
        <v>10650</v>
      </c>
    </row>
    <row r="11085" spans="5:5" x14ac:dyDescent="0.25">
      <c r="E11085" t="s">
        <v>10651</v>
      </c>
    </row>
    <row r="11086" spans="5:5" x14ac:dyDescent="0.25">
      <c r="E11086" t="s">
        <v>10652</v>
      </c>
    </row>
    <row r="11087" spans="5:5" x14ac:dyDescent="0.25">
      <c r="E11087" t="s">
        <v>10653</v>
      </c>
    </row>
    <row r="11088" spans="5:5" x14ac:dyDescent="0.25">
      <c r="E11088" t="s">
        <v>10654</v>
      </c>
    </row>
    <row r="11089" spans="5:5" x14ac:dyDescent="0.25">
      <c r="E11089" t="s">
        <v>10655</v>
      </c>
    </row>
    <row r="11090" spans="5:5" x14ac:dyDescent="0.25">
      <c r="E11090" t="s">
        <v>10656</v>
      </c>
    </row>
    <row r="11091" spans="5:5" x14ac:dyDescent="0.25">
      <c r="E11091" t="s">
        <v>10657</v>
      </c>
    </row>
    <row r="11092" spans="5:5" x14ac:dyDescent="0.25">
      <c r="E11092" t="s">
        <v>10658</v>
      </c>
    </row>
    <row r="11093" spans="5:5" x14ac:dyDescent="0.25">
      <c r="E11093" t="s">
        <v>10659</v>
      </c>
    </row>
    <row r="11094" spans="5:5" x14ac:dyDescent="0.25">
      <c r="E11094" t="s">
        <v>10660</v>
      </c>
    </row>
    <row r="11095" spans="5:5" x14ac:dyDescent="0.25">
      <c r="E11095" t="s">
        <v>10661</v>
      </c>
    </row>
    <row r="11096" spans="5:5" x14ac:dyDescent="0.25">
      <c r="E11096" t="s">
        <v>10662</v>
      </c>
    </row>
    <row r="11097" spans="5:5" x14ac:dyDescent="0.25">
      <c r="E11097" t="s">
        <v>10663</v>
      </c>
    </row>
    <row r="11098" spans="5:5" x14ac:dyDescent="0.25">
      <c r="E11098" t="s">
        <v>10664</v>
      </c>
    </row>
    <row r="11099" spans="5:5" x14ac:dyDescent="0.25">
      <c r="E11099" t="s">
        <v>10665</v>
      </c>
    </row>
    <row r="11100" spans="5:5" x14ac:dyDescent="0.25">
      <c r="E11100" t="s">
        <v>10666</v>
      </c>
    </row>
    <row r="11101" spans="5:5" x14ac:dyDescent="0.25">
      <c r="E11101" t="s">
        <v>10667</v>
      </c>
    </row>
    <row r="11102" spans="5:5" x14ac:dyDescent="0.25">
      <c r="E11102" t="s">
        <v>10668</v>
      </c>
    </row>
    <row r="11103" spans="5:5" x14ac:dyDescent="0.25">
      <c r="E11103" t="s">
        <v>10669</v>
      </c>
    </row>
    <row r="11104" spans="5:5" x14ac:dyDescent="0.25">
      <c r="E11104" t="s">
        <v>10670</v>
      </c>
    </row>
    <row r="11105" spans="5:5" x14ac:dyDescent="0.25">
      <c r="E11105" t="s">
        <v>10671</v>
      </c>
    </row>
    <row r="11106" spans="5:5" x14ac:dyDescent="0.25">
      <c r="E11106" t="s">
        <v>10672</v>
      </c>
    </row>
    <row r="11107" spans="5:5" x14ac:dyDescent="0.25">
      <c r="E11107" t="s">
        <v>10673</v>
      </c>
    </row>
    <row r="11108" spans="5:5" x14ac:dyDescent="0.25">
      <c r="E11108" t="s">
        <v>10674</v>
      </c>
    </row>
    <row r="11109" spans="5:5" x14ac:dyDescent="0.25">
      <c r="E11109" t="s">
        <v>10675</v>
      </c>
    </row>
    <row r="11110" spans="5:5" x14ac:dyDescent="0.25">
      <c r="E11110" t="s">
        <v>10676</v>
      </c>
    </row>
    <row r="11111" spans="5:5" x14ac:dyDescent="0.25">
      <c r="E11111" t="s">
        <v>10677</v>
      </c>
    </row>
    <row r="11112" spans="5:5" x14ac:dyDescent="0.25">
      <c r="E11112" t="s">
        <v>10678</v>
      </c>
    </row>
    <row r="11113" spans="5:5" x14ac:dyDescent="0.25">
      <c r="E11113" t="s">
        <v>10679</v>
      </c>
    </row>
    <row r="11114" spans="5:5" x14ac:dyDescent="0.25">
      <c r="E11114" t="s">
        <v>10680</v>
      </c>
    </row>
    <row r="11115" spans="5:5" x14ac:dyDescent="0.25">
      <c r="E11115" t="s">
        <v>10681</v>
      </c>
    </row>
    <row r="11116" spans="5:5" x14ac:dyDescent="0.25">
      <c r="E11116" t="s">
        <v>10682</v>
      </c>
    </row>
    <row r="11117" spans="5:5" x14ac:dyDescent="0.25">
      <c r="E11117" t="s">
        <v>10683</v>
      </c>
    </row>
    <row r="11118" spans="5:5" x14ac:dyDescent="0.25">
      <c r="E11118" t="s">
        <v>10684</v>
      </c>
    </row>
    <row r="11119" spans="5:5" x14ac:dyDescent="0.25">
      <c r="E11119" t="s">
        <v>10685</v>
      </c>
    </row>
    <row r="11120" spans="5:5" x14ac:dyDescent="0.25">
      <c r="E11120" t="s">
        <v>10686</v>
      </c>
    </row>
    <row r="11121" spans="5:5" x14ac:dyDescent="0.25">
      <c r="E11121" t="s">
        <v>10687</v>
      </c>
    </row>
    <row r="11122" spans="5:5" x14ac:dyDescent="0.25">
      <c r="E11122" t="s">
        <v>10688</v>
      </c>
    </row>
    <row r="11123" spans="5:5" x14ac:dyDescent="0.25">
      <c r="E11123" t="s">
        <v>10689</v>
      </c>
    </row>
    <row r="11124" spans="5:5" x14ac:dyDescent="0.25">
      <c r="E11124" t="s">
        <v>10690</v>
      </c>
    </row>
    <row r="11125" spans="5:5" x14ac:dyDescent="0.25">
      <c r="E11125" t="s">
        <v>10691</v>
      </c>
    </row>
    <row r="11126" spans="5:5" x14ac:dyDescent="0.25">
      <c r="E11126" t="s">
        <v>10692</v>
      </c>
    </row>
    <row r="11127" spans="5:5" x14ac:dyDescent="0.25">
      <c r="E11127" t="s">
        <v>10693</v>
      </c>
    </row>
    <row r="11128" spans="5:5" x14ac:dyDescent="0.25">
      <c r="E11128" t="s">
        <v>10694</v>
      </c>
    </row>
    <row r="11129" spans="5:5" x14ac:dyDescent="0.25">
      <c r="E11129" t="s">
        <v>10695</v>
      </c>
    </row>
    <row r="11130" spans="5:5" x14ac:dyDescent="0.25">
      <c r="E11130" t="s">
        <v>10696</v>
      </c>
    </row>
    <row r="11131" spans="5:5" x14ac:dyDescent="0.25">
      <c r="E11131" t="s">
        <v>10697</v>
      </c>
    </row>
    <row r="11132" spans="5:5" x14ac:dyDescent="0.25">
      <c r="E11132" t="s">
        <v>10698</v>
      </c>
    </row>
    <row r="11133" spans="5:5" x14ac:dyDescent="0.25">
      <c r="E11133" t="s">
        <v>10699</v>
      </c>
    </row>
    <row r="11134" spans="5:5" x14ac:dyDescent="0.25">
      <c r="E11134" t="s">
        <v>10700</v>
      </c>
    </row>
    <row r="11135" spans="5:5" x14ac:dyDescent="0.25">
      <c r="E11135" t="s">
        <v>10701</v>
      </c>
    </row>
    <row r="11136" spans="5:5" x14ac:dyDescent="0.25">
      <c r="E11136" t="s">
        <v>10702</v>
      </c>
    </row>
    <row r="11137" spans="5:5" x14ac:dyDescent="0.25">
      <c r="E11137" t="s">
        <v>10703</v>
      </c>
    </row>
    <row r="11138" spans="5:5" x14ac:dyDescent="0.25">
      <c r="E11138" t="s">
        <v>10704</v>
      </c>
    </row>
    <row r="11139" spans="5:5" x14ac:dyDescent="0.25">
      <c r="E11139" t="s">
        <v>10705</v>
      </c>
    </row>
    <row r="11140" spans="5:5" x14ac:dyDescent="0.25">
      <c r="E11140" t="s">
        <v>10706</v>
      </c>
    </row>
    <row r="11141" spans="5:5" x14ac:dyDescent="0.25">
      <c r="E11141" t="s">
        <v>10707</v>
      </c>
    </row>
    <row r="11142" spans="5:5" x14ac:dyDescent="0.25">
      <c r="E11142" t="s">
        <v>10708</v>
      </c>
    </row>
    <row r="11143" spans="5:5" x14ac:dyDescent="0.25">
      <c r="E11143" t="s">
        <v>10709</v>
      </c>
    </row>
    <row r="11144" spans="5:5" x14ac:dyDescent="0.25">
      <c r="E11144" t="s">
        <v>10710</v>
      </c>
    </row>
    <row r="11145" spans="5:5" x14ac:dyDescent="0.25">
      <c r="E11145" t="s">
        <v>10711</v>
      </c>
    </row>
    <row r="11146" spans="5:5" x14ac:dyDescent="0.25">
      <c r="E11146" t="s">
        <v>10712</v>
      </c>
    </row>
    <row r="11147" spans="5:5" x14ac:dyDescent="0.25">
      <c r="E11147" t="s">
        <v>10713</v>
      </c>
    </row>
    <row r="11148" spans="5:5" x14ac:dyDescent="0.25">
      <c r="E11148" t="s">
        <v>10714</v>
      </c>
    </row>
    <row r="11149" spans="5:5" x14ac:dyDescent="0.25">
      <c r="E11149" t="s">
        <v>10715</v>
      </c>
    </row>
    <row r="11150" spans="5:5" x14ac:dyDescent="0.25">
      <c r="E11150" t="s">
        <v>10716</v>
      </c>
    </row>
    <row r="11151" spans="5:5" x14ac:dyDescent="0.25">
      <c r="E11151" t="s">
        <v>10717</v>
      </c>
    </row>
    <row r="11152" spans="5:5" x14ac:dyDescent="0.25">
      <c r="E11152" t="s">
        <v>10718</v>
      </c>
    </row>
    <row r="11153" spans="5:5" x14ac:dyDescent="0.25">
      <c r="E11153" t="s">
        <v>10719</v>
      </c>
    </row>
    <row r="11154" spans="5:5" x14ac:dyDescent="0.25">
      <c r="E11154" t="s">
        <v>10720</v>
      </c>
    </row>
    <row r="11155" spans="5:5" x14ac:dyDescent="0.25">
      <c r="E11155" t="s">
        <v>10721</v>
      </c>
    </row>
    <row r="11156" spans="5:5" x14ac:dyDescent="0.25">
      <c r="E11156" t="s">
        <v>10722</v>
      </c>
    </row>
    <row r="11157" spans="5:5" x14ac:dyDescent="0.25">
      <c r="E11157" t="s">
        <v>10723</v>
      </c>
    </row>
    <row r="11158" spans="5:5" x14ac:dyDescent="0.25">
      <c r="E11158" t="s">
        <v>10724</v>
      </c>
    </row>
    <row r="11159" spans="5:5" x14ac:dyDescent="0.25">
      <c r="E11159" t="s">
        <v>10725</v>
      </c>
    </row>
    <row r="11160" spans="5:5" x14ac:dyDescent="0.25">
      <c r="E11160" t="s">
        <v>10726</v>
      </c>
    </row>
    <row r="11161" spans="5:5" x14ac:dyDescent="0.25">
      <c r="E11161" t="s">
        <v>10727</v>
      </c>
    </row>
    <row r="11162" spans="5:5" x14ac:dyDescent="0.25">
      <c r="E11162" t="s">
        <v>10728</v>
      </c>
    </row>
    <row r="11163" spans="5:5" x14ac:dyDescent="0.25">
      <c r="E11163" t="s">
        <v>10729</v>
      </c>
    </row>
    <row r="11164" spans="5:5" x14ac:dyDescent="0.25">
      <c r="E11164" t="s">
        <v>10730</v>
      </c>
    </row>
    <row r="11165" spans="5:5" x14ac:dyDescent="0.25">
      <c r="E11165" t="s">
        <v>10731</v>
      </c>
    </row>
    <row r="11166" spans="5:5" x14ac:dyDescent="0.25">
      <c r="E11166" t="s">
        <v>10732</v>
      </c>
    </row>
    <row r="11167" spans="5:5" x14ac:dyDescent="0.25">
      <c r="E11167" t="s">
        <v>10733</v>
      </c>
    </row>
    <row r="11168" spans="5:5" x14ac:dyDescent="0.25">
      <c r="E11168" t="s">
        <v>10734</v>
      </c>
    </row>
    <row r="11169" spans="5:5" x14ac:dyDescent="0.25">
      <c r="E11169" t="s">
        <v>10735</v>
      </c>
    </row>
    <row r="11170" spans="5:5" x14ac:dyDescent="0.25">
      <c r="E11170" t="s">
        <v>10736</v>
      </c>
    </row>
    <row r="11171" spans="5:5" x14ac:dyDescent="0.25">
      <c r="E11171" t="s">
        <v>10737</v>
      </c>
    </row>
    <row r="11172" spans="5:5" x14ac:dyDescent="0.25">
      <c r="E11172" t="s">
        <v>10738</v>
      </c>
    </row>
    <row r="11173" spans="5:5" x14ac:dyDescent="0.25">
      <c r="E11173" t="s">
        <v>10739</v>
      </c>
    </row>
    <row r="11174" spans="5:5" x14ac:dyDescent="0.25">
      <c r="E11174" t="s">
        <v>10740</v>
      </c>
    </row>
    <row r="11175" spans="5:5" x14ac:dyDescent="0.25">
      <c r="E11175" t="s">
        <v>10741</v>
      </c>
    </row>
    <row r="11176" spans="5:5" x14ac:dyDescent="0.25">
      <c r="E11176" t="s">
        <v>10742</v>
      </c>
    </row>
    <row r="11177" spans="5:5" x14ac:dyDescent="0.25">
      <c r="E11177" t="s">
        <v>10743</v>
      </c>
    </row>
    <row r="11178" spans="5:5" x14ac:dyDescent="0.25">
      <c r="E11178" t="s">
        <v>10744</v>
      </c>
    </row>
    <row r="11179" spans="5:5" x14ac:dyDescent="0.25">
      <c r="E11179" t="s">
        <v>10745</v>
      </c>
    </row>
    <row r="11180" spans="5:5" x14ac:dyDescent="0.25">
      <c r="E11180" t="s">
        <v>10746</v>
      </c>
    </row>
    <row r="11181" spans="5:5" x14ac:dyDescent="0.25">
      <c r="E11181" t="s">
        <v>10747</v>
      </c>
    </row>
    <row r="11182" spans="5:5" x14ac:dyDescent="0.25">
      <c r="E11182" t="s">
        <v>10748</v>
      </c>
    </row>
    <row r="11183" spans="5:5" x14ac:dyDescent="0.25">
      <c r="E11183" t="s">
        <v>10749</v>
      </c>
    </row>
    <row r="11184" spans="5:5" x14ac:dyDescent="0.25">
      <c r="E11184" t="s">
        <v>10750</v>
      </c>
    </row>
    <row r="11185" spans="5:5" x14ac:dyDescent="0.25">
      <c r="E11185" t="s">
        <v>10751</v>
      </c>
    </row>
    <row r="11186" spans="5:5" x14ac:dyDescent="0.25">
      <c r="E11186" t="s">
        <v>10752</v>
      </c>
    </row>
    <row r="11187" spans="5:5" x14ac:dyDescent="0.25">
      <c r="E11187" t="s">
        <v>10753</v>
      </c>
    </row>
    <row r="11188" spans="5:5" x14ac:dyDescent="0.25">
      <c r="E11188" t="s">
        <v>10754</v>
      </c>
    </row>
    <row r="11189" spans="5:5" x14ac:dyDescent="0.25">
      <c r="E11189" t="s">
        <v>10755</v>
      </c>
    </row>
    <row r="11190" spans="5:5" x14ac:dyDescent="0.25">
      <c r="E11190" t="s">
        <v>10756</v>
      </c>
    </row>
    <row r="11191" spans="5:5" x14ac:dyDescent="0.25">
      <c r="E11191" t="s">
        <v>10757</v>
      </c>
    </row>
    <row r="11192" spans="5:5" x14ac:dyDescent="0.25">
      <c r="E11192" t="s">
        <v>10758</v>
      </c>
    </row>
    <row r="11193" spans="5:5" x14ac:dyDescent="0.25">
      <c r="E11193" t="s">
        <v>10759</v>
      </c>
    </row>
    <row r="11194" spans="5:5" x14ac:dyDescent="0.25">
      <c r="E11194" t="s">
        <v>10760</v>
      </c>
    </row>
    <row r="11195" spans="5:5" x14ac:dyDescent="0.25">
      <c r="E11195" t="s">
        <v>10761</v>
      </c>
    </row>
    <row r="11196" spans="5:5" x14ac:dyDescent="0.25">
      <c r="E11196" t="s">
        <v>10762</v>
      </c>
    </row>
    <row r="11197" spans="5:5" x14ac:dyDescent="0.25">
      <c r="E11197" t="s">
        <v>10763</v>
      </c>
    </row>
    <row r="11198" spans="5:5" x14ac:dyDescent="0.25">
      <c r="E11198" t="s">
        <v>10764</v>
      </c>
    </row>
    <row r="11199" spans="5:5" x14ac:dyDescent="0.25">
      <c r="E11199" t="s">
        <v>10765</v>
      </c>
    </row>
    <row r="11200" spans="5:5" x14ac:dyDescent="0.25">
      <c r="E11200" t="s">
        <v>10766</v>
      </c>
    </row>
    <row r="11201" spans="5:5" x14ac:dyDescent="0.25">
      <c r="E11201" t="s">
        <v>10767</v>
      </c>
    </row>
    <row r="11202" spans="5:5" x14ac:dyDescent="0.25">
      <c r="E11202" t="s">
        <v>10768</v>
      </c>
    </row>
    <row r="11203" spans="5:5" x14ac:dyDescent="0.25">
      <c r="E11203" t="s">
        <v>10769</v>
      </c>
    </row>
    <row r="11204" spans="5:5" x14ac:dyDescent="0.25">
      <c r="E11204" t="s">
        <v>10770</v>
      </c>
    </row>
    <row r="11205" spans="5:5" x14ac:dyDescent="0.25">
      <c r="E11205" t="s">
        <v>10771</v>
      </c>
    </row>
    <row r="11206" spans="5:5" x14ac:dyDescent="0.25">
      <c r="E11206" t="s">
        <v>10772</v>
      </c>
    </row>
    <row r="11207" spans="5:5" x14ac:dyDescent="0.25">
      <c r="E11207" t="s">
        <v>10773</v>
      </c>
    </row>
    <row r="11208" spans="5:5" x14ac:dyDescent="0.25">
      <c r="E11208" t="s">
        <v>10774</v>
      </c>
    </row>
    <row r="11209" spans="5:5" x14ac:dyDescent="0.25">
      <c r="E11209" t="s">
        <v>10775</v>
      </c>
    </row>
    <row r="11210" spans="5:5" x14ac:dyDescent="0.25">
      <c r="E11210" t="s">
        <v>10776</v>
      </c>
    </row>
    <row r="11211" spans="5:5" x14ac:dyDescent="0.25">
      <c r="E11211" t="s">
        <v>10777</v>
      </c>
    </row>
    <row r="11212" spans="5:5" x14ac:dyDescent="0.25">
      <c r="E11212" t="s">
        <v>10778</v>
      </c>
    </row>
    <row r="11213" spans="5:5" x14ac:dyDescent="0.25">
      <c r="E11213" t="s">
        <v>10779</v>
      </c>
    </row>
    <row r="11214" spans="5:5" x14ac:dyDescent="0.25">
      <c r="E11214" t="s">
        <v>10780</v>
      </c>
    </row>
    <row r="11215" spans="5:5" x14ac:dyDescent="0.25">
      <c r="E11215" t="s">
        <v>10781</v>
      </c>
    </row>
    <row r="11216" spans="5:5" x14ac:dyDescent="0.25">
      <c r="E11216" t="s">
        <v>10782</v>
      </c>
    </row>
    <row r="11217" spans="5:5" x14ac:dyDescent="0.25">
      <c r="E11217" t="s">
        <v>10783</v>
      </c>
    </row>
    <row r="11218" spans="5:5" x14ac:dyDescent="0.25">
      <c r="E11218" t="s">
        <v>10784</v>
      </c>
    </row>
    <row r="11219" spans="5:5" x14ac:dyDescent="0.25">
      <c r="E11219" t="s">
        <v>10785</v>
      </c>
    </row>
    <row r="11220" spans="5:5" x14ac:dyDescent="0.25">
      <c r="E11220" t="s">
        <v>10786</v>
      </c>
    </row>
    <row r="11221" spans="5:5" x14ac:dyDescent="0.25">
      <c r="E11221" t="s">
        <v>10787</v>
      </c>
    </row>
    <row r="11222" spans="5:5" x14ac:dyDescent="0.25">
      <c r="E11222" t="s">
        <v>10788</v>
      </c>
    </row>
    <row r="11223" spans="5:5" x14ac:dyDescent="0.25">
      <c r="E11223" t="s">
        <v>10789</v>
      </c>
    </row>
    <row r="11224" spans="5:5" x14ac:dyDescent="0.25">
      <c r="E11224" t="s">
        <v>10790</v>
      </c>
    </row>
    <row r="11225" spans="5:5" x14ac:dyDescent="0.25">
      <c r="E11225" t="s">
        <v>10791</v>
      </c>
    </row>
    <row r="11226" spans="5:5" x14ac:dyDescent="0.25">
      <c r="E11226" t="s">
        <v>10792</v>
      </c>
    </row>
    <row r="11227" spans="5:5" x14ac:dyDescent="0.25">
      <c r="E11227" t="s">
        <v>10793</v>
      </c>
    </row>
    <row r="11228" spans="5:5" x14ac:dyDescent="0.25">
      <c r="E11228" t="s">
        <v>10794</v>
      </c>
    </row>
    <row r="11229" spans="5:5" x14ac:dyDescent="0.25">
      <c r="E11229" t="s">
        <v>10795</v>
      </c>
    </row>
    <row r="11230" spans="5:5" x14ac:dyDescent="0.25">
      <c r="E11230" t="s">
        <v>10796</v>
      </c>
    </row>
    <row r="11231" spans="5:5" x14ac:dyDescent="0.25">
      <c r="E11231" t="s">
        <v>10797</v>
      </c>
    </row>
    <row r="11232" spans="5:5" x14ac:dyDescent="0.25">
      <c r="E11232" t="s">
        <v>10798</v>
      </c>
    </row>
    <row r="11233" spans="5:5" x14ac:dyDescent="0.25">
      <c r="E11233" t="s">
        <v>10799</v>
      </c>
    </row>
    <row r="11234" spans="5:5" x14ac:dyDescent="0.25">
      <c r="E11234" t="s">
        <v>10800</v>
      </c>
    </row>
    <row r="11235" spans="5:5" x14ac:dyDescent="0.25">
      <c r="E11235" t="s">
        <v>10801</v>
      </c>
    </row>
    <row r="11236" spans="5:5" x14ac:dyDescent="0.25">
      <c r="E11236" t="s">
        <v>10802</v>
      </c>
    </row>
    <row r="11237" spans="5:5" x14ac:dyDescent="0.25">
      <c r="E11237" t="s">
        <v>10803</v>
      </c>
    </row>
    <row r="11238" spans="5:5" x14ac:dyDescent="0.25">
      <c r="E11238" t="s">
        <v>10804</v>
      </c>
    </row>
    <row r="11239" spans="5:5" x14ac:dyDescent="0.25">
      <c r="E11239" t="s">
        <v>10805</v>
      </c>
    </row>
    <row r="11240" spans="5:5" x14ac:dyDescent="0.25">
      <c r="E11240" t="s">
        <v>10806</v>
      </c>
    </row>
    <row r="11241" spans="5:5" x14ac:dyDescent="0.25">
      <c r="E11241" t="s">
        <v>10807</v>
      </c>
    </row>
    <row r="11242" spans="5:5" x14ac:dyDescent="0.25">
      <c r="E11242" t="s">
        <v>10808</v>
      </c>
    </row>
    <row r="11243" spans="5:5" x14ac:dyDescent="0.25">
      <c r="E11243" t="s">
        <v>10809</v>
      </c>
    </row>
    <row r="11244" spans="5:5" x14ac:dyDescent="0.25">
      <c r="E11244" t="s">
        <v>10810</v>
      </c>
    </row>
    <row r="11245" spans="5:5" x14ac:dyDescent="0.25">
      <c r="E11245" t="s">
        <v>10811</v>
      </c>
    </row>
    <row r="11246" spans="5:5" x14ac:dyDescent="0.25">
      <c r="E11246" t="s">
        <v>10812</v>
      </c>
    </row>
    <row r="11247" spans="5:5" x14ac:dyDescent="0.25">
      <c r="E11247" t="s">
        <v>10813</v>
      </c>
    </row>
    <row r="11248" spans="5:5" x14ac:dyDescent="0.25">
      <c r="E11248" t="s">
        <v>10814</v>
      </c>
    </row>
    <row r="11249" spans="5:5" x14ac:dyDescent="0.25">
      <c r="E11249" t="s">
        <v>10815</v>
      </c>
    </row>
    <row r="11250" spans="5:5" x14ac:dyDescent="0.25">
      <c r="E11250" t="s">
        <v>10816</v>
      </c>
    </row>
    <row r="11251" spans="5:5" x14ac:dyDescent="0.25">
      <c r="E11251" t="s">
        <v>10817</v>
      </c>
    </row>
    <row r="11252" spans="5:5" x14ac:dyDescent="0.25">
      <c r="E11252" t="s">
        <v>10818</v>
      </c>
    </row>
    <row r="11253" spans="5:5" x14ac:dyDescent="0.25">
      <c r="E11253" t="s">
        <v>10819</v>
      </c>
    </row>
    <row r="11254" spans="5:5" x14ac:dyDescent="0.25">
      <c r="E11254" t="s">
        <v>10820</v>
      </c>
    </row>
    <row r="11255" spans="5:5" x14ac:dyDescent="0.25">
      <c r="E11255" t="s">
        <v>10821</v>
      </c>
    </row>
    <row r="11256" spans="5:5" x14ac:dyDescent="0.25">
      <c r="E11256" t="s">
        <v>10822</v>
      </c>
    </row>
    <row r="11257" spans="5:5" x14ac:dyDescent="0.25">
      <c r="E11257" t="s">
        <v>10823</v>
      </c>
    </row>
    <row r="11258" spans="5:5" x14ac:dyDescent="0.25">
      <c r="E11258" t="s">
        <v>10824</v>
      </c>
    </row>
    <row r="11259" spans="5:5" x14ac:dyDescent="0.25">
      <c r="E11259" t="s">
        <v>10825</v>
      </c>
    </row>
    <row r="11260" spans="5:5" x14ac:dyDescent="0.25">
      <c r="E11260" t="s">
        <v>10826</v>
      </c>
    </row>
    <row r="11261" spans="5:5" x14ac:dyDescent="0.25">
      <c r="E11261" t="s">
        <v>10827</v>
      </c>
    </row>
    <row r="11262" spans="5:5" x14ac:dyDescent="0.25">
      <c r="E11262" t="s">
        <v>10828</v>
      </c>
    </row>
    <row r="11263" spans="5:5" x14ac:dyDescent="0.25">
      <c r="E11263" t="s">
        <v>10829</v>
      </c>
    </row>
    <row r="11264" spans="5:5" x14ac:dyDescent="0.25">
      <c r="E11264" t="s">
        <v>10830</v>
      </c>
    </row>
    <row r="11265" spans="5:5" x14ac:dyDescent="0.25">
      <c r="E11265" t="s">
        <v>10831</v>
      </c>
    </row>
    <row r="11266" spans="5:5" x14ac:dyDescent="0.25">
      <c r="E11266" t="s">
        <v>10832</v>
      </c>
    </row>
    <row r="11267" spans="5:5" x14ac:dyDescent="0.25">
      <c r="E11267" t="s">
        <v>10833</v>
      </c>
    </row>
    <row r="11268" spans="5:5" x14ac:dyDescent="0.25">
      <c r="E11268" t="s">
        <v>10834</v>
      </c>
    </row>
    <row r="11269" spans="5:5" x14ac:dyDescent="0.25">
      <c r="E11269" t="s">
        <v>10835</v>
      </c>
    </row>
    <row r="11270" spans="5:5" x14ac:dyDescent="0.25">
      <c r="E11270" t="s">
        <v>10836</v>
      </c>
    </row>
    <row r="11271" spans="5:5" x14ac:dyDescent="0.25">
      <c r="E11271" t="s">
        <v>10837</v>
      </c>
    </row>
    <row r="11272" spans="5:5" x14ac:dyDescent="0.25">
      <c r="E11272" t="s">
        <v>10838</v>
      </c>
    </row>
    <row r="11273" spans="5:5" x14ac:dyDescent="0.25">
      <c r="E11273" t="s">
        <v>10839</v>
      </c>
    </row>
    <row r="11274" spans="5:5" x14ac:dyDescent="0.25">
      <c r="E11274" t="s">
        <v>10840</v>
      </c>
    </row>
    <row r="11275" spans="5:5" x14ac:dyDescent="0.25">
      <c r="E11275" t="s">
        <v>10841</v>
      </c>
    </row>
    <row r="11276" spans="5:5" x14ac:dyDescent="0.25">
      <c r="E11276" t="s">
        <v>10842</v>
      </c>
    </row>
    <row r="11277" spans="5:5" x14ac:dyDescent="0.25">
      <c r="E11277" t="s">
        <v>10843</v>
      </c>
    </row>
    <row r="11278" spans="5:5" x14ac:dyDescent="0.25">
      <c r="E11278" t="s">
        <v>10844</v>
      </c>
    </row>
    <row r="11279" spans="5:5" x14ac:dyDescent="0.25">
      <c r="E11279" t="s">
        <v>10845</v>
      </c>
    </row>
    <row r="11280" spans="5:5" x14ac:dyDescent="0.25">
      <c r="E11280" t="s">
        <v>10846</v>
      </c>
    </row>
    <row r="11281" spans="5:5" x14ac:dyDescent="0.25">
      <c r="E11281" t="s">
        <v>10847</v>
      </c>
    </row>
    <row r="11282" spans="5:5" x14ac:dyDescent="0.25">
      <c r="E11282" t="s">
        <v>10848</v>
      </c>
    </row>
    <row r="11283" spans="5:5" x14ac:dyDescent="0.25">
      <c r="E11283" t="s">
        <v>10849</v>
      </c>
    </row>
    <row r="11284" spans="5:5" x14ac:dyDescent="0.25">
      <c r="E11284" t="s">
        <v>10850</v>
      </c>
    </row>
    <row r="11285" spans="5:5" x14ac:dyDescent="0.25">
      <c r="E11285" t="s">
        <v>10851</v>
      </c>
    </row>
    <row r="11286" spans="5:5" x14ac:dyDescent="0.25">
      <c r="E11286" t="s">
        <v>10852</v>
      </c>
    </row>
    <row r="11287" spans="5:5" x14ac:dyDescent="0.25">
      <c r="E11287" t="s">
        <v>10853</v>
      </c>
    </row>
    <row r="11288" spans="5:5" x14ac:dyDescent="0.25">
      <c r="E11288" t="s">
        <v>10854</v>
      </c>
    </row>
    <row r="11289" spans="5:5" x14ac:dyDescent="0.25">
      <c r="E11289" t="s">
        <v>10855</v>
      </c>
    </row>
    <row r="11290" spans="5:5" x14ac:dyDescent="0.25">
      <c r="E11290" t="s">
        <v>10856</v>
      </c>
    </row>
    <row r="11291" spans="5:5" x14ac:dyDescent="0.25">
      <c r="E11291" t="s">
        <v>10857</v>
      </c>
    </row>
    <row r="11292" spans="5:5" x14ac:dyDescent="0.25">
      <c r="E11292" t="s">
        <v>10858</v>
      </c>
    </row>
    <row r="11293" spans="5:5" x14ac:dyDescent="0.25">
      <c r="E11293" t="s">
        <v>10859</v>
      </c>
    </row>
    <row r="11294" spans="5:5" x14ac:dyDescent="0.25">
      <c r="E11294" t="s">
        <v>10860</v>
      </c>
    </row>
    <row r="11295" spans="5:5" x14ac:dyDescent="0.25">
      <c r="E11295" t="s">
        <v>10861</v>
      </c>
    </row>
    <row r="11296" spans="5:5" x14ac:dyDescent="0.25">
      <c r="E11296" t="s">
        <v>10862</v>
      </c>
    </row>
    <row r="11297" spans="5:5" x14ac:dyDescent="0.25">
      <c r="E11297" t="s">
        <v>10863</v>
      </c>
    </row>
    <row r="11298" spans="5:5" x14ac:dyDescent="0.25">
      <c r="E11298" t="s">
        <v>10864</v>
      </c>
    </row>
    <row r="11299" spans="5:5" x14ac:dyDescent="0.25">
      <c r="E11299" t="s">
        <v>10865</v>
      </c>
    </row>
    <row r="11300" spans="5:5" x14ac:dyDescent="0.25">
      <c r="E11300" t="s">
        <v>10866</v>
      </c>
    </row>
    <row r="11301" spans="5:5" x14ac:dyDescent="0.25">
      <c r="E11301" t="s">
        <v>10867</v>
      </c>
    </row>
    <row r="11302" spans="5:5" x14ac:dyDescent="0.25">
      <c r="E11302" t="s">
        <v>10868</v>
      </c>
    </row>
    <row r="11303" spans="5:5" x14ac:dyDescent="0.25">
      <c r="E11303" t="s">
        <v>10869</v>
      </c>
    </row>
    <row r="11304" spans="5:5" x14ac:dyDescent="0.25">
      <c r="E11304" t="s">
        <v>10870</v>
      </c>
    </row>
    <row r="11305" spans="5:5" x14ac:dyDescent="0.25">
      <c r="E11305" t="s">
        <v>10871</v>
      </c>
    </row>
    <row r="11306" spans="5:5" x14ac:dyDescent="0.25">
      <c r="E11306" t="s">
        <v>10872</v>
      </c>
    </row>
    <row r="11307" spans="5:5" x14ac:dyDescent="0.25">
      <c r="E11307" t="s">
        <v>10873</v>
      </c>
    </row>
    <row r="11308" spans="5:5" x14ac:dyDescent="0.25">
      <c r="E11308" t="s">
        <v>10874</v>
      </c>
    </row>
    <row r="11309" spans="5:5" x14ac:dyDescent="0.25">
      <c r="E11309" t="s">
        <v>10875</v>
      </c>
    </row>
    <row r="11310" spans="5:5" x14ac:dyDescent="0.25">
      <c r="E11310" t="s">
        <v>10876</v>
      </c>
    </row>
    <row r="11311" spans="5:5" x14ac:dyDescent="0.25">
      <c r="E11311" t="s">
        <v>10877</v>
      </c>
    </row>
    <row r="11312" spans="5:5" x14ac:dyDescent="0.25">
      <c r="E11312" t="s">
        <v>10878</v>
      </c>
    </row>
    <row r="11313" spans="5:5" x14ac:dyDescent="0.25">
      <c r="E11313" t="s">
        <v>10879</v>
      </c>
    </row>
    <row r="11314" spans="5:5" x14ac:dyDescent="0.25">
      <c r="E11314" t="s">
        <v>10880</v>
      </c>
    </row>
    <row r="11315" spans="5:5" x14ac:dyDescent="0.25">
      <c r="E11315" t="s">
        <v>10881</v>
      </c>
    </row>
    <row r="11316" spans="5:5" x14ac:dyDescent="0.25">
      <c r="E11316" t="s">
        <v>10882</v>
      </c>
    </row>
    <row r="11317" spans="5:5" x14ac:dyDescent="0.25">
      <c r="E11317" t="s">
        <v>10883</v>
      </c>
    </row>
    <row r="11318" spans="5:5" x14ac:dyDescent="0.25">
      <c r="E11318" t="s">
        <v>10884</v>
      </c>
    </row>
    <row r="11319" spans="5:5" x14ac:dyDescent="0.25">
      <c r="E11319" t="s">
        <v>10885</v>
      </c>
    </row>
    <row r="11320" spans="5:5" x14ac:dyDescent="0.25">
      <c r="E11320" t="s">
        <v>10886</v>
      </c>
    </row>
    <row r="11321" spans="5:5" x14ac:dyDescent="0.25">
      <c r="E11321" t="s">
        <v>10887</v>
      </c>
    </row>
    <row r="11322" spans="5:5" x14ac:dyDescent="0.25">
      <c r="E11322" t="s">
        <v>10888</v>
      </c>
    </row>
    <row r="11323" spans="5:5" x14ac:dyDescent="0.25">
      <c r="E11323" t="s">
        <v>10889</v>
      </c>
    </row>
    <row r="11324" spans="5:5" x14ac:dyDescent="0.25">
      <c r="E11324" t="s">
        <v>10890</v>
      </c>
    </row>
    <row r="11325" spans="5:5" x14ac:dyDescent="0.25">
      <c r="E11325" t="s">
        <v>10891</v>
      </c>
    </row>
    <row r="11326" spans="5:5" x14ac:dyDescent="0.25">
      <c r="E11326" t="s">
        <v>10892</v>
      </c>
    </row>
    <row r="11327" spans="5:5" x14ac:dyDescent="0.25">
      <c r="E11327" t="s">
        <v>10893</v>
      </c>
    </row>
    <row r="11328" spans="5:5" x14ac:dyDescent="0.25">
      <c r="E11328" t="s">
        <v>10894</v>
      </c>
    </row>
    <row r="11329" spans="5:5" x14ac:dyDescent="0.25">
      <c r="E11329" t="s">
        <v>10895</v>
      </c>
    </row>
    <row r="11330" spans="5:5" x14ac:dyDescent="0.25">
      <c r="E11330" t="s">
        <v>10896</v>
      </c>
    </row>
    <row r="11331" spans="5:5" x14ac:dyDescent="0.25">
      <c r="E11331" t="s">
        <v>10897</v>
      </c>
    </row>
    <row r="11332" spans="5:5" x14ac:dyDescent="0.25">
      <c r="E11332" t="s">
        <v>10898</v>
      </c>
    </row>
    <row r="11333" spans="5:5" x14ac:dyDescent="0.25">
      <c r="E11333" t="s">
        <v>10899</v>
      </c>
    </row>
    <row r="11334" spans="5:5" x14ac:dyDescent="0.25">
      <c r="E11334" t="s">
        <v>10900</v>
      </c>
    </row>
    <row r="11335" spans="5:5" x14ac:dyDescent="0.25">
      <c r="E11335" t="s">
        <v>10901</v>
      </c>
    </row>
    <row r="11336" spans="5:5" x14ac:dyDescent="0.25">
      <c r="E11336" t="s">
        <v>10902</v>
      </c>
    </row>
    <row r="11337" spans="5:5" x14ac:dyDescent="0.25">
      <c r="E11337" t="s">
        <v>10903</v>
      </c>
    </row>
    <row r="11338" spans="5:5" x14ac:dyDescent="0.25">
      <c r="E11338" t="s">
        <v>10904</v>
      </c>
    </row>
    <row r="11339" spans="5:5" x14ac:dyDescent="0.25">
      <c r="E11339" t="s">
        <v>10905</v>
      </c>
    </row>
    <row r="11340" spans="5:5" x14ac:dyDescent="0.25">
      <c r="E11340" t="s">
        <v>10906</v>
      </c>
    </row>
    <row r="11341" spans="5:5" x14ac:dyDescent="0.25">
      <c r="E11341" t="s">
        <v>10907</v>
      </c>
    </row>
    <row r="11342" spans="5:5" x14ac:dyDescent="0.25">
      <c r="E11342" t="s">
        <v>10908</v>
      </c>
    </row>
    <row r="11343" spans="5:5" x14ac:dyDescent="0.25">
      <c r="E11343" t="s">
        <v>10909</v>
      </c>
    </row>
    <row r="11344" spans="5:5" x14ac:dyDescent="0.25">
      <c r="E11344" t="s">
        <v>10910</v>
      </c>
    </row>
    <row r="11345" spans="5:5" x14ac:dyDescent="0.25">
      <c r="E11345" t="s">
        <v>10911</v>
      </c>
    </row>
    <row r="11346" spans="5:5" x14ac:dyDescent="0.25">
      <c r="E11346" t="s">
        <v>10912</v>
      </c>
    </row>
    <row r="11347" spans="5:5" x14ac:dyDescent="0.25">
      <c r="E11347" t="s">
        <v>10913</v>
      </c>
    </row>
    <row r="11348" spans="5:5" x14ac:dyDescent="0.25">
      <c r="E11348" t="s">
        <v>10914</v>
      </c>
    </row>
    <row r="11349" spans="5:5" x14ac:dyDescent="0.25">
      <c r="E11349" t="s">
        <v>10915</v>
      </c>
    </row>
    <row r="11350" spans="5:5" x14ac:dyDescent="0.25">
      <c r="E11350" t="s">
        <v>10916</v>
      </c>
    </row>
    <row r="11351" spans="5:5" x14ac:dyDescent="0.25">
      <c r="E11351" t="s">
        <v>10917</v>
      </c>
    </row>
    <row r="11352" spans="5:5" x14ac:dyDescent="0.25">
      <c r="E11352" t="s">
        <v>10918</v>
      </c>
    </row>
    <row r="11353" spans="5:5" x14ac:dyDescent="0.25">
      <c r="E11353" t="s">
        <v>10919</v>
      </c>
    </row>
    <row r="11354" spans="5:5" x14ac:dyDescent="0.25">
      <c r="E11354" t="s">
        <v>10920</v>
      </c>
    </row>
    <row r="11355" spans="5:5" x14ac:dyDescent="0.25">
      <c r="E11355" t="s">
        <v>10921</v>
      </c>
    </row>
    <row r="11356" spans="5:5" x14ac:dyDescent="0.25">
      <c r="E11356" t="s">
        <v>10922</v>
      </c>
    </row>
    <row r="11357" spans="5:5" x14ac:dyDescent="0.25">
      <c r="E11357" t="s">
        <v>10923</v>
      </c>
    </row>
    <row r="11358" spans="5:5" x14ac:dyDescent="0.25">
      <c r="E11358" t="s">
        <v>10924</v>
      </c>
    </row>
    <row r="11359" spans="5:5" x14ac:dyDescent="0.25">
      <c r="E11359" t="s">
        <v>10925</v>
      </c>
    </row>
    <row r="11360" spans="5:5" x14ac:dyDescent="0.25">
      <c r="E11360" t="s">
        <v>10926</v>
      </c>
    </row>
    <row r="11361" spans="5:5" x14ac:dyDescent="0.25">
      <c r="E11361" t="s">
        <v>10927</v>
      </c>
    </row>
    <row r="11362" spans="5:5" x14ac:dyDescent="0.25">
      <c r="E11362" t="s">
        <v>10928</v>
      </c>
    </row>
    <row r="11363" spans="5:5" x14ac:dyDescent="0.25">
      <c r="E11363" t="s">
        <v>10929</v>
      </c>
    </row>
    <row r="11364" spans="5:5" x14ac:dyDescent="0.25">
      <c r="E11364" t="s">
        <v>10930</v>
      </c>
    </row>
    <row r="11365" spans="5:5" x14ac:dyDescent="0.25">
      <c r="E11365" t="s">
        <v>10931</v>
      </c>
    </row>
    <row r="11366" spans="5:5" x14ac:dyDescent="0.25">
      <c r="E11366" t="s">
        <v>10932</v>
      </c>
    </row>
    <row r="11367" spans="5:5" x14ac:dyDescent="0.25">
      <c r="E11367" t="s">
        <v>10933</v>
      </c>
    </row>
    <row r="11368" spans="5:5" x14ac:dyDescent="0.25">
      <c r="E11368" t="s">
        <v>10934</v>
      </c>
    </row>
    <row r="11369" spans="5:5" x14ac:dyDescent="0.25">
      <c r="E11369" t="s">
        <v>10935</v>
      </c>
    </row>
    <row r="11370" spans="5:5" x14ac:dyDescent="0.25">
      <c r="E11370" t="s">
        <v>10936</v>
      </c>
    </row>
    <row r="11371" spans="5:5" x14ac:dyDescent="0.25">
      <c r="E11371" t="s">
        <v>10937</v>
      </c>
    </row>
    <row r="11372" spans="5:5" x14ac:dyDescent="0.25">
      <c r="E11372" t="s">
        <v>10938</v>
      </c>
    </row>
    <row r="11373" spans="5:5" x14ac:dyDescent="0.25">
      <c r="E11373" t="s">
        <v>10939</v>
      </c>
    </row>
    <row r="11374" spans="5:5" x14ac:dyDescent="0.25">
      <c r="E11374" t="s">
        <v>10940</v>
      </c>
    </row>
    <row r="11375" spans="5:5" x14ac:dyDescent="0.25">
      <c r="E11375" t="s">
        <v>10941</v>
      </c>
    </row>
    <row r="11376" spans="5:5" x14ac:dyDescent="0.25">
      <c r="E11376" t="s">
        <v>10942</v>
      </c>
    </row>
    <row r="11377" spans="5:5" x14ac:dyDescent="0.25">
      <c r="E11377" t="s">
        <v>10943</v>
      </c>
    </row>
    <row r="11378" spans="5:5" x14ac:dyDescent="0.25">
      <c r="E11378" t="s">
        <v>10944</v>
      </c>
    </row>
    <row r="11379" spans="5:5" x14ac:dyDescent="0.25">
      <c r="E11379" t="s">
        <v>10945</v>
      </c>
    </row>
    <row r="11380" spans="5:5" x14ac:dyDescent="0.25">
      <c r="E11380" t="s">
        <v>10946</v>
      </c>
    </row>
    <row r="11381" spans="5:5" x14ac:dyDescent="0.25">
      <c r="E11381" t="s">
        <v>10947</v>
      </c>
    </row>
    <row r="11382" spans="5:5" x14ac:dyDescent="0.25">
      <c r="E11382" t="s">
        <v>10948</v>
      </c>
    </row>
    <row r="11383" spans="5:5" x14ac:dyDescent="0.25">
      <c r="E11383" t="s">
        <v>10949</v>
      </c>
    </row>
    <row r="11384" spans="5:5" x14ac:dyDescent="0.25">
      <c r="E11384" t="s">
        <v>10950</v>
      </c>
    </row>
    <row r="11385" spans="5:5" x14ac:dyDescent="0.25">
      <c r="E11385" t="s">
        <v>10951</v>
      </c>
    </row>
    <row r="11386" spans="5:5" x14ac:dyDescent="0.25">
      <c r="E11386" t="s">
        <v>10952</v>
      </c>
    </row>
    <row r="11387" spans="5:5" x14ac:dyDescent="0.25">
      <c r="E11387" t="s">
        <v>10953</v>
      </c>
    </row>
    <row r="11388" spans="5:5" x14ac:dyDescent="0.25">
      <c r="E11388" t="s">
        <v>10954</v>
      </c>
    </row>
    <row r="11389" spans="5:5" x14ac:dyDescent="0.25">
      <c r="E11389" t="s">
        <v>10955</v>
      </c>
    </row>
    <row r="11390" spans="5:5" x14ac:dyDescent="0.25">
      <c r="E11390" t="s">
        <v>10956</v>
      </c>
    </row>
    <row r="11391" spans="5:5" x14ac:dyDescent="0.25">
      <c r="E11391" t="s">
        <v>10957</v>
      </c>
    </row>
    <row r="11392" spans="5:5" x14ac:dyDescent="0.25">
      <c r="E11392" t="s">
        <v>10958</v>
      </c>
    </row>
    <row r="11393" spans="5:5" x14ac:dyDescent="0.25">
      <c r="E11393" t="s">
        <v>10959</v>
      </c>
    </row>
    <row r="11394" spans="5:5" x14ac:dyDescent="0.25">
      <c r="E11394" t="s">
        <v>10960</v>
      </c>
    </row>
    <row r="11395" spans="5:5" x14ac:dyDescent="0.25">
      <c r="E11395" t="s">
        <v>10961</v>
      </c>
    </row>
    <row r="11396" spans="5:5" x14ac:dyDescent="0.25">
      <c r="E11396" t="s">
        <v>10962</v>
      </c>
    </row>
    <row r="11397" spans="5:5" x14ac:dyDescent="0.25">
      <c r="E11397" t="s">
        <v>10963</v>
      </c>
    </row>
    <row r="11398" spans="5:5" x14ac:dyDescent="0.25">
      <c r="E11398" t="s">
        <v>10964</v>
      </c>
    </row>
    <row r="11399" spans="5:5" x14ac:dyDescent="0.25">
      <c r="E11399" t="s">
        <v>10965</v>
      </c>
    </row>
    <row r="11400" spans="5:5" x14ac:dyDescent="0.25">
      <c r="E11400" t="s">
        <v>10966</v>
      </c>
    </row>
    <row r="11401" spans="5:5" x14ac:dyDescent="0.25">
      <c r="E11401" t="s">
        <v>10967</v>
      </c>
    </row>
    <row r="11402" spans="5:5" x14ac:dyDescent="0.25">
      <c r="E11402" t="s">
        <v>10968</v>
      </c>
    </row>
    <row r="11403" spans="5:5" x14ac:dyDescent="0.25">
      <c r="E11403" t="s">
        <v>10969</v>
      </c>
    </row>
    <row r="11404" spans="5:5" x14ac:dyDescent="0.25">
      <c r="E11404" t="s">
        <v>10970</v>
      </c>
    </row>
    <row r="11405" spans="5:5" x14ac:dyDescent="0.25">
      <c r="E11405" t="s">
        <v>10971</v>
      </c>
    </row>
    <row r="11406" spans="5:5" x14ac:dyDescent="0.25">
      <c r="E11406" t="s">
        <v>10972</v>
      </c>
    </row>
    <row r="11407" spans="5:5" x14ac:dyDescent="0.25">
      <c r="E11407" t="s">
        <v>10973</v>
      </c>
    </row>
    <row r="11408" spans="5:5" x14ac:dyDescent="0.25">
      <c r="E11408" t="s">
        <v>10974</v>
      </c>
    </row>
    <row r="11409" spans="5:5" x14ac:dyDescent="0.25">
      <c r="E11409" t="s">
        <v>10975</v>
      </c>
    </row>
    <row r="11410" spans="5:5" x14ac:dyDescent="0.25">
      <c r="E11410" t="s">
        <v>10976</v>
      </c>
    </row>
    <row r="11411" spans="5:5" x14ac:dyDescent="0.25">
      <c r="E11411" t="s">
        <v>10977</v>
      </c>
    </row>
    <row r="11412" spans="5:5" x14ac:dyDescent="0.25">
      <c r="E11412" t="s">
        <v>10978</v>
      </c>
    </row>
    <row r="11413" spans="5:5" x14ac:dyDescent="0.25">
      <c r="E11413" t="s">
        <v>10979</v>
      </c>
    </row>
    <row r="11414" spans="5:5" x14ac:dyDescent="0.25">
      <c r="E11414" t="s">
        <v>10980</v>
      </c>
    </row>
    <row r="11415" spans="5:5" x14ac:dyDescent="0.25">
      <c r="E11415" t="s">
        <v>10981</v>
      </c>
    </row>
    <row r="11416" spans="5:5" x14ac:dyDescent="0.25">
      <c r="E11416" t="s">
        <v>10982</v>
      </c>
    </row>
    <row r="11417" spans="5:5" x14ac:dyDescent="0.25">
      <c r="E11417" t="s">
        <v>10983</v>
      </c>
    </row>
    <row r="11418" spans="5:5" x14ac:dyDescent="0.25">
      <c r="E11418" t="s">
        <v>10984</v>
      </c>
    </row>
    <row r="11419" spans="5:5" x14ac:dyDescent="0.25">
      <c r="E11419" t="s">
        <v>10985</v>
      </c>
    </row>
    <row r="11420" spans="5:5" x14ac:dyDescent="0.25">
      <c r="E11420" t="s">
        <v>10986</v>
      </c>
    </row>
    <row r="11421" spans="5:5" x14ac:dyDescent="0.25">
      <c r="E11421" t="s">
        <v>10987</v>
      </c>
    </row>
    <row r="11422" spans="5:5" x14ac:dyDescent="0.25">
      <c r="E11422" t="s">
        <v>10988</v>
      </c>
    </row>
    <row r="11423" spans="5:5" x14ac:dyDescent="0.25">
      <c r="E11423" t="s">
        <v>10989</v>
      </c>
    </row>
    <row r="11424" spans="5:5" x14ac:dyDescent="0.25">
      <c r="E11424" t="s">
        <v>10990</v>
      </c>
    </row>
    <row r="11425" spans="5:5" x14ac:dyDescent="0.25">
      <c r="E11425" t="s">
        <v>10991</v>
      </c>
    </row>
    <row r="11426" spans="5:5" x14ac:dyDescent="0.25">
      <c r="E11426" t="s">
        <v>10992</v>
      </c>
    </row>
    <row r="11427" spans="5:5" x14ac:dyDescent="0.25">
      <c r="E11427" t="s">
        <v>10993</v>
      </c>
    </row>
    <row r="11428" spans="5:5" x14ac:dyDescent="0.25">
      <c r="E11428" t="s">
        <v>10994</v>
      </c>
    </row>
    <row r="11429" spans="5:5" x14ac:dyDescent="0.25">
      <c r="E11429" t="s">
        <v>10995</v>
      </c>
    </row>
    <row r="11430" spans="5:5" x14ac:dyDescent="0.25">
      <c r="E11430" t="s">
        <v>10996</v>
      </c>
    </row>
    <row r="11431" spans="5:5" x14ac:dyDescent="0.25">
      <c r="E11431" t="s">
        <v>10997</v>
      </c>
    </row>
    <row r="11432" spans="5:5" x14ac:dyDescent="0.25">
      <c r="E11432" t="s">
        <v>10998</v>
      </c>
    </row>
    <row r="11433" spans="5:5" x14ac:dyDescent="0.25">
      <c r="E11433" t="s">
        <v>10999</v>
      </c>
    </row>
    <row r="11434" spans="5:5" x14ac:dyDescent="0.25">
      <c r="E11434" t="s">
        <v>11000</v>
      </c>
    </row>
    <row r="11435" spans="5:5" x14ac:dyDescent="0.25">
      <c r="E11435" t="s">
        <v>11001</v>
      </c>
    </row>
    <row r="11436" spans="5:5" x14ac:dyDescent="0.25">
      <c r="E11436" t="s">
        <v>11002</v>
      </c>
    </row>
    <row r="11437" spans="5:5" x14ac:dyDescent="0.25">
      <c r="E11437" t="s">
        <v>11003</v>
      </c>
    </row>
    <row r="11438" spans="5:5" x14ac:dyDescent="0.25">
      <c r="E11438" t="s">
        <v>11004</v>
      </c>
    </row>
    <row r="11439" spans="5:5" x14ac:dyDescent="0.25">
      <c r="E11439" t="s">
        <v>11005</v>
      </c>
    </row>
    <row r="11440" spans="5:5" x14ac:dyDescent="0.25">
      <c r="E11440" t="s">
        <v>11006</v>
      </c>
    </row>
    <row r="11441" spans="5:5" x14ac:dyDescent="0.25">
      <c r="E11441" t="s">
        <v>11007</v>
      </c>
    </row>
    <row r="11442" spans="5:5" x14ac:dyDescent="0.25">
      <c r="E11442" t="s">
        <v>11008</v>
      </c>
    </row>
    <row r="11443" spans="5:5" x14ac:dyDescent="0.25">
      <c r="E11443" t="s">
        <v>11009</v>
      </c>
    </row>
    <row r="11444" spans="5:5" x14ac:dyDescent="0.25">
      <c r="E11444" t="s">
        <v>11010</v>
      </c>
    </row>
    <row r="11445" spans="5:5" x14ac:dyDescent="0.25">
      <c r="E11445" t="s">
        <v>11011</v>
      </c>
    </row>
    <row r="11446" spans="5:5" x14ac:dyDescent="0.25">
      <c r="E11446" t="s">
        <v>11012</v>
      </c>
    </row>
    <row r="11447" spans="5:5" x14ac:dyDescent="0.25">
      <c r="E11447" t="s">
        <v>11013</v>
      </c>
    </row>
    <row r="11448" spans="5:5" x14ac:dyDescent="0.25">
      <c r="E11448" t="s">
        <v>11014</v>
      </c>
    </row>
    <row r="11449" spans="5:5" x14ac:dyDescent="0.25">
      <c r="E11449" t="s">
        <v>11015</v>
      </c>
    </row>
    <row r="11450" spans="5:5" x14ac:dyDescent="0.25">
      <c r="E11450" t="s">
        <v>11016</v>
      </c>
    </row>
    <row r="11451" spans="5:5" x14ac:dyDescent="0.25">
      <c r="E11451" t="s">
        <v>11017</v>
      </c>
    </row>
    <row r="11452" spans="5:5" x14ac:dyDescent="0.25">
      <c r="E11452" t="s">
        <v>11018</v>
      </c>
    </row>
    <row r="11453" spans="5:5" x14ac:dyDescent="0.25">
      <c r="E11453" t="s">
        <v>11019</v>
      </c>
    </row>
    <row r="11454" spans="5:5" x14ac:dyDescent="0.25">
      <c r="E11454" t="s">
        <v>11020</v>
      </c>
    </row>
    <row r="11455" spans="5:5" x14ac:dyDescent="0.25">
      <c r="E11455" t="s">
        <v>11021</v>
      </c>
    </row>
    <row r="11456" spans="5:5" x14ac:dyDescent="0.25">
      <c r="E11456" t="s">
        <v>11022</v>
      </c>
    </row>
    <row r="11457" spans="5:5" x14ac:dyDescent="0.25">
      <c r="E11457" t="s">
        <v>11023</v>
      </c>
    </row>
    <row r="11458" spans="5:5" x14ac:dyDescent="0.25">
      <c r="E11458" t="s">
        <v>11024</v>
      </c>
    </row>
    <row r="11459" spans="5:5" x14ac:dyDescent="0.25">
      <c r="E11459" t="s">
        <v>11025</v>
      </c>
    </row>
    <row r="11460" spans="5:5" x14ac:dyDescent="0.25">
      <c r="E11460" t="s">
        <v>11026</v>
      </c>
    </row>
    <row r="11461" spans="5:5" x14ac:dyDescent="0.25">
      <c r="E11461" t="s">
        <v>11027</v>
      </c>
    </row>
    <row r="11462" spans="5:5" x14ac:dyDescent="0.25">
      <c r="E11462" t="s">
        <v>11028</v>
      </c>
    </row>
    <row r="11463" spans="5:5" x14ac:dyDescent="0.25">
      <c r="E11463" t="s">
        <v>11029</v>
      </c>
    </row>
    <row r="11464" spans="5:5" x14ac:dyDescent="0.25">
      <c r="E11464" t="s">
        <v>11030</v>
      </c>
    </row>
    <row r="11465" spans="5:5" x14ac:dyDescent="0.25">
      <c r="E11465" t="s">
        <v>11031</v>
      </c>
    </row>
    <row r="11466" spans="5:5" x14ac:dyDescent="0.25">
      <c r="E11466" t="s">
        <v>11032</v>
      </c>
    </row>
    <row r="11467" spans="5:5" x14ac:dyDescent="0.25">
      <c r="E11467" t="s">
        <v>11033</v>
      </c>
    </row>
    <row r="11468" spans="5:5" x14ac:dyDescent="0.25">
      <c r="E11468" t="s">
        <v>11034</v>
      </c>
    </row>
    <row r="11469" spans="5:5" x14ac:dyDescent="0.25">
      <c r="E11469" t="s">
        <v>11035</v>
      </c>
    </row>
    <row r="11470" spans="5:5" x14ac:dyDescent="0.25">
      <c r="E11470" t="s">
        <v>11036</v>
      </c>
    </row>
    <row r="11471" spans="5:5" x14ac:dyDescent="0.25">
      <c r="E11471" t="s">
        <v>11037</v>
      </c>
    </row>
    <row r="11472" spans="5:5" x14ac:dyDescent="0.25">
      <c r="E11472" t="s">
        <v>11038</v>
      </c>
    </row>
    <row r="11473" spans="5:5" x14ac:dyDescent="0.25">
      <c r="E11473" t="s">
        <v>11039</v>
      </c>
    </row>
    <row r="11474" spans="5:5" x14ac:dyDescent="0.25">
      <c r="E11474" t="s">
        <v>11040</v>
      </c>
    </row>
    <row r="11475" spans="5:5" x14ac:dyDescent="0.25">
      <c r="E11475" t="s">
        <v>11041</v>
      </c>
    </row>
    <row r="11476" spans="5:5" x14ac:dyDescent="0.25">
      <c r="E11476" t="s">
        <v>11042</v>
      </c>
    </row>
    <row r="11477" spans="5:5" x14ac:dyDescent="0.25">
      <c r="E11477" t="s">
        <v>11043</v>
      </c>
    </row>
    <row r="11478" spans="5:5" x14ac:dyDescent="0.25">
      <c r="E11478" t="s">
        <v>11044</v>
      </c>
    </row>
    <row r="11479" spans="5:5" x14ac:dyDescent="0.25">
      <c r="E11479" t="s">
        <v>11045</v>
      </c>
    </row>
    <row r="11480" spans="5:5" x14ac:dyDescent="0.25">
      <c r="E11480" t="s">
        <v>11046</v>
      </c>
    </row>
    <row r="11481" spans="5:5" x14ac:dyDescent="0.25">
      <c r="E11481" t="s">
        <v>11047</v>
      </c>
    </row>
    <row r="11482" spans="5:5" x14ac:dyDescent="0.25">
      <c r="E11482" t="s">
        <v>11048</v>
      </c>
    </row>
    <row r="11483" spans="5:5" x14ac:dyDescent="0.25">
      <c r="E11483" t="s">
        <v>11049</v>
      </c>
    </row>
    <row r="11484" spans="5:5" x14ac:dyDescent="0.25">
      <c r="E11484" t="s">
        <v>11050</v>
      </c>
    </row>
    <row r="11485" spans="5:5" x14ac:dyDescent="0.25">
      <c r="E11485" t="s">
        <v>11051</v>
      </c>
    </row>
    <row r="11486" spans="5:5" x14ac:dyDescent="0.25">
      <c r="E11486" t="s">
        <v>11052</v>
      </c>
    </row>
    <row r="11487" spans="5:5" x14ac:dyDescent="0.25">
      <c r="E11487" t="s">
        <v>11053</v>
      </c>
    </row>
    <row r="11488" spans="5:5" x14ac:dyDescent="0.25">
      <c r="E11488" t="s">
        <v>11054</v>
      </c>
    </row>
    <row r="11489" spans="5:5" x14ac:dyDescent="0.25">
      <c r="E11489" t="s">
        <v>11055</v>
      </c>
    </row>
    <row r="11490" spans="5:5" x14ac:dyDescent="0.25">
      <c r="E11490" t="s">
        <v>11056</v>
      </c>
    </row>
    <row r="11491" spans="5:5" x14ac:dyDescent="0.25">
      <c r="E11491" t="s">
        <v>11057</v>
      </c>
    </row>
    <row r="11492" spans="5:5" x14ac:dyDescent="0.25">
      <c r="E11492" t="s">
        <v>11058</v>
      </c>
    </row>
    <row r="11493" spans="5:5" x14ac:dyDescent="0.25">
      <c r="E11493" t="s">
        <v>11059</v>
      </c>
    </row>
    <row r="11494" spans="5:5" x14ac:dyDescent="0.25">
      <c r="E11494" t="s">
        <v>11060</v>
      </c>
    </row>
    <row r="11495" spans="5:5" x14ac:dyDescent="0.25">
      <c r="E11495" t="s">
        <v>11061</v>
      </c>
    </row>
    <row r="11496" spans="5:5" x14ac:dyDescent="0.25">
      <c r="E11496" t="s">
        <v>11062</v>
      </c>
    </row>
    <row r="11497" spans="5:5" x14ac:dyDescent="0.25">
      <c r="E11497" t="s">
        <v>11063</v>
      </c>
    </row>
    <row r="11498" spans="5:5" x14ac:dyDescent="0.25">
      <c r="E11498" t="s">
        <v>11064</v>
      </c>
    </row>
    <row r="11499" spans="5:5" x14ac:dyDescent="0.25">
      <c r="E11499" t="s">
        <v>11065</v>
      </c>
    </row>
    <row r="11500" spans="5:5" x14ac:dyDescent="0.25">
      <c r="E11500" t="s">
        <v>11066</v>
      </c>
    </row>
    <row r="11501" spans="5:5" x14ac:dyDescent="0.25">
      <c r="E11501" t="s">
        <v>11067</v>
      </c>
    </row>
    <row r="11502" spans="5:5" x14ac:dyDescent="0.25">
      <c r="E11502" t="s">
        <v>11068</v>
      </c>
    </row>
    <row r="11503" spans="5:5" x14ac:dyDescent="0.25">
      <c r="E11503" t="s">
        <v>11069</v>
      </c>
    </row>
    <row r="11504" spans="5:5" x14ac:dyDescent="0.25">
      <c r="E11504" t="s">
        <v>11070</v>
      </c>
    </row>
    <row r="11505" spans="5:5" x14ac:dyDescent="0.25">
      <c r="E11505" t="s">
        <v>11071</v>
      </c>
    </row>
    <row r="11506" spans="5:5" x14ac:dyDescent="0.25">
      <c r="E11506" t="s">
        <v>11072</v>
      </c>
    </row>
    <row r="11507" spans="5:5" x14ac:dyDescent="0.25">
      <c r="E11507" t="s">
        <v>11073</v>
      </c>
    </row>
    <row r="11508" spans="5:5" x14ac:dyDescent="0.25">
      <c r="E11508" t="s">
        <v>11074</v>
      </c>
    </row>
    <row r="11509" spans="5:5" x14ac:dyDescent="0.25">
      <c r="E11509" t="s">
        <v>11075</v>
      </c>
    </row>
    <row r="11510" spans="5:5" x14ac:dyDescent="0.25">
      <c r="E11510" t="s">
        <v>11076</v>
      </c>
    </row>
    <row r="11511" spans="5:5" x14ac:dyDescent="0.25">
      <c r="E11511" t="s">
        <v>11077</v>
      </c>
    </row>
    <row r="11512" spans="5:5" x14ac:dyDescent="0.25">
      <c r="E11512" t="s">
        <v>11078</v>
      </c>
    </row>
    <row r="11513" spans="5:5" x14ac:dyDescent="0.25">
      <c r="E11513" t="s">
        <v>11079</v>
      </c>
    </row>
    <row r="11514" spans="5:5" x14ac:dyDescent="0.25">
      <c r="E11514" t="s">
        <v>11080</v>
      </c>
    </row>
    <row r="11515" spans="5:5" x14ac:dyDescent="0.25">
      <c r="E11515" t="s">
        <v>11081</v>
      </c>
    </row>
    <row r="11516" spans="5:5" x14ac:dyDescent="0.25">
      <c r="E11516" t="s">
        <v>11082</v>
      </c>
    </row>
    <row r="11517" spans="5:5" x14ac:dyDescent="0.25">
      <c r="E11517" t="s">
        <v>11083</v>
      </c>
    </row>
    <row r="11518" spans="5:5" x14ac:dyDescent="0.25">
      <c r="E11518" t="s">
        <v>11084</v>
      </c>
    </row>
    <row r="11519" spans="5:5" x14ac:dyDescent="0.25">
      <c r="E11519" t="s">
        <v>11085</v>
      </c>
    </row>
    <row r="11520" spans="5:5" x14ac:dyDescent="0.25">
      <c r="E11520" t="s">
        <v>11086</v>
      </c>
    </row>
    <row r="11521" spans="5:5" x14ac:dyDescent="0.25">
      <c r="E11521" t="s">
        <v>11087</v>
      </c>
    </row>
    <row r="11522" spans="5:5" x14ac:dyDescent="0.25">
      <c r="E11522" t="s">
        <v>11088</v>
      </c>
    </row>
    <row r="11523" spans="5:5" x14ac:dyDescent="0.25">
      <c r="E11523" t="s">
        <v>11089</v>
      </c>
    </row>
    <row r="11524" spans="5:5" x14ac:dyDescent="0.25">
      <c r="E11524" t="s">
        <v>11090</v>
      </c>
    </row>
    <row r="11525" spans="5:5" x14ac:dyDescent="0.25">
      <c r="E11525" t="s">
        <v>11091</v>
      </c>
    </row>
    <row r="11526" spans="5:5" x14ac:dyDescent="0.25">
      <c r="E11526" t="s">
        <v>11092</v>
      </c>
    </row>
    <row r="11527" spans="5:5" x14ac:dyDescent="0.25">
      <c r="E11527" t="s">
        <v>11093</v>
      </c>
    </row>
    <row r="11528" spans="5:5" x14ac:dyDescent="0.25">
      <c r="E11528" t="s">
        <v>11094</v>
      </c>
    </row>
    <row r="11529" spans="5:5" x14ac:dyDescent="0.25">
      <c r="E11529" t="s">
        <v>11095</v>
      </c>
    </row>
    <row r="11530" spans="5:5" x14ac:dyDescent="0.25">
      <c r="E11530" t="s">
        <v>11096</v>
      </c>
    </row>
    <row r="11531" spans="5:5" x14ac:dyDescent="0.25">
      <c r="E11531" t="s">
        <v>11097</v>
      </c>
    </row>
    <row r="11532" spans="5:5" x14ac:dyDescent="0.25">
      <c r="E11532" t="s">
        <v>11098</v>
      </c>
    </row>
    <row r="11533" spans="5:5" x14ac:dyDescent="0.25">
      <c r="E11533" t="s">
        <v>11099</v>
      </c>
    </row>
    <row r="11534" spans="5:5" x14ac:dyDescent="0.25">
      <c r="E11534" t="s">
        <v>11100</v>
      </c>
    </row>
    <row r="11535" spans="5:5" x14ac:dyDescent="0.25">
      <c r="E11535" t="s">
        <v>11101</v>
      </c>
    </row>
    <row r="11536" spans="5:5" x14ac:dyDescent="0.25">
      <c r="E11536" t="s">
        <v>11102</v>
      </c>
    </row>
    <row r="11537" spans="5:5" x14ac:dyDescent="0.25">
      <c r="E11537" t="s">
        <v>11103</v>
      </c>
    </row>
    <row r="11538" spans="5:5" x14ac:dyDescent="0.25">
      <c r="E11538" t="s">
        <v>11104</v>
      </c>
    </row>
    <row r="11539" spans="5:5" x14ac:dyDescent="0.25">
      <c r="E11539" t="s">
        <v>11105</v>
      </c>
    </row>
    <row r="11540" spans="5:5" x14ac:dyDescent="0.25">
      <c r="E11540" t="s">
        <v>11106</v>
      </c>
    </row>
    <row r="11541" spans="5:5" x14ac:dyDescent="0.25">
      <c r="E11541" t="s">
        <v>11107</v>
      </c>
    </row>
    <row r="11542" spans="5:5" x14ac:dyDescent="0.25">
      <c r="E11542" t="s">
        <v>11108</v>
      </c>
    </row>
    <row r="11543" spans="5:5" x14ac:dyDescent="0.25">
      <c r="E11543" t="s">
        <v>11109</v>
      </c>
    </row>
    <row r="11544" spans="5:5" x14ac:dyDescent="0.25">
      <c r="E11544" t="s">
        <v>11110</v>
      </c>
    </row>
    <row r="11545" spans="5:5" x14ac:dyDescent="0.25">
      <c r="E11545" t="s">
        <v>11111</v>
      </c>
    </row>
    <row r="11546" spans="5:5" x14ac:dyDescent="0.25">
      <c r="E11546" t="s">
        <v>11112</v>
      </c>
    </row>
    <row r="11547" spans="5:5" x14ac:dyDescent="0.25">
      <c r="E11547" t="s">
        <v>11113</v>
      </c>
    </row>
    <row r="11548" spans="5:5" x14ac:dyDescent="0.25">
      <c r="E11548" t="s">
        <v>11114</v>
      </c>
    </row>
    <row r="11549" spans="5:5" x14ac:dyDescent="0.25">
      <c r="E11549" t="s">
        <v>11115</v>
      </c>
    </row>
    <row r="11550" spans="5:5" x14ac:dyDescent="0.25">
      <c r="E11550" t="s">
        <v>11116</v>
      </c>
    </row>
    <row r="11551" spans="5:5" x14ac:dyDescent="0.25">
      <c r="E11551" t="s">
        <v>11117</v>
      </c>
    </row>
    <row r="11552" spans="5:5" x14ac:dyDescent="0.25">
      <c r="E11552" t="s">
        <v>11118</v>
      </c>
    </row>
    <row r="11553" spans="5:5" x14ac:dyDescent="0.25">
      <c r="E11553" t="s">
        <v>11119</v>
      </c>
    </row>
    <row r="11554" spans="5:5" x14ac:dyDescent="0.25">
      <c r="E11554" t="s">
        <v>11120</v>
      </c>
    </row>
    <row r="11555" spans="5:5" x14ac:dyDescent="0.25">
      <c r="E11555" t="s">
        <v>11121</v>
      </c>
    </row>
    <row r="11556" spans="5:5" x14ac:dyDescent="0.25">
      <c r="E11556" t="s">
        <v>11122</v>
      </c>
    </row>
    <row r="11557" spans="5:5" x14ac:dyDescent="0.25">
      <c r="E11557" t="s">
        <v>11123</v>
      </c>
    </row>
    <row r="11558" spans="5:5" x14ac:dyDescent="0.25">
      <c r="E11558" t="s">
        <v>11124</v>
      </c>
    </row>
    <row r="11559" spans="5:5" x14ac:dyDescent="0.25">
      <c r="E11559" t="s">
        <v>11125</v>
      </c>
    </row>
    <row r="11560" spans="5:5" x14ac:dyDescent="0.25">
      <c r="E11560" t="s">
        <v>11126</v>
      </c>
    </row>
    <row r="11561" spans="5:5" x14ac:dyDescent="0.25">
      <c r="E11561" t="s">
        <v>11127</v>
      </c>
    </row>
    <row r="11562" spans="5:5" x14ac:dyDescent="0.25">
      <c r="E11562" t="s">
        <v>11128</v>
      </c>
    </row>
    <row r="11563" spans="5:5" x14ac:dyDescent="0.25">
      <c r="E11563" t="s">
        <v>11129</v>
      </c>
    </row>
    <row r="11564" spans="5:5" x14ac:dyDescent="0.25">
      <c r="E11564" t="s">
        <v>11130</v>
      </c>
    </row>
    <row r="11565" spans="5:5" x14ac:dyDescent="0.25">
      <c r="E11565" t="s">
        <v>11131</v>
      </c>
    </row>
    <row r="11566" spans="5:5" x14ac:dyDescent="0.25">
      <c r="E11566" t="s">
        <v>11132</v>
      </c>
    </row>
    <row r="11567" spans="5:5" x14ac:dyDescent="0.25">
      <c r="E11567" t="s">
        <v>11133</v>
      </c>
    </row>
    <row r="11568" spans="5:5" x14ac:dyDescent="0.25">
      <c r="E11568" t="s">
        <v>11134</v>
      </c>
    </row>
    <row r="11569" spans="5:5" x14ac:dyDescent="0.25">
      <c r="E11569" t="s">
        <v>11135</v>
      </c>
    </row>
    <row r="11570" spans="5:5" x14ac:dyDescent="0.25">
      <c r="E11570" t="s">
        <v>11136</v>
      </c>
    </row>
    <row r="11571" spans="5:5" x14ac:dyDescent="0.25">
      <c r="E11571" t="s">
        <v>11137</v>
      </c>
    </row>
    <row r="11572" spans="5:5" x14ac:dyDescent="0.25">
      <c r="E11572" t="s">
        <v>11138</v>
      </c>
    </row>
    <row r="11573" spans="5:5" x14ac:dyDescent="0.25">
      <c r="E11573" t="s">
        <v>11139</v>
      </c>
    </row>
    <row r="11574" spans="5:5" x14ac:dyDescent="0.25">
      <c r="E11574" t="s">
        <v>11140</v>
      </c>
    </row>
    <row r="11575" spans="5:5" x14ac:dyDescent="0.25">
      <c r="E11575" t="s">
        <v>11141</v>
      </c>
    </row>
    <row r="11576" spans="5:5" x14ac:dyDescent="0.25">
      <c r="E11576" t="s">
        <v>11142</v>
      </c>
    </row>
    <row r="11577" spans="5:5" x14ac:dyDescent="0.25">
      <c r="E11577" t="s">
        <v>11143</v>
      </c>
    </row>
    <row r="11578" spans="5:5" x14ac:dyDescent="0.25">
      <c r="E11578" t="s">
        <v>11144</v>
      </c>
    </row>
    <row r="11579" spans="5:5" x14ac:dyDescent="0.25">
      <c r="E11579" t="s">
        <v>11145</v>
      </c>
    </row>
    <row r="11580" spans="5:5" x14ac:dyDescent="0.25">
      <c r="E11580" t="s">
        <v>11146</v>
      </c>
    </row>
    <row r="11581" spans="5:5" x14ac:dyDescent="0.25">
      <c r="E11581" t="s">
        <v>11147</v>
      </c>
    </row>
    <row r="11582" spans="5:5" x14ac:dyDescent="0.25">
      <c r="E11582" t="s">
        <v>11148</v>
      </c>
    </row>
    <row r="11583" spans="5:5" x14ac:dyDescent="0.25">
      <c r="E11583" t="s">
        <v>11149</v>
      </c>
    </row>
    <row r="11584" spans="5:5" x14ac:dyDescent="0.25">
      <c r="E11584" t="s">
        <v>11150</v>
      </c>
    </row>
    <row r="11585" spans="5:5" x14ac:dyDescent="0.25">
      <c r="E11585" t="s">
        <v>11151</v>
      </c>
    </row>
    <row r="11586" spans="5:5" x14ac:dyDescent="0.25">
      <c r="E11586" t="s">
        <v>11152</v>
      </c>
    </row>
    <row r="11587" spans="5:5" x14ac:dyDescent="0.25">
      <c r="E11587" t="s">
        <v>11153</v>
      </c>
    </row>
    <row r="11588" spans="5:5" x14ac:dyDescent="0.25">
      <c r="E11588" t="s">
        <v>11154</v>
      </c>
    </row>
    <row r="11589" spans="5:5" x14ac:dyDescent="0.25">
      <c r="E11589" t="s">
        <v>11155</v>
      </c>
    </row>
    <row r="11590" spans="5:5" x14ac:dyDescent="0.25">
      <c r="E11590" t="s">
        <v>11156</v>
      </c>
    </row>
    <row r="11591" spans="5:5" x14ac:dyDescent="0.25">
      <c r="E11591" t="s">
        <v>11157</v>
      </c>
    </row>
    <row r="11592" spans="5:5" x14ac:dyDescent="0.25">
      <c r="E11592" t="s">
        <v>11158</v>
      </c>
    </row>
    <row r="11593" spans="5:5" x14ac:dyDescent="0.25">
      <c r="E11593" t="s">
        <v>11159</v>
      </c>
    </row>
    <row r="11594" spans="5:5" x14ac:dyDescent="0.25">
      <c r="E11594" t="s">
        <v>11160</v>
      </c>
    </row>
    <row r="11595" spans="5:5" x14ac:dyDescent="0.25">
      <c r="E11595" t="s">
        <v>11161</v>
      </c>
    </row>
    <row r="11596" spans="5:5" x14ac:dyDescent="0.25">
      <c r="E11596" t="s">
        <v>11162</v>
      </c>
    </row>
    <row r="11597" spans="5:5" x14ac:dyDescent="0.25">
      <c r="E11597" t="s">
        <v>11163</v>
      </c>
    </row>
    <row r="11598" spans="5:5" x14ac:dyDescent="0.25">
      <c r="E11598" t="s">
        <v>11164</v>
      </c>
    </row>
    <row r="11599" spans="5:5" x14ac:dyDescent="0.25">
      <c r="E11599" t="s">
        <v>11165</v>
      </c>
    </row>
    <row r="11600" spans="5:5" x14ac:dyDescent="0.25">
      <c r="E11600" t="s">
        <v>11166</v>
      </c>
    </row>
    <row r="11601" spans="5:5" x14ac:dyDescent="0.25">
      <c r="E11601" t="s">
        <v>11167</v>
      </c>
    </row>
    <row r="11602" spans="5:5" x14ac:dyDescent="0.25">
      <c r="E11602" t="s">
        <v>11168</v>
      </c>
    </row>
    <row r="11603" spans="5:5" x14ac:dyDescent="0.25">
      <c r="E11603" t="s">
        <v>11169</v>
      </c>
    </row>
    <row r="11604" spans="5:5" x14ac:dyDescent="0.25">
      <c r="E11604" t="s">
        <v>11170</v>
      </c>
    </row>
    <row r="11605" spans="5:5" x14ac:dyDescent="0.25">
      <c r="E11605" t="s">
        <v>11171</v>
      </c>
    </row>
    <row r="11606" spans="5:5" x14ac:dyDescent="0.25">
      <c r="E11606" t="s">
        <v>11172</v>
      </c>
    </row>
    <row r="11607" spans="5:5" x14ac:dyDescent="0.25">
      <c r="E11607" t="s">
        <v>11173</v>
      </c>
    </row>
    <row r="11608" spans="5:5" x14ac:dyDescent="0.25">
      <c r="E11608" t="s">
        <v>11174</v>
      </c>
    </row>
    <row r="11609" spans="5:5" x14ac:dyDescent="0.25">
      <c r="E11609" t="s">
        <v>11175</v>
      </c>
    </row>
    <row r="11610" spans="5:5" x14ac:dyDescent="0.25">
      <c r="E11610" t="s">
        <v>11176</v>
      </c>
    </row>
    <row r="11611" spans="5:5" x14ac:dyDescent="0.25">
      <c r="E11611" t="s">
        <v>11177</v>
      </c>
    </row>
    <row r="11612" spans="5:5" x14ac:dyDescent="0.25">
      <c r="E11612" t="s">
        <v>11178</v>
      </c>
    </row>
    <row r="11613" spans="5:5" x14ac:dyDescent="0.25">
      <c r="E11613" t="s">
        <v>11179</v>
      </c>
    </row>
    <row r="11614" spans="5:5" x14ac:dyDescent="0.25">
      <c r="E11614" t="s">
        <v>11180</v>
      </c>
    </row>
    <row r="11615" spans="5:5" x14ac:dyDescent="0.25">
      <c r="E11615" t="s">
        <v>11181</v>
      </c>
    </row>
    <row r="11616" spans="5:5" x14ac:dyDescent="0.25">
      <c r="E11616" t="s">
        <v>11182</v>
      </c>
    </row>
    <row r="11617" spans="5:5" x14ac:dyDescent="0.25">
      <c r="E11617" t="s">
        <v>11183</v>
      </c>
    </row>
    <row r="11618" spans="5:5" x14ac:dyDescent="0.25">
      <c r="E11618" t="s">
        <v>11184</v>
      </c>
    </row>
    <row r="11619" spans="5:5" x14ac:dyDescent="0.25">
      <c r="E11619" t="s">
        <v>11185</v>
      </c>
    </row>
    <row r="11620" spans="5:5" x14ac:dyDescent="0.25">
      <c r="E11620" t="s">
        <v>11186</v>
      </c>
    </row>
    <row r="11621" spans="5:5" x14ac:dyDescent="0.25">
      <c r="E11621" t="s">
        <v>11187</v>
      </c>
    </row>
    <row r="11622" spans="5:5" x14ac:dyDescent="0.25">
      <c r="E11622" t="s">
        <v>11188</v>
      </c>
    </row>
    <row r="11623" spans="5:5" x14ac:dyDescent="0.25">
      <c r="E11623" t="s">
        <v>11189</v>
      </c>
    </row>
    <row r="11624" spans="5:5" x14ac:dyDescent="0.25">
      <c r="E11624" t="s">
        <v>11190</v>
      </c>
    </row>
    <row r="11625" spans="5:5" x14ac:dyDescent="0.25">
      <c r="E11625" t="s">
        <v>11191</v>
      </c>
    </row>
    <row r="11626" spans="5:5" x14ac:dyDescent="0.25">
      <c r="E11626" t="s">
        <v>11192</v>
      </c>
    </row>
    <row r="11627" spans="5:5" x14ac:dyDescent="0.25">
      <c r="E11627" t="s">
        <v>11193</v>
      </c>
    </row>
    <row r="11628" spans="5:5" x14ac:dyDescent="0.25">
      <c r="E11628" t="s">
        <v>11194</v>
      </c>
    </row>
    <row r="11629" spans="5:5" x14ac:dyDescent="0.25">
      <c r="E11629" t="s">
        <v>11195</v>
      </c>
    </row>
    <row r="11630" spans="5:5" x14ac:dyDescent="0.25">
      <c r="E11630" t="s">
        <v>11196</v>
      </c>
    </row>
    <row r="11631" spans="5:5" x14ac:dyDescent="0.25">
      <c r="E11631" t="s">
        <v>11197</v>
      </c>
    </row>
    <row r="11632" spans="5:5" x14ac:dyDescent="0.25">
      <c r="E11632" t="s">
        <v>11198</v>
      </c>
    </row>
    <row r="11633" spans="5:5" x14ac:dyDescent="0.25">
      <c r="E11633" t="s">
        <v>11199</v>
      </c>
    </row>
    <row r="11634" spans="5:5" x14ac:dyDescent="0.25">
      <c r="E11634" t="s">
        <v>11200</v>
      </c>
    </row>
    <row r="11635" spans="5:5" x14ac:dyDescent="0.25">
      <c r="E11635" t="s">
        <v>11201</v>
      </c>
    </row>
    <row r="11636" spans="5:5" x14ac:dyDescent="0.25">
      <c r="E11636" t="s">
        <v>11202</v>
      </c>
    </row>
    <row r="11637" spans="5:5" x14ac:dyDescent="0.25">
      <c r="E11637" t="s">
        <v>11203</v>
      </c>
    </row>
    <row r="11638" spans="5:5" x14ac:dyDescent="0.25">
      <c r="E11638" t="s">
        <v>11204</v>
      </c>
    </row>
    <row r="11639" spans="5:5" x14ac:dyDescent="0.25">
      <c r="E11639" t="s">
        <v>11205</v>
      </c>
    </row>
    <row r="11640" spans="5:5" x14ac:dyDescent="0.25">
      <c r="E11640" t="s">
        <v>11206</v>
      </c>
    </row>
    <row r="11641" spans="5:5" x14ac:dyDescent="0.25">
      <c r="E11641" t="s">
        <v>11207</v>
      </c>
    </row>
    <row r="11642" spans="5:5" x14ac:dyDescent="0.25">
      <c r="E11642" t="s">
        <v>11208</v>
      </c>
    </row>
    <row r="11643" spans="5:5" x14ac:dyDescent="0.25">
      <c r="E11643" t="s">
        <v>11209</v>
      </c>
    </row>
    <row r="11644" spans="5:5" x14ac:dyDescent="0.25">
      <c r="E11644" t="s">
        <v>11210</v>
      </c>
    </row>
    <row r="11645" spans="5:5" x14ac:dyDescent="0.25">
      <c r="E11645" t="s">
        <v>11211</v>
      </c>
    </row>
    <row r="11646" spans="5:5" x14ac:dyDescent="0.25">
      <c r="E11646" t="s">
        <v>11212</v>
      </c>
    </row>
    <row r="11647" spans="5:5" x14ac:dyDescent="0.25">
      <c r="E11647" t="s">
        <v>11213</v>
      </c>
    </row>
    <row r="11648" spans="5:5" x14ac:dyDescent="0.25">
      <c r="E11648" t="s">
        <v>11214</v>
      </c>
    </row>
    <row r="11649" spans="5:5" x14ac:dyDescent="0.25">
      <c r="E11649" t="s">
        <v>11215</v>
      </c>
    </row>
    <row r="11650" spans="5:5" x14ac:dyDescent="0.25">
      <c r="E11650" t="s">
        <v>11216</v>
      </c>
    </row>
    <row r="11651" spans="5:5" x14ac:dyDescent="0.25">
      <c r="E11651" t="s">
        <v>11217</v>
      </c>
    </row>
    <row r="11652" spans="5:5" x14ac:dyDescent="0.25">
      <c r="E11652" t="s">
        <v>11218</v>
      </c>
    </row>
    <row r="11653" spans="5:5" x14ac:dyDescent="0.25">
      <c r="E11653" t="s">
        <v>11219</v>
      </c>
    </row>
    <row r="11654" spans="5:5" x14ac:dyDescent="0.25">
      <c r="E11654" t="s">
        <v>11220</v>
      </c>
    </row>
    <row r="11655" spans="5:5" x14ac:dyDescent="0.25">
      <c r="E11655" t="s">
        <v>11221</v>
      </c>
    </row>
    <row r="11656" spans="5:5" x14ac:dyDescent="0.25">
      <c r="E11656" t="s">
        <v>11222</v>
      </c>
    </row>
    <row r="11657" spans="5:5" x14ac:dyDescent="0.25">
      <c r="E11657" t="s">
        <v>11223</v>
      </c>
    </row>
    <row r="11658" spans="5:5" x14ac:dyDescent="0.25">
      <c r="E11658" t="s">
        <v>11224</v>
      </c>
    </row>
    <row r="11659" spans="5:5" x14ac:dyDescent="0.25">
      <c r="E11659" t="s">
        <v>11225</v>
      </c>
    </row>
    <row r="11660" spans="5:5" x14ac:dyDescent="0.25">
      <c r="E11660" t="s">
        <v>11226</v>
      </c>
    </row>
    <row r="11661" spans="5:5" x14ac:dyDescent="0.25">
      <c r="E11661" t="s">
        <v>11227</v>
      </c>
    </row>
    <row r="11662" spans="5:5" x14ac:dyDescent="0.25">
      <c r="E11662" t="s">
        <v>11228</v>
      </c>
    </row>
    <row r="11663" spans="5:5" x14ac:dyDescent="0.25">
      <c r="E11663" t="s">
        <v>11229</v>
      </c>
    </row>
    <row r="11664" spans="5:5" x14ac:dyDescent="0.25">
      <c r="E11664" t="s">
        <v>11230</v>
      </c>
    </row>
    <row r="11665" spans="5:5" x14ac:dyDescent="0.25">
      <c r="E11665" t="s">
        <v>11231</v>
      </c>
    </row>
    <row r="11666" spans="5:5" x14ac:dyDescent="0.25">
      <c r="E11666" t="s">
        <v>11232</v>
      </c>
    </row>
    <row r="11667" spans="5:5" x14ac:dyDescent="0.25">
      <c r="E11667" t="s">
        <v>11233</v>
      </c>
    </row>
    <row r="11668" spans="5:5" x14ac:dyDescent="0.25">
      <c r="E11668" t="s">
        <v>11234</v>
      </c>
    </row>
    <row r="11669" spans="5:5" x14ac:dyDescent="0.25">
      <c r="E11669" t="s">
        <v>11235</v>
      </c>
    </row>
    <row r="11670" spans="5:5" x14ac:dyDescent="0.25">
      <c r="E11670" t="s">
        <v>11236</v>
      </c>
    </row>
    <row r="11671" spans="5:5" x14ac:dyDescent="0.25">
      <c r="E11671" t="s">
        <v>11237</v>
      </c>
    </row>
    <row r="11672" spans="5:5" x14ac:dyDescent="0.25">
      <c r="E11672" t="s">
        <v>11238</v>
      </c>
    </row>
    <row r="11673" spans="5:5" x14ac:dyDescent="0.25">
      <c r="E11673" t="s">
        <v>11239</v>
      </c>
    </row>
    <row r="11674" spans="5:5" x14ac:dyDescent="0.25">
      <c r="E11674" t="s">
        <v>11240</v>
      </c>
    </row>
    <row r="11675" spans="5:5" x14ac:dyDescent="0.25">
      <c r="E11675" t="s">
        <v>11241</v>
      </c>
    </row>
    <row r="11676" spans="5:5" x14ac:dyDescent="0.25">
      <c r="E11676" t="s">
        <v>11242</v>
      </c>
    </row>
    <row r="11677" spans="5:5" x14ac:dyDescent="0.25">
      <c r="E11677" t="s">
        <v>11243</v>
      </c>
    </row>
    <row r="11678" spans="5:5" x14ac:dyDescent="0.25">
      <c r="E11678" t="s">
        <v>11244</v>
      </c>
    </row>
    <row r="11679" spans="5:5" x14ac:dyDescent="0.25">
      <c r="E11679" t="s">
        <v>11245</v>
      </c>
    </row>
    <row r="11680" spans="5:5" x14ac:dyDescent="0.25">
      <c r="E11680" t="s">
        <v>11246</v>
      </c>
    </row>
    <row r="11681" spans="5:5" x14ac:dyDescent="0.25">
      <c r="E11681" t="s">
        <v>11247</v>
      </c>
    </row>
    <row r="11682" spans="5:5" x14ac:dyDescent="0.25">
      <c r="E11682" t="s">
        <v>11248</v>
      </c>
    </row>
    <row r="11683" spans="5:5" x14ac:dyDescent="0.25">
      <c r="E11683" t="s">
        <v>11249</v>
      </c>
    </row>
    <row r="11684" spans="5:5" x14ac:dyDescent="0.25">
      <c r="E11684" t="s">
        <v>11250</v>
      </c>
    </row>
    <row r="11685" spans="5:5" x14ac:dyDescent="0.25">
      <c r="E11685" t="s">
        <v>11251</v>
      </c>
    </row>
    <row r="11686" spans="5:5" x14ac:dyDescent="0.25">
      <c r="E11686" t="s">
        <v>11252</v>
      </c>
    </row>
    <row r="11687" spans="5:5" x14ac:dyDescent="0.25">
      <c r="E11687" t="s">
        <v>11253</v>
      </c>
    </row>
    <row r="11688" spans="5:5" x14ac:dyDescent="0.25">
      <c r="E11688" t="s">
        <v>11254</v>
      </c>
    </row>
    <row r="11689" spans="5:5" x14ac:dyDescent="0.25">
      <c r="E11689" t="s">
        <v>11255</v>
      </c>
    </row>
    <row r="11690" spans="5:5" x14ac:dyDescent="0.25">
      <c r="E11690" t="s">
        <v>11256</v>
      </c>
    </row>
    <row r="11691" spans="5:5" x14ac:dyDescent="0.25">
      <c r="E11691" t="s">
        <v>11257</v>
      </c>
    </row>
    <row r="11692" spans="5:5" x14ac:dyDescent="0.25">
      <c r="E11692" t="s">
        <v>11258</v>
      </c>
    </row>
    <row r="11693" spans="5:5" x14ac:dyDescent="0.25">
      <c r="E11693" t="s">
        <v>11259</v>
      </c>
    </row>
    <row r="11694" spans="5:5" x14ac:dyDescent="0.25">
      <c r="E11694" t="s">
        <v>11260</v>
      </c>
    </row>
    <row r="11695" spans="5:5" x14ac:dyDescent="0.25">
      <c r="E11695" t="s">
        <v>11261</v>
      </c>
    </row>
    <row r="11696" spans="5:5" x14ac:dyDescent="0.25">
      <c r="E11696" t="s">
        <v>11262</v>
      </c>
    </row>
    <row r="11697" spans="5:5" x14ac:dyDescent="0.25">
      <c r="E11697" t="s">
        <v>11263</v>
      </c>
    </row>
    <row r="11698" spans="5:5" x14ac:dyDescent="0.25">
      <c r="E11698" t="s">
        <v>11264</v>
      </c>
    </row>
    <row r="11699" spans="5:5" x14ac:dyDescent="0.25">
      <c r="E11699" t="s">
        <v>11265</v>
      </c>
    </row>
    <row r="11700" spans="5:5" x14ac:dyDescent="0.25">
      <c r="E11700" t="s">
        <v>11266</v>
      </c>
    </row>
    <row r="11701" spans="5:5" x14ac:dyDescent="0.25">
      <c r="E11701" t="s">
        <v>11267</v>
      </c>
    </row>
    <row r="11702" spans="5:5" x14ac:dyDescent="0.25">
      <c r="E11702" t="s">
        <v>11268</v>
      </c>
    </row>
    <row r="11703" spans="5:5" x14ac:dyDescent="0.25">
      <c r="E11703" t="s">
        <v>11269</v>
      </c>
    </row>
    <row r="11704" spans="5:5" x14ac:dyDescent="0.25">
      <c r="E11704" t="s">
        <v>11270</v>
      </c>
    </row>
    <row r="11705" spans="5:5" x14ac:dyDescent="0.25">
      <c r="E11705" t="s">
        <v>11271</v>
      </c>
    </row>
    <row r="11706" spans="5:5" x14ac:dyDescent="0.25">
      <c r="E11706" t="s">
        <v>11272</v>
      </c>
    </row>
    <row r="11707" spans="5:5" x14ac:dyDescent="0.25">
      <c r="E11707" t="s">
        <v>11273</v>
      </c>
    </row>
    <row r="11708" spans="5:5" x14ac:dyDescent="0.25">
      <c r="E11708" t="s">
        <v>11274</v>
      </c>
    </row>
    <row r="11709" spans="5:5" x14ac:dyDescent="0.25">
      <c r="E11709" t="s">
        <v>11275</v>
      </c>
    </row>
    <row r="11710" spans="5:5" x14ac:dyDescent="0.25">
      <c r="E11710" t="s">
        <v>11276</v>
      </c>
    </row>
    <row r="11711" spans="5:5" x14ac:dyDescent="0.25">
      <c r="E11711" t="s">
        <v>11277</v>
      </c>
    </row>
    <row r="11712" spans="5:5" x14ac:dyDescent="0.25">
      <c r="E11712" t="s">
        <v>11278</v>
      </c>
    </row>
    <row r="11713" spans="5:5" x14ac:dyDescent="0.25">
      <c r="E11713" t="s">
        <v>11279</v>
      </c>
    </row>
    <row r="11714" spans="5:5" x14ac:dyDescent="0.25">
      <c r="E11714" t="s">
        <v>11280</v>
      </c>
    </row>
    <row r="11715" spans="5:5" x14ac:dyDescent="0.25">
      <c r="E11715" t="s">
        <v>11281</v>
      </c>
    </row>
    <row r="11716" spans="5:5" x14ac:dyDescent="0.25">
      <c r="E11716" t="s">
        <v>11282</v>
      </c>
    </row>
    <row r="11717" spans="5:5" x14ac:dyDescent="0.25">
      <c r="E11717" t="s">
        <v>11283</v>
      </c>
    </row>
    <row r="11718" spans="5:5" x14ac:dyDescent="0.25">
      <c r="E11718" t="s">
        <v>11284</v>
      </c>
    </row>
    <row r="11719" spans="5:5" x14ac:dyDescent="0.25">
      <c r="E11719" t="s">
        <v>11285</v>
      </c>
    </row>
    <row r="11720" spans="5:5" x14ac:dyDescent="0.25">
      <c r="E11720" t="s">
        <v>11286</v>
      </c>
    </row>
    <row r="11721" spans="5:5" x14ac:dyDescent="0.25">
      <c r="E11721" t="s">
        <v>11287</v>
      </c>
    </row>
    <row r="11722" spans="5:5" x14ac:dyDescent="0.25">
      <c r="E11722" t="s">
        <v>11288</v>
      </c>
    </row>
    <row r="11723" spans="5:5" x14ac:dyDescent="0.25">
      <c r="E11723" t="s">
        <v>11289</v>
      </c>
    </row>
    <row r="11724" spans="5:5" x14ac:dyDescent="0.25">
      <c r="E11724" t="s">
        <v>11290</v>
      </c>
    </row>
    <row r="11725" spans="5:5" x14ac:dyDescent="0.25">
      <c r="E11725" t="s">
        <v>11291</v>
      </c>
    </row>
    <row r="11726" spans="5:5" x14ac:dyDescent="0.25">
      <c r="E11726" t="s">
        <v>11292</v>
      </c>
    </row>
    <row r="11727" spans="5:5" x14ac:dyDescent="0.25">
      <c r="E11727" t="s">
        <v>11293</v>
      </c>
    </row>
    <row r="11728" spans="5:5" x14ac:dyDescent="0.25">
      <c r="E11728" t="s">
        <v>11294</v>
      </c>
    </row>
    <row r="11729" spans="5:5" x14ac:dyDescent="0.25">
      <c r="E11729" t="s">
        <v>11295</v>
      </c>
    </row>
    <row r="11730" spans="5:5" x14ac:dyDescent="0.25">
      <c r="E11730" t="s">
        <v>11296</v>
      </c>
    </row>
    <row r="11731" spans="5:5" x14ac:dyDescent="0.25">
      <c r="E11731" t="s">
        <v>11297</v>
      </c>
    </row>
    <row r="11732" spans="5:5" x14ac:dyDescent="0.25">
      <c r="E11732" t="s">
        <v>11298</v>
      </c>
    </row>
    <row r="11733" spans="5:5" x14ac:dyDescent="0.25">
      <c r="E11733" t="s">
        <v>11299</v>
      </c>
    </row>
    <row r="11734" spans="5:5" x14ac:dyDescent="0.25">
      <c r="E11734" t="s">
        <v>11300</v>
      </c>
    </row>
    <row r="11735" spans="5:5" x14ac:dyDescent="0.25">
      <c r="E11735" t="s">
        <v>11301</v>
      </c>
    </row>
    <row r="11736" spans="5:5" x14ac:dyDescent="0.25">
      <c r="E11736" t="s">
        <v>11302</v>
      </c>
    </row>
    <row r="11737" spans="5:5" x14ac:dyDescent="0.25">
      <c r="E11737" t="s">
        <v>11303</v>
      </c>
    </row>
    <row r="11738" spans="5:5" x14ac:dyDescent="0.25">
      <c r="E11738" t="s">
        <v>11304</v>
      </c>
    </row>
    <row r="11739" spans="5:5" x14ac:dyDescent="0.25">
      <c r="E11739" t="s">
        <v>11305</v>
      </c>
    </row>
    <row r="11740" spans="5:5" x14ac:dyDescent="0.25">
      <c r="E11740" t="s">
        <v>11306</v>
      </c>
    </row>
    <row r="11741" spans="5:5" x14ac:dyDescent="0.25">
      <c r="E11741" t="s">
        <v>11307</v>
      </c>
    </row>
    <row r="11742" spans="5:5" x14ac:dyDescent="0.25">
      <c r="E11742" t="s">
        <v>11308</v>
      </c>
    </row>
    <row r="11743" spans="5:5" x14ac:dyDescent="0.25">
      <c r="E11743" t="s">
        <v>11309</v>
      </c>
    </row>
    <row r="11744" spans="5:5" x14ac:dyDescent="0.25">
      <c r="E11744" t="s">
        <v>11310</v>
      </c>
    </row>
    <row r="11745" spans="5:5" x14ac:dyDescent="0.25">
      <c r="E11745" t="s">
        <v>11311</v>
      </c>
    </row>
    <row r="11746" spans="5:5" x14ac:dyDescent="0.25">
      <c r="E11746" t="s">
        <v>11312</v>
      </c>
    </row>
    <row r="11747" spans="5:5" x14ac:dyDescent="0.25">
      <c r="E11747" t="s">
        <v>11313</v>
      </c>
    </row>
    <row r="11748" spans="5:5" x14ac:dyDescent="0.25">
      <c r="E11748" t="s">
        <v>11314</v>
      </c>
    </row>
    <row r="11749" spans="5:5" x14ac:dyDescent="0.25">
      <c r="E11749" t="s">
        <v>11315</v>
      </c>
    </row>
    <row r="11750" spans="5:5" x14ac:dyDescent="0.25">
      <c r="E11750" t="s">
        <v>11316</v>
      </c>
    </row>
    <row r="11751" spans="5:5" x14ac:dyDescent="0.25">
      <c r="E11751" t="s">
        <v>11317</v>
      </c>
    </row>
    <row r="11752" spans="5:5" x14ac:dyDescent="0.25">
      <c r="E11752" t="s">
        <v>11318</v>
      </c>
    </row>
    <row r="11753" spans="5:5" x14ac:dyDescent="0.25">
      <c r="E11753" t="s">
        <v>11319</v>
      </c>
    </row>
    <row r="11754" spans="5:5" x14ac:dyDescent="0.25">
      <c r="E11754" t="s">
        <v>11320</v>
      </c>
    </row>
    <row r="11755" spans="5:5" x14ac:dyDescent="0.25">
      <c r="E11755" t="s">
        <v>11321</v>
      </c>
    </row>
    <row r="11756" spans="5:5" x14ac:dyDescent="0.25">
      <c r="E11756" t="s">
        <v>11322</v>
      </c>
    </row>
    <row r="11757" spans="5:5" x14ac:dyDescent="0.25">
      <c r="E11757" t="s">
        <v>11323</v>
      </c>
    </row>
    <row r="11758" spans="5:5" x14ac:dyDescent="0.25">
      <c r="E11758" t="s">
        <v>11324</v>
      </c>
    </row>
    <row r="11759" spans="5:5" x14ac:dyDescent="0.25">
      <c r="E11759" t="s">
        <v>11325</v>
      </c>
    </row>
    <row r="11760" spans="5:5" x14ac:dyDescent="0.25">
      <c r="E11760" t="s">
        <v>11326</v>
      </c>
    </row>
    <row r="11761" spans="5:5" x14ac:dyDescent="0.25">
      <c r="E11761" t="s">
        <v>11327</v>
      </c>
    </row>
    <row r="11762" spans="5:5" x14ac:dyDescent="0.25">
      <c r="E11762" t="s">
        <v>11328</v>
      </c>
    </row>
    <row r="11763" spans="5:5" x14ac:dyDescent="0.25">
      <c r="E11763" t="s">
        <v>11329</v>
      </c>
    </row>
    <row r="11764" spans="5:5" x14ac:dyDescent="0.25">
      <c r="E11764" t="s">
        <v>11330</v>
      </c>
    </row>
    <row r="11765" spans="5:5" x14ac:dyDescent="0.25">
      <c r="E11765" t="s">
        <v>11331</v>
      </c>
    </row>
    <row r="11766" spans="5:5" x14ac:dyDescent="0.25">
      <c r="E11766" t="s">
        <v>11332</v>
      </c>
    </row>
    <row r="11767" spans="5:5" x14ac:dyDescent="0.25">
      <c r="E11767" t="s">
        <v>11333</v>
      </c>
    </row>
    <row r="11768" spans="5:5" x14ac:dyDescent="0.25">
      <c r="E11768" t="s">
        <v>11334</v>
      </c>
    </row>
    <row r="11769" spans="5:5" x14ac:dyDescent="0.25">
      <c r="E11769" t="s">
        <v>11335</v>
      </c>
    </row>
    <row r="11770" spans="5:5" x14ac:dyDescent="0.25">
      <c r="E11770" t="s">
        <v>11336</v>
      </c>
    </row>
    <row r="11771" spans="5:5" x14ac:dyDescent="0.25">
      <c r="E11771" t="s">
        <v>11337</v>
      </c>
    </row>
    <row r="11772" spans="5:5" x14ac:dyDescent="0.25">
      <c r="E11772" t="s">
        <v>11338</v>
      </c>
    </row>
    <row r="11773" spans="5:5" x14ac:dyDescent="0.25">
      <c r="E11773" t="s">
        <v>11339</v>
      </c>
    </row>
    <row r="11774" spans="5:5" x14ac:dyDescent="0.25">
      <c r="E11774" t="s">
        <v>11340</v>
      </c>
    </row>
    <row r="11775" spans="5:5" x14ac:dyDescent="0.25">
      <c r="E11775" t="s">
        <v>11341</v>
      </c>
    </row>
    <row r="11776" spans="5:5" x14ac:dyDescent="0.25">
      <c r="E11776" t="s">
        <v>11342</v>
      </c>
    </row>
    <row r="11777" spans="5:5" x14ac:dyDescent="0.25">
      <c r="E11777" t="s">
        <v>11343</v>
      </c>
    </row>
    <row r="11778" spans="5:5" x14ac:dyDescent="0.25">
      <c r="E11778" t="s">
        <v>11344</v>
      </c>
    </row>
    <row r="11779" spans="5:5" x14ac:dyDescent="0.25">
      <c r="E11779" t="s">
        <v>11345</v>
      </c>
    </row>
    <row r="11780" spans="5:5" x14ac:dyDescent="0.25">
      <c r="E11780" t="s">
        <v>11346</v>
      </c>
    </row>
    <row r="11781" spans="5:5" x14ac:dyDescent="0.25">
      <c r="E11781" t="s">
        <v>11347</v>
      </c>
    </row>
    <row r="11782" spans="5:5" x14ac:dyDescent="0.25">
      <c r="E11782" t="s">
        <v>11348</v>
      </c>
    </row>
    <row r="11783" spans="5:5" x14ac:dyDescent="0.25">
      <c r="E11783" t="s">
        <v>11349</v>
      </c>
    </row>
    <row r="11784" spans="5:5" x14ac:dyDescent="0.25">
      <c r="E11784" t="s">
        <v>11350</v>
      </c>
    </row>
    <row r="11785" spans="5:5" x14ac:dyDescent="0.25">
      <c r="E11785" t="s">
        <v>11351</v>
      </c>
    </row>
    <row r="11786" spans="5:5" x14ac:dyDescent="0.25">
      <c r="E11786" t="s">
        <v>11352</v>
      </c>
    </row>
    <row r="11787" spans="5:5" x14ac:dyDescent="0.25">
      <c r="E11787" t="s">
        <v>11353</v>
      </c>
    </row>
    <row r="11788" spans="5:5" x14ac:dyDescent="0.25">
      <c r="E11788" t="s">
        <v>11354</v>
      </c>
    </row>
    <row r="11789" spans="5:5" x14ac:dyDescent="0.25">
      <c r="E11789" t="s">
        <v>11355</v>
      </c>
    </row>
    <row r="11790" spans="5:5" x14ac:dyDescent="0.25">
      <c r="E11790" t="s">
        <v>11356</v>
      </c>
    </row>
    <row r="11791" spans="5:5" x14ac:dyDescent="0.25">
      <c r="E11791" t="s">
        <v>11357</v>
      </c>
    </row>
    <row r="11792" spans="5:5" x14ac:dyDescent="0.25">
      <c r="E11792" t="s">
        <v>11358</v>
      </c>
    </row>
    <row r="11793" spans="5:5" x14ac:dyDescent="0.25">
      <c r="E11793" t="s">
        <v>11359</v>
      </c>
    </row>
    <row r="11794" spans="5:5" x14ac:dyDescent="0.25">
      <c r="E11794" t="s">
        <v>11360</v>
      </c>
    </row>
    <row r="11795" spans="5:5" x14ac:dyDescent="0.25">
      <c r="E11795" t="s">
        <v>11361</v>
      </c>
    </row>
    <row r="11796" spans="5:5" x14ac:dyDescent="0.25">
      <c r="E11796" t="s">
        <v>11362</v>
      </c>
    </row>
    <row r="11797" spans="5:5" x14ac:dyDescent="0.25">
      <c r="E11797" t="s">
        <v>11363</v>
      </c>
    </row>
    <row r="11798" spans="5:5" x14ac:dyDescent="0.25">
      <c r="E11798" t="s">
        <v>11364</v>
      </c>
    </row>
    <row r="11799" spans="5:5" x14ac:dyDescent="0.25">
      <c r="E11799" t="s">
        <v>11365</v>
      </c>
    </row>
    <row r="11800" spans="5:5" x14ac:dyDescent="0.25">
      <c r="E11800" t="s">
        <v>11366</v>
      </c>
    </row>
    <row r="11801" spans="5:5" x14ac:dyDescent="0.25">
      <c r="E11801" t="s">
        <v>11367</v>
      </c>
    </row>
    <row r="11802" spans="5:5" x14ac:dyDescent="0.25">
      <c r="E11802" t="s">
        <v>11368</v>
      </c>
    </row>
    <row r="11803" spans="5:5" x14ac:dyDescent="0.25">
      <c r="E11803" t="s">
        <v>11369</v>
      </c>
    </row>
    <row r="11804" spans="5:5" x14ac:dyDescent="0.25">
      <c r="E11804" t="s">
        <v>11370</v>
      </c>
    </row>
    <row r="11805" spans="5:5" x14ac:dyDescent="0.25">
      <c r="E11805" t="s">
        <v>11371</v>
      </c>
    </row>
    <row r="11806" spans="5:5" x14ac:dyDescent="0.25">
      <c r="E11806" t="s">
        <v>11372</v>
      </c>
    </row>
    <row r="11807" spans="5:5" x14ac:dyDescent="0.25">
      <c r="E11807" t="s">
        <v>11373</v>
      </c>
    </row>
    <row r="11808" spans="5:5" x14ac:dyDescent="0.25">
      <c r="E11808" t="s">
        <v>11374</v>
      </c>
    </row>
    <row r="11809" spans="5:5" x14ac:dyDescent="0.25">
      <c r="E11809" t="s">
        <v>11375</v>
      </c>
    </row>
    <row r="11810" spans="5:5" x14ac:dyDescent="0.25">
      <c r="E11810" t="s">
        <v>11376</v>
      </c>
    </row>
    <row r="11811" spans="5:5" x14ac:dyDescent="0.25">
      <c r="E11811" t="s">
        <v>11377</v>
      </c>
    </row>
    <row r="11812" spans="5:5" x14ac:dyDescent="0.25">
      <c r="E11812" t="s">
        <v>11378</v>
      </c>
    </row>
    <row r="11813" spans="5:5" x14ac:dyDescent="0.25">
      <c r="E11813" t="s">
        <v>11379</v>
      </c>
    </row>
    <row r="11814" spans="5:5" x14ac:dyDescent="0.25">
      <c r="E11814" t="s">
        <v>11380</v>
      </c>
    </row>
    <row r="11815" spans="5:5" x14ac:dyDescent="0.25">
      <c r="E11815" t="s">
        <v>11381</v>
      </c>
    </row>
    <row r="11816" spans="5:5" x14ac:dyDescent="0.25">
      <c r="E11816" t="s">
        <v>11382</v>
      </c>
    </row>
    <row r="11817" spans="5:5" x14ac:dyDescent="0.25">
      <c r="E11817" t="s">
        <v>11383</v>
      </c>
    </row>
    <row r="11818" spans="5:5" x14ac:dyDescent="0.25">
      <c r="E11818" t="s">
        <v>11384</v>
      </c>
    </row>
    <row r="11819" spans="5:5" x14ac:dyDescent="0.25">
      <c r="E11819" t="s">
        <v>11385</v>
      </c>
    </row>
    <row r="11820" spans="5:5" x14ac:dyDescent="0.25">
      <c r="E11820" t="s">
        <v>11386</v>
      </c>
    </row>
    <row r="11821" spans="5:5" x14ac:dyDescent="0.25">
      <c r="E11821" t="s">
        <v>11387</v>
      </c>
    </row>
    <row r="11822" spans="5:5" x14ac:dyDescent="0.25">
      <c r="E11822" t="s">
        <v>11388</v>
      </c>
    </row>
    <row r="11823" spans="5:5" x14ac:dyDescent="0.25">
      <c r="E11823" t="s">
        <v>11389</v>
      </c>
    </row>
    <row r="11824" spans="5:5" x14ac:dyDescent="0.25">
      <c r="E11824" t="s">
        <v>11390</v>
      </c>
    </row>
    <row r="11825" spans="5:5" x14ac:dyDescent="0.25">
      <c r="E11825" t="s">
        <v>11391</v>
      </c>
    </row>
    <row r="11826" spans="5:5" x14ac:dyDescent="0.25">
      <c r="E11826" t="s">
        <v>11392</v>
      </c>
    </row>
    <row r="11827" spans="5:5" x14ac:dyDescent="0.25">
      <c r="E11827" t="s">
        <v>11393</v>
      </c>
    </row>
    <row r="11828" spans="5:5" x14ac:dyDescent="0.25">
      <c r="E11828" t="s">
        <v>11394</v>
      </c>
    </row>
    <row r="11829" spans="5:5" x14ac:dyDescent="0.25">
      <c r="E11829" t="s">
        <v>11395</v>
      </c>
    </row>
    <row r="11830" spans="5:5" x14ac:dyDescent="0.25">
      <c r="E11830" t="s">
        <v>11396</v>
      </c>
    </row>
    <row r="11831" spans="5:5" x14ac:dyDescent="0.25">
      <c r="E11831" t="s">
        <v>11397</v>
      </c>
    </row>
    <row r="11832" spans="5:5" x14ac:dyDescent="0.25">
      <c r="E11832" t="s">
        <v>11398</v>
      </c>
    </row>
    <row r="11833" spans="5:5" x14ac:dyDescent="0.25">
      <c r="E11833" t="s">
        <v>11399</v>
      </c>
    </row>
    <row r="11834" spans="5:5" x14ac:dyDescent="0.25">
      <c r="E11834" t="s">
        <v>11400</v>
      </c>
    </row>
    <row r="11835" spans="5:5" x14ac:dyDescent="0.25">
      <c r="E11835" t="s">
        <v>11401</v>
      </c>
    </row>
    <row r="11836" spans="5:5" x14ac:dyDescent="0.25">
      <c r="E11836" t="s">
        <v>11402</v>
      </c>
    </row>
    <row r="11837" spans="5:5" x14ac:dyDescent="0.25">
      <c r="E11837" t="s">
        <v>11403</v>
      </c>
    </row>
    <row r="11838" spans="5:5" x14ac:dyDescent="0.25">
      <c r="E11838" t="s">
        <v>11404</v>
      </c>
    </row>
    <row r="11839" spans="5:5" x14ac:dyDescent="0.25">
      <c r="E11839" t="s">
        <v>11405</v>
      </c>
    </row>
    <row r="11840" spans="5:5" x14ac:dyDescent="0.25">
      <c r="E11840" t="s">
        <v>11406</v>
      </c>
    </row>
    <row r="11841" spans="5:5" x14ac:dyDescent="0.25">
      <c r="E11841" t="s">
        <v>11407</v>
      </c>
    </row>
    <row r="11842" spans="5:5" x14ac:dyDescent="0.25">
      <c r="E11842" t="s">
        <v>11408</v>
      </c>
    </row>
    <row r="11843" spans="5:5" x14ac:dyDescent="0.25">
      <c r="E11843" t="s">
        <v>11409</v>
      </c>
    </row>
    <row r="11844" spans="5:5" x14ac:dyDescent="0.25">
      <c r="E11844" t="s">
        <v>11410</v>
      </c>
    </row>
    <row r="11845" spans="5:5" x14ac:dyDescent="0.25">
      <c r="E11845" t="s">
        <v>11411</v>
      </c>
    </row>
    <row r="11846" spans="5:5" x14ac:dyDescent="0.25">
      <c r="E11846" t="s">
        <v>11412</v>
      </c>
    </row>
    <row r="11847" spans="5:5" x14ac:dyDescent="0.25">
      <c r="E11847" t="s">
        <v>11413</v>
      </c>
    </row>
    <row r="11848" spans="5:5" x14ac:dyDescent="0.25">
      <c r="E11848" t="s">
        <v>11414</v>
      </c>
    </row>
    <row r="11849" spans="5:5" x14ac:dyDescent="0.25">
      <c r="E11849" t="s">
        <v>11415</v>
      </c>
    </row>
    <row r="11850" spans="5:5" x14ac:dyDescent="0.25">
      <c r="E11850" t="s">
        <v>11416</v>
      </c>
    </row>
    <row r="11851" spans="5:5" x14ac:dyDescent="0.25">
      <c r="E11851" t="s">
        <v>11417</v>
      </c>
    </row>
    <row r="11852" spans="5:5" x14ac:dyDescent="0.25">
      <c r="E11852" t="s">
        <v>11418</v>
      </c>
    </row>
    <row r="11853" spans="5:5" x14ac:dyDescent="0.25">
      <c r="E11853" t="s">
        <v>11419</v>
      </c>
    </row>
    <row r="11854" spans="5:5" x14ac:dyDescent="0.25">
      <c r="E11854" t="s">
        <v>11420</v>
      </c>
    </row>
    <row r="11855" spans="5:5" x14ac:dyDescent="0.25">
      <c r="E11855" t="s">
        <v>11421</v>
      </c>
    </row>
    <row r="11856" spans="5:5" x14ac:dyDescent="0.25">
      <c r="E11856" t="s">
        <v>11422</v>
      </c>
    </row>
    <row r="11857" spans="5:5" x14ac:dyDescent="0.25">
      <c r="E11857" t="s">
        <v>11423</v>
      </c>
    </row>
    <row r="11858" spans="5:5" x14ac:dyDescent="0.25">
      <c r="E11858" t="s">
        <v>11424</v>
      </c>
    </row>
    <row r="11859" spans="5:5" x14ac:dyDescent="0.25">
      <c r="E11859" t="s">
        <v>11425</v>
      </c>
    </row>
    <row r="11860" spans="5:5" x14ac:dyDescent="0.25">
      <c r="E11860" t="s">
        <v>11426</v>
      </c>
    </row>
    <row r="11861" spans="5:5" x14ac:dyDescent="0.25">
      <c r="E11861" t="s">
        <v>11427</v>
      </c>
    </row>
    <row r="11862" spans="5:5" x14ac:dyDescent="0.25">
      <c r="E11862" t="s">
        <v>11428</v>
      </c>
    </row>
    <row r="11863" spans="5:5" x14ac:dyDescent="0.25">
      <c r="E11863" t="s">
        <v>11429</v>
      </c>
    </row>
    <row r="11864" spans="5:5" x14ac:dyDescent="0.25">
      <c r="E11864" t="s">
        <v>11430</v>
      </c>
    </row>
    <row r="11865" spans="5:5" x14ac:dyDescent="0.25">
      <c r="E11865" t="s">
        <v>11431</v>
      </c>
    </row>
    <row r="11866" spans="5:5" x14ac:dyDescent="0.25">
      <c r="E11866" t="s">
        <v>11432</v>
      </c>
    </row>
    <row r="11867" spans="5:5" x14ac:dyDescent="0.25">
      <c r="E11867" t="s">
        <v>11433</v>
      </c>
    </row>
    <row r="11868" spans="5:5" x14ac:dyDescent="0.25">
      <c r="E11868" t="s">
        <v>11434</v>
      </c>
    </row>
    <row r="11869" spans="5:5" x14ac:dyDescent="0.25">
      <c r="E11869" t="s">
        <v>11435</v>
      </c>
    </row>
    <row r="11870" spans="5:5" x14ac:dyDescent="0.25">
      <c r="E11870" t="s">
        <v>11436</v>
      </c>
    </row>
    <row r="11871" spans="5:5" x14ac:dyDescent="0.25">
      <c r="E11871" t="s">
        <v>11437</v>
      </c>
    </row>
    <row r="11872" spans="5:5" x14ac:dyDescent="0.25">
      <c r="E11872" t="s">
        <v>11438</v>
      </c>
    </row>
    <row r="11873" spans="5:5" x14ac:dyDescent="0.25">
      <c r="E11873" t="s">
        <v>11439</v>
      </c>
    </row>
    <row r="11874" spans="5:5" x14ac:dyDescent="0.25">
      <c r="E11874" t="s">
        <v>11440</v>
      </c>
    </row>
    <row r="11875" spans="5:5" x14ac:dyDescent="0.25">
      <c r="E11875" t="s">
        <v>11441</v>
      </c>
    </row>
    <row r="11876" spans="5:5" x14ac:dyDescent="0.25">
      <c r="E11876" t="s">
        <v>11442</v>
      </c>
    </row>
    <row r="11877" spans="5:5" x14ac:dyDescent="0.25">
      <c r="E11877" t="s">
        <v>11443</v>
      </c>
    </row>
    <row r="11878" spans="5:5" x14ac:dyDescent="0.25">
      <c r="E11878" t="s">
        <v>11444</v>
      </c>
    </row>
    <row r="11879" spans="5:5" x14ac:dyDescent="0.25">
      <c r="E11879" t="s">
        <v>11445</v>
      </c>
    </row>
    <row r="11880" spans="5:5" x14ac:dyDescent="0.25">
      <c r="E11880" t="s">
        <v>11446</v>
      </c>
    </row>
    <row r="11881" spans="5:5" x14ac:dyDescent="0.25">
      <c r="E11881" t="s">
        <v>11447</v>
      </c>
    </row>
    <row r="11882" spans="5:5" x14ac:dyDescent="0.25">
      <c r="E11882" t="s">
        <v>11448</v>
      </c>
    </row>
    <row r="11883" spans="5:5" x14ac:dyDescent="0.25">
      <c r="E11883" t="s">
        <v>11449</v>
      </c>
    </row>
    <row r="11884" spans="5:5" x14ac:dyDescent="0.25">
      <c r="E11884" t="s">
        <v>11450</v>
      </c>
    </row>
    <row r="11885" spans="5:5" x14ac:dyDescent="0.25">
      <c r="E11885" t="s">
        <v>11451</v>
      </c>
    </row>
    <row r="11886" spans="5:5" x14ac:dyDescent="0.25">
      <c r="E11886" t="s">
        <v>11452</v>
      </c>
    </row>
    <row r="11887" spans="5:5" x14ac:dyDescent="0.25">
      <c r="E11887" t="s">
        <v>11453</v>
      </c>
    </row>
    <row r="11888" spans="5:5" x14ac:dyDescent="0.25">
      <c r="E11888" t="s">
        <v>11454</v>
      </c>
    </row>
    <row r="11889" spans="5:5" x14ac:dyDescent="0.25">
      <c r="E11889" t="s">
        <v>11455</v>
      </c>
    </row>
    <row r="11890" spans="5:5" x14ac:dyDescent="0.25">
      <c r="E11890" t="s">
        <v>11456</v>
      </c>
    </row>
    <row r="11891" spans="5:5" x14ac:dyDescent="0.25">
      <c r="E11891" t="s">
        <v>11457</v>
      </c>
    </row>
    <row r="11892" spans="5:5" x14ac:dyDescent="0.25">
      <c r="E11892" t="s">
        <v>11458</v>
      </c>
    </row>
    <row r="11893" spans="5:5" x14ac:dyDescent="0.25">
      <c r="E11893" t="s">
        <v>11459</v>
      </c>
    </row>
    <row r="11894" spans="5:5" x14ac:dyDescent="0.25">
      <c r="E11894" t="s">
        <v>11460</v>
      </c>
    </row>
    <row r="11895" spans="5:5" x14ac:dyDescent="0.25">
      <c r="E11895" t="s">
        <v>11461</v>
      </c>
    </row>
    <row r="11896" spans="5:5" x14ac:dyDescent="0.25">
      <c r="E11896" t="s">
        <v>11462</v>
      </c>
    </row>
    <row r="11897" spans="5:5" x14ac:dyDescent="0.25">
      <c r="E11897" t="s">
        <v>11463</v>
      </c>
    </row>
    <row r="11898" spans="5:5" x14ac:dyDescent="0.25">
      <c r="E11898" t="s">
        <v>11464</v>
      </c>
    </row>
    <row r="11899" spans="5:5" x14ac:dyDescent="0.25">
      <c r="E11899" t="s">
        <v>11465</v>
      </c>
    </row>
    <row r="11900" spans="5:5" x14ac:dyDescent="0.25">
      <c r="E11900" t="s">
        <v>11466</v>
      </c>
    </row>
    <row r="11901" spans="5:5" x14ac:dyDescent="0.25">
      <c r="E11901" t="s">
        <v>11467</v>
      </c>
    </row>
    <row r="11902" spans="5:5" x14ac:dyDescent="0.25">
      <c r="E11902" t="s">
        <v>11468</v>
      </c>
    </row>
    <row r="11903" spans="5:5" x14ac:dyDescent="0.25">
      <c r="E11903" t="s">
        <v>11469</v>
      </c>
    </row>
    <row r="11904" spans="5:5" x14ac:dyDescent="0.25">
      <c r="E11904" t="s">
        <v>11470</v>
      </c>
    </row>
    <row r="11905" spans="5:5" x14ac:dyDescent="0.25">
      <c r="E11905" t="s">
        <v>11471</v>
      </c>
    </row>
    <row r="11906" spans="5:5" x14ac:dyDescent="0.25">
      <c r="E11906" t="s">
        <v>11472</v>
      </c>
    </row>
    <row r="11907" spans="5:5" x14ac:dyDescent="0.25">
      <c r="E11907" t="s">
        <v>11473</v>
      </c>
    </row>
    <row r="11908" spans="5:5" x14ac:dyDescent="0.25">
      <c r="E11908" t="s">
        <v>11474</v>
      </c>
    </row>
    <row r="11909" spans="5:5" x14ac:dyDescent="0.25">
      <c r="E11909" t="s">
        <v>11475</v>
      </c>
    </row>
    <row r="11910" spans="5:5" x14ac:dyDescent="0.25">
      <c r="E11910" t="s">
        <v>11476</v>
      </c>
    </row>
    <row r="11911" spans="5:5" x14ac:dyDescent="0.25">
      <c r="E11911" t="s">
        <v>11477</v>
      </c>
    </row>
    <row r="11912" spans="5:5" x14ac:dyDescent="0.25">
      <c r="E11912" t="s">
        <v>11478</v>
      </c>
    </row>
    <row r="11913" spans="5:5" x14ac:dyDescent="0.25">
      <c r="E11913" t="s">
        <v>11479</v>
      </c>
    </row>
    <row r="11914" spans="5:5" x14ac:dyDescent="0.25">
      <c r="E11914" t="s">
        <v>11480</v>
      </c>
    </row>
    <row r="11915" spans="5:5" x14ac:dyDescent="0.25">
      <c r="E11915" t="s">
        <v>11481</v>
      </c>
    </row>
    <row r="11916" spans="5:5" x14ac:dyDescent="0.25">
      <c r="E11916" t="s">
        <v>11482</v>
      </c>
    </row>
    <row r="11917" spans="5:5" x14ac:dyDescent="0.25">
      <c r="E11917" t="s">
        <v>11483</v>
      </c>
    </row>
    <row r="11918" spans="5:5" x14ac:dyDescent="0.25">
      <c r="E11918" t="s">
        <v>11484</v>
      </c>
    </row>
    <row r="11920" spans="5:5" x14ac:dyDescent="0.25">
      <c r="E11920" t="s">
        <v>11485</v>
      </c>
    </row>
    <row r="11921" spans="5:5" x14ac:dyDescent="0.25">
      <c r="E11921" t="s">
        <v>11486</v>
      </c>
    </row>
    <row r="11922" spans="5:5" x14ac:dyDescent="0.25">
      <c r="E11922" t="s">
        <v>11487</v>
      </c>
    </row>
    <row r="11923" spans="5:5" x14ac:dyDescent="0.25">
      <c r="E11923" t="s">
        <v>11488</v>
      </c>
    </row>
    <row r="11924" spans="5:5" x14ac:dyDescent="0.25">
      <c r="E11924" t="s">
        <v>11489</v>
      </c>
    </row>
    <row r="11925" spans="5:5" x14ac:dyDescent="0.25">
      <c r="E11925" t="s">
        <v>11490</v>
      </c>
    </row>
    <row r="11926" spans="5:5" x14ac:dyDescent="0.25">
      <c r="E11926" t="s">
        <v>11491</v>
      </c>
    </row>
    <row r="11927" spans="5:5" x14ac:dyDescent="0.25">
      <c r="E11927" t="s">
        <v>11492</v>
      </c>
    </row>
    <row r="11928" spans="5:5" x14ac:dyDescent="0.25">
      <c r="E11928" t="s">
        <v>11493</v>
      </c>
    </row>
    <row r="11929" spans="5:5" x14ac:dyDescent="0.25">
      <c r="E11929" t="s">
        <v>11494</v>
      </c>
    </row>
    <row r="11930" spans="5:5" x14ac:dyDescent="0.25">
      <c r="E11930" t="s">
        <v>11495</v>
      </c>
    </row>
    <row r="11931" spans="5:5" x14ac:dyDescent="0.25">
      <c r="E11931" t="s">
        <v>11496</v>
      </c>
    </row>
    <row r="11932" spans="5:5" x14ac:dyDescent="0.25">
      <c r="E11932" t="s">
        <v>11497</v>
      </c>
    </row>
    <row r="11933" spans="5:5" x14ac:dyDescent="0.25">
      <c r="E11933" t="s">
        <v>11498</v>
      </c>
    </row>
    <row r="11934" spans="5:5" x14ac:dyDescent="0.25">
      <c r="E11934" t="s">
        <v>11499</v>
      </c>
    </row>
    <row r="11935" spans="5:5" x14ac:dyDescent="0.25">
      <c r="E11935" t="s">
        <v>11500</v>
      </c>
    </row>
    <row r="11936" spans="5:5" x14ac:dyDescent="0.25">
      <c r="E11936" t="s">
        <v>11501</v>
      </c>
    </row>
    <row r="11937" spans="5:5" x14ac:dyDescent="0.25">
      <c r="E11937" t="s">
        <v>11502</v>
      </c>
    </row>
    <row r="11938" spans="5:5" x14ac:dyDescent="0.25">
      <c r="E11938" t="s">
        <v>11503</v>
      </c>
    </row>
    <row r="11939" spans="5:5" x14ac:dyDescent="0.25">
      <c r="E11939" t="s">
        <v>11504</v>
      </c>
    </row>
    <row r="11940" spans="5:5" x14ac:dyDescent="0.25">
      <c r="E11940" t="s">
        <v>11505</v>
      </c>
    </row>
    <row r="11941" spans="5:5" x14ac:dyDescent="0.25">
      <c r="E11941" t="s">
        <v>11506</v>
      </c>
    </row>
    <row r="11942" spans="5:5" x14ac:dyDescent="0.25">
      <c r="E11942" t="s">
        <v>11507</v>
      </c>
    </row>
    <row r="11943" spans="5:5" x14ac:dyDescent="0.25">
      <c r="E11943" t="s">
        <v>11508</v>
      </c>
    </row>
    <row r="11944" spans="5:5" x14ac:dyDescent="0.25">
      <c r="E11944" t="s">
        <v>11509</v>
      </c>
    </row>
    <row r="11945" spans="5:5" x14ac:dyDescent="0.25">
      <c r="E11945" t="s">
        <v>11510</v>
      </c>
    </row>
    <row r="11946" spans="5:5" x14ac:dyDescent="0.25">
      <c r="E11946" t="s">
        <v>11511</v>
      </c>
    </row>
    <row r="11947" spans="5:5" x14ac:dyDescent="0.25">
      <c r="E11947" t="s">
        <v>11512</v>
      </c>
    </row>
    <row r="11948" spans="5:5" x14ac:dyDescent="0.25">
      <c r="E11948" t="s">
        <v>11513</v>
      </c>
    </row>
    <row r="11949" spans="5:5" x14ac:dyDescent="0.25">
      <c r="E11949" t="s">
        <v>11514</v>
      </c>
    </row>
    <row r="11950" spans="5:5" x14ac:dyDescent="0.25">
      <c r="E11950" t="s">
        <v>11515</v>
      </c>
    </row>
    <row r="11951" spans="5:5" x14ac:dyDescent="0.25">
      <c r="E11951" t="s">
        <v>11516</v>
      </c>
    </row>
    <row r="11952" spans="5:5" x14ac:dyDescent="0.25">
      <c r="E11952" t="s">
        <v>11517</v>
      </c>
    </row>
    <row r="11953" spans="5:5" x14ac:dyDescent="0.25">
      <c r="E11953" t="s">
        <v>11518</v>
      </c>
    </row>
    <row r="11954" spans="5:5" x14ac:dyDescent="0.25">
      <c r="E11954" t="s">
        <v>11519</v>
      </c>
    </row>
    <row r="11955" spans="5:5" x14ac:dyDescent="0.25">
      <c r="E11955" t="s">
        <v>11520</v>
      </c>
    </row>
    <row r="11956" spans="5:5" x14ac:dyDescent="0.25">
      <c r="E11956" t="s">
        <v>11521</v>
      </c>
    </row>
    <row r="11957" spans="5:5" x14ac:dyDescent="0.25">
      <c r="E11957" t="s">
        <v>11522</v>
      </c>
    </row>
    <row r="11958" spans="5:5" x14ac:dyDescent="0.25">
      <c r="E11958" t="s">
        <v>11523</v>
      </c>
    </row>
    <row r="11959" spans="5:5" x14ac:dyDescent="0.25">
      <c r="E11959" t="s">
        <v>11524</v>
      </c>
    </row>
    <row r="11960" spans="5:5" x14ac:dyDescent="0.25">
      <c r="E11960" t="s">
        <v>11525</v>
      </c>
    </row>
    <row r="11961" spans="5:5" x14ac:dyDescent="0.25">
      <c r="E11961" t="s">
        <v>11526</v>
      </c>
    </row>
    <row r="11962" spans="5:5" x14ac:dyDescent="0.25">
      <c r="E11962" t="s">
        <v>11527</v>
      </c>
    </row>
    <row r="11963" spans="5:5" x14ac:dyDescent="0.25">
      <c r="E11963" t="s">
        <v>11528</v>
      </c>
    </row>
    <row r="11964" spans="5:5" x14ac:dyDescent="0.25">
      <c r="E11964" t="s">
        <v>11529</v>
      </c>
    </row>
    <row r="11965" spans="5:5" x14ac:dyDescent="0.25">
      <c r="E11965" t="s">
        <v>11530</v>
      </c>
    </row>
    <row r="11966" spans="5:5" x14ac:dyDescent="0.25">
      <c r="E11966" t="s">
        <v>11531</v>
      </c>
    </row>
    <row r="11967" spans="5:5" x14ac:dyDescent="0.25">
      <c r="E11967" t="s">
        <v>11532</v>
      </c>
    </row>
    <row r="11968" spans="5:5" x14ac:dyDescent="0.25">
      <c r="E11968" t="s">
        <v>11533</v>
      </c>
    </row>
    <row r="11969" spans="5:5" x14ac:dyDescent="0.25">
      <c r="E11969" t="s">
        <v>11534</v>
      </c>
    </row>
    <row r="11970" spans="5:5" x14ac:dyDescent="0.25">
      <c r="E11970" t="s">
        <v>11535</v>
      </c>
    </row>
    <row r="11971" spans="5:5" x14ac:dyDescent="0.25">
      <c r="E11971" t="s">
        <v>11536</v>
      </c>
    </row>
    <row r="11972" spans="5:5" x14ac:dyDescent="0.25">
      <c r="E11972" t="s">
        <v>11537</v>
      </c>
    </row>
    <row r="11973" spans="5:5" x14ac:dyDescent="0.25">
      <c r="E11973" t="s">
        <v>11538</v>
      </c>
    </row>
    <row r="11974" spans="5:5" x14ac:dyDescent="0.25">
      <c r="E11974" t="s">
        <v>11539</v>
      </c>
    </row>
    <row r="11975" spans="5:5" x14ac:dyDescent="0.25">
      <c r="E11975" t="s">
        <v>11540</v>
      </c>
    </row>
    <row r="11976" spans="5:5" x14ac:dyDescent="0.25">
      <c r="E11976" t="s">
        <v>11541</v>
      </c>
    </row>
    <row r="11977" spans="5:5" x14ac:dyDescent="0.25">
      <c r="E11977" t="s">
        <v>11542</v>
      </c>
    </row>
    <row r="11978" spans="5:5" x14ac:dyDescent="0.25">
      <c r="E11978" t="s">
        <v>11543</v>
      </c>
    </row>
    <row r="11979" spans="5:5" x14ac:dyDescent="0.25">
      <c r="E11979" t="s">
        <v>11544</v>
      </c>
    </row>
    <row r="11980" spans="5:5" x14ac:dyDescent="0.25">
      <c r="E11980" t="s">
        <v>11545</v>
      </c>
    </row>
    <row r="11981" spans="5:5" x14ac:dyDescent="0.25">
      <c r="E11981" t="s">
        <v>11546</v>
      </c>
    </row>
    <row r="11982" spans="5:5" x14ac:dyDescent="0.25">
      <c r="E11982" t="s">
        <v>11547</v>
      </c>
    </row>
    <row r="11983" spans="5:5" x14ac:dyDescent="0.25">
      <c r="E11983" t="s">
        <v>11548</v>
      </c>
    </row>
    <row r="11984" spans="5:5" x14ac:dyDescent="0.25">
      <c r="E11984" t="s">
        <v>11549</v>
      </c>
    </row>
    <row r="11985" spans="5:5" x14ac:dyDescent="0.25">
      <c r="E11985" t="s">
        <v>11550</v>
      </c>
    </row>
    <row r="11986" spans="5:5" x14ac:dyDescent="0.25">
      <c r="E11986" t="s">
        <v>11551</v>
      </c>
    </row>
    <row r="11987" spans="5:5" x14ac:dyDescent="0.25">
      <c r="E11987" t="s">
        <v>11552</v>
      </c>
    </row>
    <row r="11988" spans="5:5" x14ac:dyDescent="0.25">
      <c r="E11988" t="s">
        <v>11553</v>
      </c>
    </row>
    <row r="11989" spans="5:5" x14ac:dyDescent="0.25">
      <c r="E11989" t="s">
        <v>11554</v>
      </c>
    </row>
    <row r="11990" spans="5:5" x14ac:dyDescent="0.25">
      <c r="E11990" t="s">
        <v>11555</v>
      </c>
    </row>
    <row r="11991" spans="5:5" x14ac:dyDescent="0.25">
      <c r="E11991" t="s">
        <v>11556</v>
      </c>
    </row>
    <row r="11992" spans="5:5" x14ac:dyDescent="0.25">
      <c r="E11992" t="s">
        <v>11557</v>
      </c>
    </row>
    <row r="11993" spans="5:5" x14ac:dyDescent="0.25">
      <c r="E11993" t="s">
        <v>11558</v>
      </c>
    </row>
    <row r="11994" spans="5:5" x14ac:dyDescent="0.25">
      <c r="E11994" t="s">
        <v>11559</v>
      </c>
    </row>
    <row r="11995" spans="5:5" x14ac:dyDescent="0.25">
      <c r="E11995" t="s">
        <v>11560</v>
      </c>
    </row>
    <row r="11996" spans="5:5" x14ac:dyDescent="0.25">
      <c r="E11996" t="s">
        <v>11561</v>
      </c>
    </row>
    <row r="11997" spans="5:5" x14ac:dyDescent="0.25">
      <c r="E11997" t="s">
        <v>11562</v>
      </c>
    </row>
    <row r="11998" spans="5:5" x14ac:dyDescent="0.25">
      <c r="E11998" t="s">
        <v>11563</v>
      </c>
    </row>
    <row r="11999" spans="5:5" x14ac:dyDescent="0.25">
      <c r="E11999" t="s">
        <v>11564</v>
      </c>
    </row>
    <row r="12000" spans="5:5" x14ac:dyDescent="0.25">
      <c r="E12000" t="s">
        <v>11565</v>
      </c>
    </row>
    <row r="12001" spans="5:5" x14ac:dyDescent="0.25">
      <c r="E12001" t="s">
        <v>11566</v>
      </c>
    </row>
    <row r="12002" spans="5:5" x14ac:dyDescent="0.25">
      <c r="E12002" t="s">
        <v>11567</v>
      </c>
    </row>
    <row r="12003" spans="5:5" x14ac:dyDescent="0.25">
      <c r="E12003" t="s">
        <v>11568</v>
      </c>
    </row>
    <row r="12004" spans="5:5" x14ac:dyDescent="0.25">
      <c r="E12004" t="s">
        <v>11569</v>
      </c>
    </row>
    <row r="12005" spans="5:5" x14ac:dyDescent="0.25">
      <c r="E12005" t="s">
        <v>11570</v>
      </c>
    </row>
    <row r="12006" spans="5:5" x14ac:dyDescent="0.25">
      <c r="E12006" t="s">
        <v>11571</v>
      </c>
    </row>
    <row r="12007" spans="5:5" x14ac:dyDescent="0.25">
      <c r="E12007" t="s">
        <v>11572</v>
      </c>
    </row>
    <row r="12008" spans="5:5" x14ac:dyDescent="0.25">
      <c r="E12008" t="s">
        <v>11573</v>
      </c>
    </row>
    <row r="12009" spans="5:5" x14ac:dyDescent="0.25">
      <c r="E12009" t="s">
        <v>11574</v>
      </c>
    </row>
    <row r="12010" spans="5:5" x14ac:dyDescent="0.25">
      <c r="E12010" t="s">
        <v>11575</v>
      </c>
    </row>
    <row r="12011" spans="5:5" x14ac:dyDescent="0.25">
      <c r="E12011" t="s">
        <v>11576</v>
      </c>
    </row>
    <row r="12012" spans="5:5" x14ac:dyDescent="0.25">
      <c r="E12012" t="s">
        <v>11577</v>
      </c>
    </row>
    <row r="12013" spans="5:5" x14ac:dyDescent="0.25">
      <c r="E12013" t="s">
        <v>11578</v>
      </c>
    </row>
    <row r="12014" spans="5:5" x14ac:dyDescent="0.25">
      <c r="E12014" t="s">
        <v>11579</v>
      </c>
    </row>
    <row r="12015" spans="5:5" x14ac:dyDescent="0.25">
      <c r="E12015" t="s">
        <v>11580</v>
      </c>
    </row>
    <row r="12016" spans="5:5" x14ac:dyDescent="0.25">
      <c r="E12016" t="s">
        <v>11581</v>
      </c>
    </row>
    <row r="12017" spans="5:5" x14ac:dyDescent="0.25">
      <c r="E12017" t="s">
        <v>11582</v>
      </c>
    </row>
    <row r="12018" spans="5:5" x14ac:dyDescent="0.25">
      <c r="E12018" t="s">
        <v>11583</v>
      </c>
    </row>
    <row r="12019" spans="5:5" x14ac:dyDescent="0.25">
      <c r="E12019" t="s">
        <v>11584</v>
      </c>
    </row>
    <row r="12020" spans="5:5" x14ac:dyDescent="0.25">
      <c r="E12020" t="s">
        <v>11585</v>
      </c>
    </row>
    <row r="12021" spans="5:5" x14ac:dyDescent="0.25">
      <c r="E12021" t="s">
        <v>11586</v>
      </c>
    </row>
    <row r="12022" spans="5:5" x14ac:dyDescent="0.25">
      <c r="E12022" t="s">
        <v>11587</v>
      </c>
    </row>
    <row r="12023" spans="5:5" x14ac:dyDescent="0.25">
      <c r="E12023" t="s">
        <v>11588</v>
      </c>
    </row>
    <row r="12024" spans="5:5" x14ac:dyDescent="0.25">
      <c r="E12024" t="s">
        <v>11589</v>
      </c>
    </row>
    <row r="12025" spans="5:5" x14ac:dyDescent="0.25">
      <c r="E12025" t="s">
        <v>11590</v>
      </c>
    </row>
    <row r="12026" spans="5:5" x14ac:dyDescent="0.25">
      <c r="E12026" t="s">
        <v>11591</v>
      </c>
    </row>
    <row r="12027" spans="5:5" x14ac:dyDescent="0.25">
      <c r="E12027" t="s">
        <v>11592</v>
      </c>
    </row>
    <row r="12028" spans="5:5" x14ac:dyDescent="0.25">
      <c r="E12028" t="s">
        <v>11593</v>
      </c>
    </row>
    <row r="12029" spans="5:5" x14ac:dyDescent="0.25">
      <c r="E12029" t="s">
        <v>11594</v>
      </c>
    </row>
    <row r="12030" spans="5:5" x14ac:dyDescent="0.25">
      <c r="E12030" t="s">
        <v>11595</v>
      </c>
    </row>
    <row r="12031" spans="5:5" x14ac:dyDescent="0.25">
      <c r="E12031" t="s">
        <v>11596</v>
      </c>
    </row>
    <row r="12032" spans="5:5" x14ac:dyDescent="0.25">
      <c r="E12032" t="s">
        <v>11597</v>
      </c>
    </row>
    <row r="12033" spans="5:5" x14ac:dyDescent="0.25">
      <c r="E12033" t="s">
        <v>11598</v>
      </c>
    </row>
    <row r="12034" spans="5:5" x14ac:dyDescent="0.25">
      <c r="E12034" t="s">
        <v>11599</v>
      </c>
    </row>
    <row r="12035" spans="5:5" x14ac:dyDescent="0.25">
      <c r="E12035" t="s">
        <v>11600</v>
      </c>
    </row>
    <row r="12036" spans="5:5" x14ac:dyDescent="0.25">
      <c r="E12036" t="s">
        <v>11601</v>
      </c>
    </row>
    <row r="12037" spans="5:5" x14ac:dyDescent="0.25">
      <c r="E12037" t="s">
        <v>11602</v>
      </c>
    </row>
    <row r="12038" spans="5:5" x14ac:dyDescent="0.25">
      <c r="E12038" t="s">
        <v>11603</v>
      </c>
    </row>
    <row r="12039" spans="5:5" x14ac:dyDescent="0.25">
      <c r="E12039" t="s">
        <v>11604</v>
      </c>
    </row>
    <row r="12040" spans="5:5" x14ac:dyDescent="0.25">
      <c r="E12040" t="s">
        <v>11605</v>
      </c>
    </row>
    <row r="12041" spans="5:5" x14ac:dyDescent="0.25">
      <c r="E12041" t="s">
        <v>11606</v>
      </c>
    </row>
    <row r="12042" spans="5:5" x14ac:dyDescent="0.25">
      <c r="E12042" t="s">
        <v>11607</v>
      </c>
    </row>
    <row r="12043" spans="5:5" x14ac:dyDescent="0.25">
      <c r="E12043" t="s">
        <v>11608</v>
      </c>
    </row>
    <row r="12044" spans="5:5" x14ac:dyDescent="0.25">
      <c r="E12044" t="s">
        <v>11609</v>
      </c>
    </row>
    <row r="12045" spans="5:5" x14ac:dyDescent="0.25">
      <c r="E12045" t="s">
        <v>11610</v>
      </c>
    </row>
    <row r="12046" spans="5:5" x14ac:dyDescent="0.25">
      <c r="E12046" t="s">
        <v>11611</v>
      </c>
    </row>
    <row r="12047" spans="5:5" x14ac:dyDescent="0.25">
      <c r="E12047" t="s">
        <v>11612</v>
      </c>
    </row>
    <row r="12048" spans="5:5" x14ac:dyDescent="0.25">
      <c r="E12048" t="s">
        <v>11613</v>
      </c>
    </row>
    <row r="12049" spans="5:5" x14ac:dyDescent="0.25">
      <c r="E12049" t="s">
        <v>11614</v>
      </c>
    </row>
    <row r="12050" spans="5:5" x14ac:dyDescent="0.25">
      <c r="E12050" t="s">
        <v>11615</v>
      </c>
    </row>
    <row r="12051" spans="5:5" x14ac:dyDescent="0.25">
      <c r="E12051" t="s">
        <v>11616</v>
      </c>
    </row>
    <row r="12052" spans="5:5" x14ac:dyDescent="0.25">
      <c r="E12052" t="s">
        <v>11617</v>
      </c>
    </row>
    <row r="12053" spans="5:5" x14ac:dyDescent="0.25">
      <c r="E12053" t="s">
        <v>11618</v>
      </c>
    </row>
    <row r="12054" spans="5:5" x14ac:dyDescent="0.25">
      <c r="E12054" t="s">
        <v>11619</v>
      </c>
    </row>
    <row r="12055" spans="5:5" x14ac:dyDescent="0.25">
      <c r="E12055" t="s">
        <v>11620</v>
      </c>
    </row>
    <row r="12056" spans="5:5" x14ac:dyDescent="0.25">
      <c r="E12056" t="s">
        <v>11621</v>
      </c>
    </row>
    <row r="12057" spans="5:5" x14ac:dyDescent="0.25">
      <c r="E12057" t="s">
        <v>11622</v>
      </c>
    </row>
    <row r="12058" spans="5:5" x14ac:dyDescent="0.25">
      <c r="E12058" t="s">
        <v>11623</v>
      </c>
    </row>
    <row r="12059" spans="5:5" x14ac:dyDescent="0.25">
      <c r="E12059" t="s">
        <v>11624</v>
      </c>
    </row>
    <row r="12060" spans="5:5" x14ac:dyDescent="0.25">
      <c r="E12060" t="s">
        <v>11625</v>
      </c>
    </row>
    <row r="12061" spans="5:5" x14ac:dyDescent="0.25">
      <c r="E12061" t="s">
        <v>11626</v>
      </c>
    </row>
    <row r="12062" spans="5:5" x14ac:dyDescent="0.25">
      <c r="E12062" t="s">
        <v>11627</v>
      </c>
    </row>
    <row r="12063" spans="5:5" x14ac:dyDescent="0.25">
      <c r="E12063" t="s">
        <v>11628</v>
      </c>
    </row>
    <row r="12064" spans="5:5" x14ac:dyDescent="0.25">
      <c r="E12064" t="s">
        <v>11629</v>
      </c>
    </row>
    <row r="12065" spans="5:5" x14ac:dyDescent="0.25">
      <c r="E12065" t="s">
        <v>11630</v>
      </c>
    </row>
    <row r="12066" spans="5:5" x14ac:dyDescent="0.25">
      <c r="E12066" t="s">
        <v>11631</v>
      </c>
    </row>
    <row r="12067" spans="5:5" x14ac:dyDescent="0.25">
      <c r="E12067" t="s">
        <v>11632</v>
      </c>
    </row>
    <row r="12068" spans="5:5" x14ac:dyDescent="0.25">
      <c r="E12068" t="s">
        <v>11633</v>
      </c>
    </row>
    <row r="12069" spans="5:5" x14ac:dyDescent="0.25">
      <c r="E12069" t="s">
        <v>11634</v>
      </c>
    </row>
    <row r="12070" spans="5:5" x14ac:dyDescent="0.25">
      <c r="E12070" t="s">
        <v>11635</v>
      </c>
    </row>
    <row r="12071" spans="5:5" x14ac:dyDescent="0.25">
      <c r="E12071" t="s">
        <v>11636</v>
      </c>
    </row>
    <row r="12072" spans="5:5" x14ac:dyDescent="0.25">
      <c r="E12072" t="s">
        <v>11637</v>
      </c>
    </row>
    <row r="12073" spans="5:5" x14ac:dyDescent="0.25">
      <c r="E12073" t="s">
        <v>11638</v>
      </c>
    </row>
    <row r="12074" spans="5:5" x14ac:dyDescent="0.25">
      <c r="E12074" t="s">
        <v>11639</v>
      </c>
    </row>
    <row r="12075" spans="5:5" x14ac:dyDescent="0.25">
      <c r="E12075" t="s">
        <v>11640</v>
      </c>
    </row>
    <row r="12076" spans="5:5" x14ac:dyDescent="0.25">
      <c r="E12076" t="s">
        <v>11641</v>
      </c>
    </row>
    <row r="12077" spans="5:5" x14ac:dyDescent="0.25">
      <c r="E12077" t="s">
        <v>11642</v>
      </c>
    </row>
    <row r="12078" spans="5:5" x14ac:dyDescent="0.25">
      <c r="E12078" t="s">
        <v>11643</v>
      </c>
    </row>
    <row r="12079" spans="5:5" x14ac:dyDescent="0.25">
      <c r="E12079" t="s">
        <v>11644</v>
      </c>
    </row>
    <row r="12080" spans="5:5" x14ac:dyDescent="0.25">
      <c r="E12080" t="s">
        <v>11645</v>
      </c>
    </row>
    <row r="12081" spans="5:5" x14ac:dyDescent="0.25">
      <c r="E12081" t="s">
        <v>11646</v>
      </c>
    </row>
    <row r="12082" spans="5:5" x14ac:dyDescent="0.25">
      <c r="E12082" t="s">
        <v>11647</v>
      </c>
    </row>
    <row r="12083" spans="5:5" x14ac:dyDescent="0.25">
      <c r="E12083" t="s">
        <v>11648</v>
      </c>
    </row>
    <row r="12084" spans="5:5" x14ac:dyDescent="0.25">
      <c r="E12084" t="s">
        <v>11649</v>
      </c>
    </row>
    <row r="12085" spans="5:5" x14ac:dyDescent="0.25">
      <c r="E12085" t="s">
        <v>11650</v>
      </c>
    </row>
    <row r="12086" spans="5:5" x14ac:dyDescent="0.25">
      <c r="E12086" t="s">
        <v>11651</v>
      </c>
    </row>
    <row r="12087" spans="5:5" x14ac:dyDescent="0.25">
      <c r="E12087" t="s">
        <v>11652</v>
      </c>
    </row>
    <row r="12088" spans="5:5" x14ac:dyDescent="0.25">
      <c r="E12088" t="s">
        <v>11653</v>
      </c>
    </row>
    <row r="12089" spans="5:5" x14ac:dyDescent="0.25">
      <c r="E12089" t="s">
        <v>11654</v>
      </c>
    </row>
    <row r="12090" spans="5:5" x14ac:dyDescent="0.25">
      <c r="E12090" t="s">
        <v>11655</v>
      </c>
    </row>
    <row r="12091" spans="5:5" x14ac:dyDescent="0.25">
      <c r="E12091" t="s">
        <v>11656</v>
      </c>
    </row>
    <row r="12092" spans="5:5" x14ac:dyDescent="0.25">
      <c r="E12092" t="s">
        <v>11657</v>
      </c>
    </row>
    <row r="12093" spans="5:5" x14ac:dyDescent="0.25">
      <c r="E12093" t="s">
        <v>11658</v>
      </c>
    </row>
    <row r="12094" spans="5:5" x14ac:dyDescent="0.25">
      <c r="E12094" t="s">
        <v>11659</v>
      </c>
    </row>
    <row r="12095" spans="5:5" x14ac:dyDescent="0.25">
      <c r="E12095" t="s">
        <v>11660</v>
      </c>
    </row>
    <row r="12096" spans="5:5" x14ac:dyDescent="0.25">
      <c r="E12096" t="s">
        <v>11661</v>
      </c>
    </row>
    <row r="12097" spans="5:5" x14ac:dyDescent="0.25">
      <c r="E12097" t="s">
        <v>11662</v>
      </c>
    </row>
    <row r="12098" spans="5:5" x14ac:dyDescent="0.25">
      <c r="E12098" t="s">
        <v>11663</v>
      </c>
    </row>
    <row r="12099" spans="5:5" x14ac:dyDescent="0.25">
      <c r="E12099" t="s">
        <v>11664</v>
      </c>
    </row>
    <row r="12100" spans="5:5" x14ac:dyDescent="0.25">
      <c r="E12100" t="s">
        <v>11665</v>
      </c>
    </row>
    <row r="12101" spans="5:5" x14ac:dyDescent="0.25">
      <c r="E12101" t="s">
        <v>11666</v>
      </c>
    </row>
    <row r="12102" spans="5:5" x14ac:dyDescent="0.25">
      <c r="E12102" t="s">
        <v>11667</v>
      </c>
    </row>
    <row r="12103" spans="5:5" x14ac:dyDescent="0.25">
      <c r="E12103" t="s">
        <v>11668</v>
      </c>
    </row>
    <row r="12104" spans="5:5" x14ac:dyDescent="0.25">
      <c r="E12104" t="s">
        <v>11669</v>
      </c>
    </row>
    <row r="12105" spans="5:5" x14ac:dyDescent="0.25">
      <c r="E12105" t="s">
        <v>11670</v>
      </c>
    </row>
    <row r="12106" spans="5:5" x14ac:dyDescent="0.25">
      <c r="E12106" t="s">
        <v>11671</v>
      </c>
    </row>
    <row r="12107" spans="5:5" x14ac:dyDescent="0.25">
      <c r="E12107" t="s">
        <v>11672</v>
      </c>
    </row>
    <row r="12108" spans="5:5" x14ac:dyDescent="0.25">
      <c r="E12108" t="s">
        <v>11673</v>
      </c>
    </row>
    <row r="12109" spans="5:5" x14ac:dyDescent="0.25">
      <c r="E12109" t="s">
        <v>11674</v>
      </c>
    </row>
    <row r="12110" spans="5:5" x14ac:dyDescent="0.25">
      <c r="E12110" t="s">
        <v>11675</v>
      </c>
    </row>
    <row r="12111" spans="5:5" x14ac:dyDescent="0.25">
      <c r="E12111" t="s">
        <v>11676</v>
      </c>
    </row>
    <row r="12112" spans="5:5" x14ac:dyDescent="0.25">
      <c r="E12112" t="s">
        <v>11677</v>
      </c>
    </row>
    <row r="12113" spans="5:5" x14ac:dyDescent="0.25">
      <c r="E12113" t="s">
        <v>11678</v>
      </c>
    </row>
    <row r="12114" spans="5:5" x14ac:dyDescent="0.25">
      <c r="E12114" t="s">
        <v>11679</v>
      </c>
    </row>
    <row r="12115" spans="5:5" x14ac:dyDescent="0.25">
      <c r="E12115" t="s">
        <v>11680</v>
      </c>
    </row>
    <row r="12116" spans="5:5" x14ac:dyDescent="0.25">
      <c r="E12116" t="s">
        <v>11681</v>
      </c>
    </row>
    <row r="12117" spans="5:5" x14ac:dyDescent="0.25">
      <c r="E12117" t="s">
        <v>11682</v>
      </c>
    </row>
    <row r="12118" spans="5:5" x14ac:dyDescent="0.25">
      <c r="E12118" t="s">
        <v>11683</v>
      </c>
    </row>
    <row r="12119" spans="5:5" x14ac:dyDescent="0.25">
      <c r="E12119" t="s">
        <v>11684</v>
      </c>
    </row>
    <row r="12120" spans="5:5" x14ac:dyDescent="0.25">
      <c r="E12120" t="s">
        <v>11685</v>
      </c>
    </row>
    <row r="12121" spans="5:5" x14ac:dyDescent="0.25">
      <c r="E12121" t="s">
        <v>11686</v>
      </c>
    </row>
    <row r="12122" spans="5:5" x14ac:dyDescent="0.25">
      <c r="E12122" t="s">
        <v>11687</v>
      </c>
    </row>
    <row r="12123" spans="5:5" x14ac:dyDescent="0.25">
      <c r="E12123" t="s">
        <v>11688</v>
      </c>
    </row>
    <row r="12124" spans="5:5" x14ac:dyDescent="0.25">
      <c r="E12124" t="s">
        <v>11689</v>
      </c>
    </row>
    <row r="12125" spans="5:5" x14ac:dyDescent="0.25">
      <c r="E12125" t="s">
        <v>11690</v>
      </c>
    </row>
    <row r="12126" spans="5:5" x14ac:dyDescent="0.25">
      <c r="E12126" t="s">
        <v>11691</v>
      </c>
    </row>
    <row r="12127" spans="5:5" x14ac:dyDescent="0.25">
      <c r="E12127" t="s">
        <v>11692</v>
      </c>
    </row>
    <row r="12128" spans="5:5" x14ac:dyDescent="0.25">
      <c r="E12128" t="s">
        <v>11693</v>
      </c>
    </row>
    <row r="12129" spans="5:5" x14ac:dyDescent="0.25">
      <c r="E12129" t="s">
        <v>11694</v>
      </c>
    </row>
    <row r="12130" spans="5:5" x14ac:dyDescent="0.25">
      <c r="E12130" t="s">
        <v>11695</v>
      </c>
    </row>
    <row r="12131" spans="5:5" x14ac:dyDescent="0.25">
      <c r="E12131" t="s">
        <v>11696</v>
      </c>
    </row>
    <row r="12132" spans="5:5" x14ac:dyDescent="0.25">
      <c r="E12132" t="s">
        <v>11697</v>
      </c>
    </row>
    <row r="12133" spans="5:5" x14ac:dyDescent="0.25">
      <c r="E12133" t="s">
        <v>11698</v>
      </c>
    </row>
    <row r="12134" spans="5:5" x14ac:dyDescent="0.25">
      <c r="E12134" t="s">
        <v>11699</v>
      </c>
    </row>
    <row r="12135" spans="5:5" x14ac:dyDescent="0.25">
      <c r="E12135" t="s">
        <v>11700</v>
      </c>
    </row>
    <row r="12136" spans="5:5" x14ac:dyDescent="0.25">
      <c r="E12136" t="s">
        <v>11701</v>
      </c>
    </row>
    <row r="12137" spans="5:5" x14ac:dyDescent="0.25">
      <c r="E12137" t="s">
        <v>11702</v>
      </c>
    </row>
    <row r="12138" spans="5:5" x14ac:dyDescent="0.25">
      <c r="E12138" t="s">
        <v>11703</v>
      </c>
    </row>
    <row r="12139" spans="5:5" x14ac:dyDescent="0.25">
      <c r="E12139" t="s">
        <v>11704</v>
      </c>
    </row>
    <row r="12140" spans="5:5" x14ac:dyDescent="0.25">
      <c r="E12140" t="s">
        <v>11705</v>
      </c>
    </row>
    <row r="12141" spans="5:5" x14ac:dyDescent="0.25">
      <c r="E12141" t="s">
        <v>11706</v>
      </c>
    </row>
    <row r="12142" spans="5:5" x14ac:dyDescent="0.25">
      <c r="E12142" t="s">
        <v>11707</v>
      </c>
    </row>
    <row r="12143" spans="5:5" x14ac:dyDescent="0.25">
      <c r="E12143" t="s">
        <v>11708</v>
      </c>
    </row>
    <row r="12144" spans="5:5" x14ac:dyDescent="0.25">
      <c r="E12144" t="s">
        <v>11709</v>
      </c>
    </row>
    <row r="12145" spans="5:5" x14ac:dyDescent="0.25">
      <c r="E12145" t="s">
        <v>11710</v>
      </c>
    </row>
    <row r="12146" spans="5:5" x14ac:dyDescent="0.25">
      <c r="E12146" t="s">
        <v>11711</v>
      </c>
    </row>
    <row r="12147" spans="5:5" x14ac:dyDescent="0.25">
      <c r="E12147" t="s">
        <v>11712</v>
      </c>
    </row>
    <row r="12148" spans="5:5" x14ac:dyDescent="0.25">
      <c r="E12148" t="s">
        <v>11713</v>
      </c>
    </row>
    <row r="12149" spans="5:5" x14ac:dyDescent="0.25">
      <c r="E12149" t="s">
        <v>11714</v>
      </c>
    </row>
    <row r="12150" spans="5:5" x14ac:dyDescent="0.25">
      <c r="E12150" t="s">
        <v>11715</v>
      </c>
    </row>
    <row r="12151" spans="5:5" x14ac:dyDescent="0.25">
      <c r="E12151" t="s">
        <v>11716</v>
      </c>
    </row>
    <row r="12152" spans="5:5" x14ac:dyDescent="0.25">
      <c r="E12152" t="s">
        <v>11717</v>
      </c>
    </row>
    <row r="12153" spans="5:5" x14ac:dyDescent="0.25">
      <c r="E12153" t="s">
        <v>11718</v>
      </c>
    </row>
    <row r="12154" spans="5:5" x14ac:dyDescent="0.25">
      <c r="E12154" t="s">
        <v>11719</v>
      </c>
    </row>
    <row r="12155" spans="5:5" x14ac:dyDescent="0.25">
      <c r="E12155" t="s">
        <v>11720</v>
      </c>
    </row>
    <row r="12156" spans="5:5" x14ac:dyDescent="0.25">
      <c r="E12156" t="s">
        <v>11721</v>
      </c>
    </row>
    <row r="12157" spans="5:5" x14ac:dyDescent="0.25">
      <c r="E12157" t="s">
        <v>11722</v>
      </c>
    </row>
    <row r="12158" spans="5:5" x14ac:dyDescent="0.25">
      <c r="E12158" t="s">
        <v>11723</v>
      </c>
    </row>
    <row r="12159" spans="5:5" x14ac:dyDescent="0.25">
      <c r="E12159" t="s">
        <v>11724</v>
      </c>
    </row>
    <row r="12160" spans="5:5" x14ac:dyDescent="0.25">
      <c r="E12160" t="s">
        <v>11725</v>
      </c>
    </row>
    <row r="12161" spans="5:5" x14ac:dyDescent="0.25">
      <c r="E12161" t="s">
        <v>11726</v>
      </c>
    </row>
    <row r="12162" spans="5:5" x14ac:dyDescent="0.25">
      <c r="E12162" t="s">
        <v>11727</v>
      </c>
    </row>
    <row r="12163" spans="5:5" x14ac:dyDescent="0.25">
      <c r="E12163" t="s">
        <v>11728</v>
      </c>
    </row>
    <row r="12164" spans="5:5" x14ac:dyDescent="0.25">
      <c r="E12164" t="s">
        <v>11729</v>
      </c>
    </row>
    <row r="12165" spans="5:5" x14ac:dyDescent="0.25">
      <c r="E12165" t="s">
        <v>11730</v>
      </c>
    </row>
    <row r="12166" spans="5:5" x14ac:dyDescent="0.25">
      <c r="E12166" t="s">
        <v>11731</v>
      </c>
    </row>
    <row r="12167" spans="5:5" x14ac:dyDescent="0.25">
      <c r="E12167" t="s">
        <v>11732</v>
      </c>
    </row>
    <row r="12168" spans="5:5" x14ac:dyDescent="0.25">
      <c r="E12168" t="s">
        <v>11733</v>
      </c>
    </row>
    <row r="12169" spans="5:5" x14ac:dyDescent="0.25">
      <c r="E12169" t="s">
        <v>11734</v>
      </c>
    </row>
    <row r="12170" spans="5:5" x14ac:dyDescent="0.25">
      <c r="E12170" t="s">
        <v>11735</v>
      </c>
    </row>
    <row r="12171" spans="5:5" x14ac:dyDescent="0.25">
      <c r="E12171" t="s">
        <v>11736</v>
      </c>
    </row>
    <row r="12172" spans="5:5" x14ac:dyDescent="0.25">
      <c r="E12172" t="s">
        <v>11737</v>
      </c>
    </row>
    <row r="12173" spans="5:5" x14ac:dyDescent="0.25">
      <c r="E12173" t="s">
        <v>11738</v>
      </c>
    </row>
    <row r="12174" spans="5:5" x14ac:dyDescent="0.25">
      <c r="E12174" t="s">
        <v>11739</v>
      </c>
    </row>
    <row r="12175" spans="5:5" x14ac:dyDescent="0.25">
      <c r="E12175" t="s">
        <v>11740</v>
      </c>
    </row>
    <row r="12176" spans="5:5" x14ac:dyDescent="0.25">
      <c r="E12176" t="s">
        <v>11741</v>
      </c>
    </row>
    <row r="12177" spans="5:5" x14ac:dyDescent="0.25">
      <c r="E12177" t="s">
        <v>11742</v>
      </c>
    </row>
    <row r="12178" spans="5:5" x14ac:dyDescent="0.25">
      <c r="E12178" t="s">
        <v>11743</v>
      </c>
    </row>
    <row r="12179" spans="5:5" x14ac:dyDescent="0.25">
      <c r="E12179" t="s">
        <v>11744</v>
      </c>
    </row>
    <row r="12180" spans="5:5" x14ac:dyDescent="0.25">
      <c r="E12180" t="s">
        <v>11745</v>
      </c>
    </row>
    <row r="12181" spans="5:5" x14ac:dyDescent="0.25">
      <c r="E12181" t="s">
        <v>11746</v>
      </c>
    </row>
    <row r="12182" spans="5:5" x14ac:dyDescent="0.25">
      <c r="E12182" t="s">
        <v>11747</v>
      </c>
    </row>
    <row r="12183" spans="5:5" x14ac:dyDescent="0.25">
      <c r="E12183" t="s">
        <v>11748</v>
      </c>
    </row>
    <row r="12184" spans="5:5" x14ac:dyDescent="0.25">
      <c r="E12184" t="s">
        <v>11749</v>
      </c>
    </row>
    <row r="12185" spans="5:5" x14ac:dyDescent="0.25">
      <c r="E12185" t="s">
        <v>11750</v>
      </c>
    </row>
    <row r="12186" spans="5:5" x14ac:dyDescent="0.25">
      <c r="E12186" t="s">
        <v>11751</v>
      </c>
    </row>
    <row r="12187" spans="5:5" x14ac:dyDescent="0.25">
      <c r="E12187" t="s">
        <v>11752</v>
      </c>
    </row>
    <row r="12188" spans="5:5" x14ac:dyDescent="0.25">
      <c r="E12188" t="s">
        <v>11753</v>
      </c>
    </row>
    <row r="12189" spans="5:5" x14ac:dyDescent="0.25">
      <c r="E12189" t="s">
        <v>11754</v>
      </c>
    </row>
    <row r="12190" spans="5:5" x14ac:dyDescent="0.25">
      <c r="E12190" t="s">
        <v>11755</v>
      </c>
    </row>
    <row r="12191" spans="5:5" x14ac:dyDescent="0.25">
      <c r="E12191" t="s">
        <v>11756</v>
      </c>
    </row>
    <row r="12192" spans="5:5" x14ac:dyDescent="0.25">
      <c r="E12192" t="s">
        <v>11757</v>
      </c>
    </row>
    <row r="12193" spans="5:5" x14ac:dyDescent="0.25">
      <c r="E12193" t="s">
        <v>11758</v>
      </c>
    </row>
    <row r="12194" spans="5:5" x14ac:dyDescent="0.25">
      <c r="E12194" t="s">
        <v>11759</v>
      </c>
    </row>
    <row r="12195" spans="5:5" x14ac:dyDescent="0.25">
      <c r="E12195" t="s">
        <v>11760</v>
      </c>
    </row>
    <row r="12196" spans="5:5" x14ac:dyDescent="0.25">
      <c r="E12196" t="s">
        <v>11761</v>
      </c>
    </row>
    <row r="12197" spans="5:5" x14ac:dyDescent="0.25">
      <c r="E12197" t="s">
        <v>11762</v>
      </c>
    </row>
    <row r="12198" spans="5:5" x14ac:dyDescent="0.25">
      <c r="E12198" t="s">
        <v>11763</v>
      </c>
    </row>
    <row r="12199" spans="5:5" x14ac:dyDescent="0.25">
      <c r="E12199" t="s">
        <v>11764</v>
      </c>
    </row>
    <row r="12200" spans="5:5" x14ac:dyDescent="0.25">
      <c r="E12200" t="s">
        <v>11765</v>
      </c>
    </row>
    <row r="12201" spans="5:5" x14ac:dyDescent="0.25">
      <c r="E12201" t="s">
        <v>11766</v>
      </c>
    </row>
    <row r="12202" spans="5:5" x14ac:dyDescent="0.25">
      <c r="E12202" t="s">
        <v>11767</v>
      </c>
    </row>
    <row r="12203" spans="5:5" x14ac:dyDescent="0.25">
      <c r="E12203" t="s">
        <v>11768</v>
      </c>
    </row>
    <row r="12204" spans="5:5" x14ac:dyDescent="0.25">
      <c r="E12204" t="s">
        <v>11769</v>
      </c>
    </row>
    <row r="12205" spans="5:5" x14ac:dyDescent="0.25">
      <c r="E12205" t="s">
        <v>11770</v>
      </c>
    </row>
    <row r="12206" spans="5:5" x14ac:dyDescent="0.25">
      <c r="E12206" t="s">
        <v>11771</v>
      </c>
    </row>
    <row r="12207" spans="5:5" x14ac:dyDescent="0.25">
      <c r="E12207" t="s">
        <v>11772</v>
      </c>
    </row>
    <row r="12208" spans="5:5" x14ac:dyDescent="0.25">
      <c r="E12208" t="s">
        <v>11773</v>
      </c>
    </row>
    <row r="12209" spans="5:5" x14ac:dyDescent="0.25">
      <c r="E12209" t="s">
        <v>11774</v>
      </c>
    </row>
    <row r="12210" spans="5:5" x14ac:dyDescent="0.25">
      <c r="E12210" t="s">
        <v>11775</v>
      </c>
    </row>
    <row r="12211" spans="5:5" x14ac:dyDescent="0.25">
      <c r="E12211" t="s">
        <v>11776</v>
      </c>
    </row>
    <row r="12212" spans="5:5" x14ac:dyDescent="0.25">
      <c r="E12212" t="s">
        <v>11777</v>
      </c>
    </row>
    <row r="12213" spans="5:5" x14ac:dyDescent="0.25">
      <c r="E12213" t="s">
        <v>11778</v>
      </c>
    </row>
    <row r="12214" spans="5:5" x14ac:dyDescent="0.25">
      <c r="E12214" t="s">
        <v>11779</v>
      </c>
    </row>
    <row r="12215" spans="5:5" x14ac:dyDescent="0.25">
      <c r="E12215" t="s">
        <v>11780</v>
      </c>
    </row>
    <row r="12216" spans="5:5" x14ac:dyDescent="0.25">
      <c r="E12216" t="s">
        <v>11781</v>
      </c>
    </row>
    <row r="12217" spans="5:5" x14ac:dyDescent="0.25">
      <c r="E12217" t="s">
        <v>11782</v>
      </c>
    </row>
    <row r="12218" spans="5:5" x14ac:dyDescent="0.25">
      <c r="E12218" t="s">
        <v>11783</v>
      </c>
    </row>
    <row r="12219" spans="5:5" x14ac:dyDescent="0.25">
      <c r="E12219" t="s">
        <v>11784</v>
      </c>
    </row>
    <row r="12220" spans="5:5" x14ac:dyDescent="0.25">
      <c r="E12220" t="s">
        <v>11785</v>
      </c>
    </row>
    <row r="12221" spans="5:5" x14ac:dyDescent="0.25">
      <c r="E12221" t="s">
        <v>11786</v>
      </c>
    </row>
    <row r="12222" spans="5:5" x14ac:dyDescent="0.25">
      <c r="E12222" t="s">
        <v>11787</v>
      </c>
    </row>
    <row r="12223" spans="5:5" x14ac:dyDescent="0.25">
      <c r="E12223" t="s">
        <v>11788</v>
      </c>
    </row>
    <row r="12224" spans="5:5" x14ac:dyDescent="0.25">
      <c r="E12224" t="s">
        <v>11789</v>
      </c>
    </row>
    <row r="12225" spans="5:5" x14ac:dyDescent="0.25">
      <c r="E12225" t="s">
        <v>11790</v>
      </c>
    </row>
    <row r="12226" spans="5:5" x14ac:dyDescent="0.25">
      <c r="E12226" t="s">
        <v>11791</v>
      </c>
    </row>
    <row r="12227" spans="5:5" x14ac:dyDescent="0.25">
      <c r="E12227" t="s">
        <v>11792</v>
      </c>
    </row>
    <row r="12228" spans="5:5" x14ac:dyDescent="0.25">
      <c r="E12228" t="s">
        <v>11793</v>
      </c>
    </row>
    <row r="12229" spans="5:5" x14ac:dyDescent="0.25">
      <c r="E12229" t="s">
        <v>11794</v>
      </c>
    </row>
    <row r="12230" spans="5:5" x14ac:dyDescent="0.25">
      <c r="E12230" t="s">
        <v>11795</v>
      </c>
    </row>
    <row r="12231" spans="5:5" x14ac:dyDescent="0.25">
      <c r="E12231" t="s">
        <v>11796</v>
      </c>
    </row>
    <row r="12232" spans="5:5" x14ac:dyDescent="0.25">
      <c r="E12232" t="s">
        <v>11797</v>
      </c>
    </row>
    <row r="12233" spans="5:5" x14ac:dyDescent="0.25">
      <c r="E12233" t="s">
        <v>11798</v>
      </c>
    </row>
    <row r="12234" spans="5:5" x14ac:dyDescent="0.25">
      <c r="E12234" t="s">
        <v>11799</v>
      </c>
    </row>
    <row r="12235" spans="5:5" x14ac:dyDescent="0.25">
      <c r="E12235" t="s">
        <v>11800</v>
      </c>
    </row>
    <row r="12236" spans="5:5" x14ac:dyDescent="0.25">
      <c r="E12236" t="s">
        <v>11801</v>
      </c>
    </row>
    <row r="12237" spans="5:5" x14ac:dyDescent="0.25">
      <c r="E12237" t="s">
        <v>11802</v>
      </c>
    </row>
    <row r="12238" spans="5:5" x14ac:dyDescent="0.25">
      <c r="E12238" t="s">
        <v>11803</v>
      </c>
    </row>
    <row r="12239" spans="5:5" x14ac:dyDescent="0.25">
      <c r="E12239" t="s">
        <v>11804</v>
      </c>
    </row>
    <row r="12240" spans="5:5" x14ac:dyDescent="0.25">
      <c r="E12240" t="s">
        <v>11805</v>
      </c>
    </row>
    <row r="12241" spans="5:5" x14ac:dyDescent="0.25">
      <c r="E12241" t="s">
        <v>11806</v>
      </c>
    </row>
    <row r="12242" spans="5:5" x14ac:dyDescent="0.25">
      <c r="E12242" t="s">
        <v>11807</v>
      </c>
    </row>
    <row r="12243" spans="5:5" x14ac:dyDescent="0.25">
      <c r="E12243" t="s">
        <v>11808</v>
      </c>
    </row>
    <row r="12244" spans="5:5" x14ac:dyDescent="0.25">
      <c r="E12244" t="s">
        <v>11809</v>
      </c>
    </row>
    <row r="12245" spans="5:5" x14ac:dyDescent="0.25">
      <c r="E12245" t="s">
        <v>11810</v>
      </c>
    </row>
    <row r="12246" spans="5:5" x14ac:dyDescent="0.25">
      <c r="E12246" t="s">
        <v>11811</v>
      </c>
    </row>
    <row r="12247" spans="5:5" x14ac:dyDescent="0.25">
      <c r="E12247" t="s">
        <v>11812</v>
      </c>
    </row>
    <row r="12248" spans="5:5" x14ac:dyDescent="0.25">
      <c r="E12248" t="s">
        <v>11813</v>
      </c>
    </row>
    <row r="12249" spans="5:5" x14ac:dyDescent="0.25">
      <c r="E12249" t="s">
        <v>11814</v>
      </c>
    </row>
    <row r="12250" spans="5:5" x14ac:dyDescent="0.25">
      <c r="E12250" t="s">
        <v>11815</v>
      </c>
    </row>
    <row r="12251" spans="5:5" x14ac:dyDescent="0.25">
      <c r="E12251" t="s">
        <v>11816</v>
      </c>
    </row>
    <row r="12252" spans="5:5" x14ac:dyDescent="0.25">
      <c r="E12252" t="s">
        <v>11817</v>
      </c>
    </row>
    <row r="12253" spans="5:5" x14ac:dyDescent="0.25">
      <c r="E12253" t="s">
        <v>11818</v>
      </c>
    </row>
    <row r="12254" spans="5:5" x14ac:dyDescent="0.25">
      <c r="E12254" t="s">
        <v>11819</v>
      </c>
    </row>
    <row r="12255" spans="5:5" x14ac:dyDescent="0.25">
      <c r="E12255" t="s">
        <v>11820</v>
      </c>
    </row>
    <row r="12256" spans="5:5" x14ac:dyDescent="0.25">
      <c r="E12256" t="s">
        <v>11821</v>
      </c>
    </row>
    <row r="12257" spans="5:5" x14ac:dyDescent="0.25">
      <c r="E12257" t="s">
        <v>11822</v>
      </c>
    </row>
    <row r="12258" spans="5:5" x14ac:dyDescent="0.25">
      <c r="E12258" t="s">
        <v>11823</v>
      </c>
    </row>
    <row r="12259" spans="5:5" x14ac:dyDescent="0.25">
      <c r="E12259" t="s">
        <v>11824</v>
      </c>
    </row>
    <row r="12260" spans="5:5" x14ac:dyDescent="0.25">
      <c r="E12260" t="s">
        <v>11825</v>
      </c>
    </row>
    <row r="12261" spans="5:5" x14ac:dyDescent="0.25">
      <c r="E12261" t="s">
        <v>11826</v>
      </c>
    </row>
    <row r="12262" spans="5:5" x14ac:dyDescent="0.25">
      <c r="E12262" t="s">
        <v>11827</v>
      </c>
    </row>
    <row r="12263" spans="5:5" x14ac:dyDescent="0.25">
      <c r="E12263" t="s">
        <v>11828</v>
      </c>
    </row>
    <row r="12264" spans="5:5" x14ac:dyDescent="0.25">
      <c r="E12264" t="s">
        <v>11829</v>
      </c>
    </row>
    <row r="12265" spans="5:5" x14ac:dyDescent="0.25">
      <c r="E12265" t="s">
        <v>11830</v>
      </c>
    </row>
    <row r="12266" spans="5:5" x14ac:dyDescent="0.25">
      <c r="E12266" t="s">
        <v>11831</v>
      </c>
    </row>
    <row r="12267" spans="5:5" x14ac:dyDescent="0.25">
      <c r="E12267" t="s">
        <v>11832</v>
      </c>
    </row>
    <row r="12268" spans="5:5" x14ac:dyDescent="0.25">
      <c r="E12268" t="s">
        <v>11833</v>
      </c>
    </row>
    <row r="12269" spans="5:5" x14ac:dyDescent="0.25">
      <c r="E12269" t="s">
        <v>11834</v>
      </c>
    </row>
    <row r="12270" spans="5:5" x14ac:dyDescent="0.25">
      <c r="E12270" t="s">
        <v>11835</v>
      </c>
    </row>
    <row r="12271" spans="5:5" x14ac:dyDescent="0.25">
      <c r="E12271" t="s">
        <v>11836</v>
      </c>
    </row>
    <row r="12272" spans="5:5" x14ac:dyDescent="0.25">
      <c r="E12272" t="s">
        <v>11837</v>
      </c>
    </row>
    <row r="12273" spans="5:5" x14ac:dyDescent="0.25">
      <c r="E12273" t="s">
        <v>11838</v>
      </c>
    </row>
    <row r="12274" spans="5:5" x14ac:dyDescent="0.25">
      <c r="E12274" t="s">
        <v>11839</v>
      </c>
    </row>
    <row r="12275" spans="5:5" x14ac:dyDescent="0.25">
      <c r="E12275" t="s">
        <v>11840</v>
      </c>
    </row>
    <row r="12276" spans="5:5" x14ac:dyDescent="0.25">
      <c r="E12276" t="s">
        <v>11841</v>
      </c>
    </row>
    <row r="12277" spans="5:5" x14ac:dyDescent="0.25">
      <c r="E12277" t="s">
        <v>11842</v>
      </c>
    </row>
    <row r="12278" spans="5:5" x14ac:dyDescent="0.25">
      <c r="E12278" t="s">
        <v>11843</v>
      </c>
    </row>
    <row r="12279" spans="5:5" x14ac:dyDescent="0.25">
      <c r="E12279" t="s">
        <v>11844</v>
      </c>
    </row>
    <row r="12280" spans="5:5" x14ac:dyDescent="0.25">
      <c r="E12280" t="s">
        <v>11845</v>
      </c>
    </row>
    <row r="12281" spans="5:5" x14ac:dyDescent="0.25">
      <c r="E12281" t="s">
        <v>11846</v>
      </c>
    </row>
    <row r="12282" spans="5:5" x14ac:dyDescent="0.25">
      <c r="E12282" t="s">
        <v>11847</v>
      </c>
    </row>
    <row r="12283" spans="5:5" x14ac:dyDescent="0.25">
      <c r="E12283" t="s">
        <v>11848</v>
      </c>
    </row>
    <row r="12284" spans="5:5" x14ac:dyDescent="0.25">
      <c r="E12284" t="s">
        <v>11849</v>
      </c>
    </row>
    <row r="12285" spans="5:5" x14ac:dyDescent="0.25">
      <c r="E12285" t="s">
        <v>11850</v>
      </c>
    </row>
    <row r="12286" spans="5:5" x14ac:dyDescent="0.25">
      <c r="E12286" t="s">
        <v>11851</v>
      </c>
    </row>
    <row r="12287" spans="5:5" x14ac:dyDescent="0.25">
      <c r="E12287" t="s">
        <v>11852</v>
      </c>
    </row>
    <row r="12288" spans="5:5" x14ac:dyDescent="0.25">
      <c r="E12288" t="s">
        <v>11853</v>
      </c>
    </row>
    <row r="12289" spans="5:5" x14ac:dyDescent="0.25">
      <c r="E12289" t="s">
        <v>11854</v>
      </c>
    </row>
    <row r="12290" spans="5:5" x14ac:dyDescent="0.25">
      <c r="E12290" t="s">
        <v>11855</v>
      </c>
    </row>
    <row r="12291" spans="5:5" x14ac:dyDescent="0.25">
      <c r="E12291" t="s">
        <v>11856</v>
      </c>
    </row>
    <row r="12292" spans="5:5" x14ac:dyDescent="0.25">
      <c r="E12292" t="s">
        <v>11857</v>
      </c>
    </row>
    <row r="12293" spans="5:5" x14ac:dyDescent="0.25">
      <c r="E12293" t="s">
        <v>11858</v>
      </c>
    </row>
    <row r="12294" spans="5:5" x14ac:dyDescent="0.25">
      <c r="E12294" t="s">
        <v>11859</v>
      </c>
    </row>
    <row r="12295" spans="5:5" x14ac:dyDescent="0.25">
      <c r="E12295" t="s">
        <v>11860</v>
      </c>
    </row>
    <row r="12296" spans="5:5" x14ac:dyDescent="0.25">
      <c r="E12296" t="s">
        <v>11861</v>
      </c>
    </row>
    <row r="12297" spans="5:5" x14ac:dyDescent="0.25">
      <c r="E12297" t="s">
        <v>11862</v>
      </c>
    </row>
    <row r="12298" spans="5:5" x14ac:dyDescent="0.25">
      <c r="E12298" t="s">
        <v>11863</v>
      </c>
    </row>
    <row r="12299" spans="5:5" x14ac:dyDescent="0.25">
      <c r="E12299" t="s">
        <v>11864</v>
      </c>
    </row>
    <row r="12300" spans="5:5" x14ac:dyDescent="0.25">
      <c r="E12300" t="s">
        <v>11865</v>
      </c>
    </row>
    <row r="12301" spans="5:5" x14ac:dyDescent="0.25">
      <c r="E12301" t="s">
        <v>11866</v>
      </c>
    </row>
    <row r="12302" spans="5:5" x14ac:dyDescent="0.25">
      <c r="E12302" t="s">
        <v>11867</v>
      </c>
    </row>
    <row r="12303" spans="5:5" x14ac:dyDescent="0.25">
      <c r="E12303" t="s">
        <v>11868</v>
      </c>
    </row>
    <row r="12304" spans="5:5" x14ac:dyDescent="0.25">
      <c r="E12304" t="s">
        <v>11869</v>
      </c>
    </row>
    <row r="12305" spans="5:5" x14ac:dyDescent="0.25">
      <c r="E12305" t="s">
        <v>11870</v>
      </c>
    </row>
    <row r="12306" spans="5:5" x14ac:dyDescent="0.25">
      <c r="E12306" t="s">
        <v>11871</v>
      </c>
    </row>
    <row r="12307" spans="5:5" x14ac:dyDescent="0.25">
      <c r="E12307" t="s">
        <v>11872</v>
      </c>
    </row>
    <row r="12308" spans="5:5" x14ac:dyDescent="0.25">
      <c r="E12308" t="s">
        <v>11873</v>
      </c>
    </row>
    <row r="12309" spans="5:5" x14ac:dyDescent="0.25">
      <c r="E12309" t="s">
        <v>11874</v>
      </c>
    </row>
    <row r="12310" spans="5:5" x14ac:dyDescent="0.25">
      <c r="E12310" t="s">
        <v>11875</v>
      </c>
    </row>
    <row r="12311" spans="5:5" x14ac:dyDescent="0.25">
      <c r="E12311" t="s">
        <v>11876</v>
      </c>
    </row>
    <row r="12312" spans="5:5" x14ac:dyDescent="0.25">
      <c r="E12312" t="s">
        <v>11877</v>
      </c>
    </row>
    <row r="12313" spans="5:5" x14ac:dyDescent="0.25">
      <c r="E12313" t="s">
        <v>11878</v>
      </c>
    </row>
    <row r="12314" spans="5:5" x14ac:dyDescent="0.25">
      <c r="E12314" t="s">
        <v>11879</v>
      </c>
    </row>
    <row r="12315" spans="5:5" x14ac:dyDescent="0.25">
      <c r="E12315" t="s">
        <v>11880</v>
      </c>
    </row>
    <row r="12316" spans="5:5" x14ac:dyDescent="0.25">
      <c r="E12316" t="s">
        <v>11881</v>
      </c>
    </row>
    <row r="12317" spans="5:5" x14ac:dyDescent="0.25">
      <c r="E12317" t="s">
        <v>11882</v>
      </c>
    </row>
    <row r="12318" spans="5:5" x14ac:dyDescent="0.25">
      <c r="E12318" t="s">
        <v>11883</v>
      </c>
    </row>
    <row r="12319" spans="5:5" x14ac:dyDescent="0.25">
      <c r="E12319" t="s">
        <v>11884</v>
      </c>
    </row>
    <row r="12320" spans="5:5" x14ac:dyDescent="0.25">
      <c r="E12320" t="s">
        <v>11885</v>
      </c>
    </row>
    <row r="12321" spans="5:5" x14ac:dyDescent="0.25">
      <c r="E12321" t="s">
        <v>11886</v>
      </c>
    </row>
    <row r="12322" spans="5:5" x14ac:dyDescent="0.25">
      <c r="E12322" t="s">
        <v>11887</v>
      </c>
    </row>
    <row r="12323" spans="5:5" x14ac:dyDescent="0.25">
      <c r="E12323" t="s">
        <v>11888</v>
      </c>
    </row>
    <row r="12324" spans="5:5" x14ac:dyDescent="0.25">
      <c r="E12324" t="s">
        <v>11889</v>
      </c>
    </row>
    <row r="12325" spans="5:5" x14ac:dyDescent="0.25">
      <c r="E12325" t="s">
        <v>11890</v>
      </c>
    </row>
    <row r="12326" spans="5:5" x14ac:dyDescent="0.25">
      <c r="E12326" t="s">
        <v>11891</v>
      </c>
    </row>
    <row r="12327" spans="5:5" x14ac:dyDescent="0.25">
      <c r="E12327" t="s">
        <v>11892</v>
      </c>
    </row>
    <row r="12328" spans="5:5" x14ac:dyDescent="0.25">
      <c r="E12328" t="s">
        <v>11893</v>
      </c>
    </row>
    <row r="12329" spans="5:5" x14ac:dyDescent="0.25">
      <c r="E12329" t="s">
        <v>11894</v>
      </c>
    </row>
    <row r="12330" spans="5:5" x14ac:dyDescent="0.25">
      <c r="E12330" t="s">
        <v>11895</v>
      </c>
    </row>
    <row r="12331" spans="5:5" x14ac:dyDescent="0.25">
      <c r="E12331" t="s">
        <v>11896</v>
      </c>
    </row>
    <row r="12332" spans="5:5" x14ac:dyDescent="0.25">
      <c r="E12332" t="s">
        <v>11897</v>
      </c>
    </row>
    <row r="12333" spans="5:5" x14ac:dyDescent="0.25">
      <c r="E12333" t="s">
        <v>11898</v>
      </c>
    </row>
    <row r="12334" spans="5:5" x14ac:dyDescent="0.25">
      <c r="E12334" t="s">
        <v>11899</v>
      </c>
    </row>
    <row r="12335" spans="5:5" x14ac:dyDescent="0.25">
      <c r="E12335" t="s">
        <v>11900</v>
      </c>
    </row>
    <row r="12336" spans="5:5" x14ac:dyDescent="0.25">
      <c r="E12336" t="s">
        <v>11901</v>
      </c>
    </row>
    <row r="12337" spans="5:5" x14ac:dyDescent="0.25">
      <c r="E12337" t="s">
        <v>11902</v>
      </c>
    </row>
    <row r="12338" spans="5:5" x14ac:dyDescent="0.25">
      <c r="E12338" t="s">
        <v>11903</v>
      </c>
    </row>
    <row r="12339" spans="5:5" x14ac:dyDescent="0.25">
      <c r="E12339" t="s">
        <v>11904</v>
      </c>
    </row>
    <row r="12340" spans="5:5" x14ac:dyDescent="0.25">
      <c r="E12340" t="s">
        <v>11905</v>
      </c>
    </row>
    <row r="12341" spans="5:5" x14ac:dyDescent="0.25">
      <c r="E12341" t="s">
        <v>11906</v>
      </c>
    </row>
    <row r="12342" spans="5:5" x14ac:dyDescent="0.25">
      <c r="E12342" t="s">
        <v>11907</v>
      </c>
    </row>
    <row r="12343" spans="5:5" x14ac:dyDescent="0.25">
      <c r="E12343" t="s">
        <v>11908</v>
      </c>
    </row>
    <row r="12344" spans="5:5" x14ac:dyDescent="0.25">
      <c r="E12344" t="s">
        <v>11909</v>
      </c>
    </row>
    <row r="12345" spans="5:5" x14ac:dyDescent="0.25">
      <c r="E12345" t="s">
        <v>11910</v>
      </c>
    </row>
    <row r="12346" spans="5:5" x14ac:dyDescent="0.25">
      <c r="E12346" t="s">
        <v>11911</v>
      </c>
    </row>
    <row r="12347" spans="5:5" x14ac:dyDescent="0.25">
      <c r="E12347" t="s">
        <v>11912</v>
      </c>
    </row>
    <row r="12348" spans="5:5" x14ac:dyDescent="0.25">
      <c r="E12348" t="s">
        <v>11913</v>
      </c>
    </row>
    <row r="12349" spans="5:5" x14ac:dyDescent="0.25">
      <c r="E12349" t="s">
        <v>11914</v>
      </c>
    </row>
    <row r="12350" spans="5:5" x14ac:dyDescent="0.25">
      <c r="E12350" t="s">
        <v>11915</v>
      </c>
    </row>
    <row r="12351" spans="5:5" x14ac:dyDescent="0.25">
      <c r="E12351" t="s">
        <v>11916</v>
      </c>
    </row>
    <row r="12352" spans="5:5" x14ac:dyDescent="0.25">
      <c r="E12352" t="s">
        <v>11917</v>
      </c>
    </row>
    <row r="12353" spans="5:5" x14ac:dyDescent="0.25">
      <c r="E12353" t="s">
        <v>11918</v>
      </c>
    </row>
    <row r="12354" spans="5:5" x14ac:dyDescent="0.25">
      <c r="E12354" t="s">
        <v>11919</v>
      </c>
    </row>
    <row r="12355" spans="5:5" x14ac:dyDescent="0.25">
      <c r="E12355" t="s">
        <v>11920</v>
      </c>
    </row>
    <row r="12356" spans="5:5" x14ac:dyDescent="0.25">
      <c r="E12356" t="s">
        <v>11921</v>
      </c>
    </row>
    <row r="12357" spans="5:5" x14ac:dyDescent="0.25">
      <c r="E12357" t="s">
        <v>11922</v>
      </c>
    </row>
    <row r="12358" spans="5:5" x14ac:dyDescent="0.25">
      <c r="E12358" t="s">
        <v>11923</v>
      </c>
    </row>
    <row r="12359" spans="5:5" x14ac:dyDescent="0.25">
      <c r="E12359" t="s">
        <v>11924</v>
      </c>
    </row>
    <row r="12360" spans="5:5" x14ac:dyDescent="0.25">
      <c r="E12360" t="s">
        <v>11925</v>
      </c>
    </row>
    <row r="12361" spans="5:5" x14ac:dyDescent="0.25">
      <c r="E12361" t="s">
        <v>11926</v>
      </c>
    </row>
    <row r="12362" spans="5:5" x14ac:dyDescent="0.25">
      <c r="E12362" t="s">
        <v>11927</v>
      </c>
    </row>
    <row r="12363" spans="5:5" x14ac:dyDescent="0.25">
      <c r="E12363" t="s">
        <v>11928</v>
      </c>
    </row>
    <row r="12364" spans="5:5" x14ac:dyDescent="0.25">
      <c r="E12364" t="s">
        <v>11929</v>
      </c>
    </row>
    <row r="12365" spans="5:5" x14ac:dyDescent="0.25">
      <c r="E12365" t="s">
        <v>11930</v>
      </c>
    </row>
    <row r="12366" spans="5:5" x14ac:dyDescent="0.25">
      <c r="E12366" t="s">
        <v>11931</v>
      </c>
    </row>
    <row r="12367" spans="5:5" x14ac:dyDescent="0.25">
      <c r="E12367" t="s">
        <v>11932</v>
      </c>
    </row>
    <row r="12368" spans="5:5" x14ac:dyDescent="0.25">
      <c r="E12368" t="s">
        <v>11933</v>
      </c>
    </row>
    <row r="12369" spans="5:5" x14ac:dyDescent="0.25">
      <c r="E12369" t="s">
        <v>11934</v>
      </c>
    </row>
    <row r="12370" spans="5:5" x14ac:dyDescent="0.25">
      <c r="E12370" t="s">
        <v>11935</v>
      </c>
    </row>
    <row r="12371" spans="5:5" x14ac:dyDescent="0.25">
      <c r="E12371" t="s">
        <v>11936</v>
      </c>
    </row>
    <row r="12372" spans="5:5" x14ac:dyDescent="0.25">
      <c r="E12372" t="s">
        <v>11937</v>
      </c>
    </row>
    <row r="12373" spans="5:5" x14ac:dyDescent="0.25">
      <c r="E12373" t="s">
        <v>11938</v>
      </c>
    </row>
    <row r="12374" spans="5:5" x14ac:dyDescent="0.25">
      <c r="E12374" t="s">
        <v>11939</v>
      </c>
    </row>
    <row r="12375" spans="5:5" x14ac:dyDescent="0.25">
      <c r="E12375" t="s">
        <v>11940</v>
      </c>
    </row>
    <row r="12376" spans="5:5" x14ac:dyDescent="0.25">
      <c r="E12376" t="s">
        <v>11941</v>
      </c>
    </row>
    <row r="12377" spans="5:5" x14ac:dyDescent="0.25">
      <c r="E12377" t="s">
        <v>11942</v>
      </c>
    </row>
    <row r="12378" spans="5:5" x14ac:dyDescent="0.25">
      <c r="E12378" t="s">
        <v>11943</v>
      </c>
    </row>
    <row r="12379" spans="5:5" x14ac:dyDescent="0.25">
      <c r="E12379" t="s">
        <v>11944</v>
      </c>
    </row>
    <row r="12380" spans="5:5" x14ac:dyDescent="0.25">
      <c r="E12380" t="s">
        <v>11945</v>
      </c>
    </row>
    <row r="12381" spans="5:5" x14ac:dyDescent="0.25">
      <c r="E12381" t="s">
        <v>11946</v>
      </c>
    </row>
    <row r="12382" spans="5:5" x14ac:dyDescent="0.25">
      <c r="E12382" t="s">
        <v>11947</v>
      </c>
    </row>
    <row r="12383" spans="5:5" x14ac:dyDescent="0.25">
      <c r="E12383" t="s">
        <v>11948</v>
      </c>
    </row>
    <row r="12384" spans="5:5" x14ac:dyDescent="0.25">
      <c r="E12384" t="s">
        <v>11949</v>
      </c>
    </row>
    <row r="12385" spans="5:5" x14ac:dyDescent="0.25">
      <c r="E12385" t="s">
        <v>11950</v>
      </c>
    </row>
    <row r="12386" spans="5:5" x14ac:dyDescent="0.25">
      <c r="E12386" t="s">
        <v>11951</v>
      </c>
    </row>
    <row r="12387" spans="5:5" x14ac:dyDescent="0.25">
      <c r="E12387" t="s">
        <v>11952</v>
      </c>
    </row>
    <row r="12388" spans="5:5" x14ac:dyDescent="0.25">
      <c r="E12388" t="s">
        <v>11953</v>
      </c>
    </row>
    <row r="12389" spans="5:5" x14ac:dyDescent="0.25">
      <c r="E12389" t="s">
        <v>11954</v>
      </c>
    </row>
    <row r="12390" spans="5:5" x14ac:dyDescent="0.25">
      <c r="E12390" t="s">
        <v>11955</v>
      </c>
    </row>
    <row r="12391" spans="5:5" x14ac:dyDescent="0.25">
      <c r="E12391" t="s">
        <v>11956</v>
      </c>
    </row>
    <row r="12392" spans="5:5" x14ac:dyDescent="0.25">
      <c r="E12392" t="s">
        <v>11957</v>
      </c>
    </row>
    <row r="12393" spans="5:5" x14ac:dyDescent="0.25">
      <c r="E12393" t="s">
        <v>11958</v>
      </c>
    </row>
    <row r="12394" spans="5:5" x14ac:dyDescent="0.25">
      <c r="E12394" t="s">
        <v>11959</v>
      </c>
    </row>
    <row r="12395" spans="5:5" x14ac:dyDescent="0.25">
      <c r="E12395" t="s">
        <v>11960</v>
      </c>
    </row>
    <row r="12396" spans="5:5" x14ac:dyDescent="0.25">
      <c r="E12396" t="s">
        <v>11961</v>
      </c>
    </row>
    <row r="12397" spans="5:5" x14ac:dyDescent="0.25">
      <c r="E12397" t="s">
        <v>11962</v>
      </c>
    </row>
    <row r="12398" spans="5:5" x14ac:dyDescent="0.25">
      <c r="E12398" t="s">
        <v>11963</v>
      </c>
    </row>
    <row r="12399" spans="5:5" x14ac:dyDescent="0.25">
      <c r="E12399" t="s">
        <v>11964</v>
      </c>
    </row>
    <row r="12400" spans="5:5" x14ac:dyDescent="0.25">
      <c r="E12400" t="s">
        <v>11965</v>
      </c>
    </row>
    <row r="12401" spans="5:5" x14ac:dyDescent="0.25">
      <c r="E12401" t="s">
        <v>11966</v>
      </c>
    </row>
    <row r="12402" spans="5:5" x14ac:dyDescent="0.25">
      <c r="E12402" t="s">
        <v>11967</v>
      </c>
    </row>
    <row r="12403" spans="5:5" x14ac:dyDescent="0.25">
      <c r="E12403" t="s">
        <v>11968</v>
      </c>
    </row>
    <row r="12404" spans="5:5" x14ac:dyDescent="0.25">
      <c r="E12404" t="s">
        <v>11969</v>
      </c>
    </row>
    <row r="12405" spans="5:5" x14ac:dyDescent="0.25">
      <c r="E12405" t="s">
        <v>11970</v>
      </c>
    </row>
    <row r="12406" spans="5:5" x14ac:dyDescent="0.25">
      <c r="E12406" t="s">
        <v>11971</v>
      </c>
    </row>
    <row r="12407" spans="5:5" x14ac:dyDescent="0.25">
      <c r="E12407" t="s">
        <v>11972</v>
      </c>
    </row>
    <row r="12408" spans="5:5" x14ac:dyDescent="0.25">
      <c r="E12408" t="s">
        <v>11973</v>
      </c>
    </row>
    <row r="12409" spans="5:5" x14ac:dyDescent="0.25">
      <c r="E12409" t="s">
        <v>11974</v>
      </c>
    </row>
    <row r="12410" spans="5:5" x14ac:dyDescent="0.25">
      <c r="E12410" t="s">
        <v>11975</v>
      </c>
    </row>
    <row r="12411" spans="5:5" x14ac:dyDescent="0.25">
      <c r="E12411" t="s">
        <v>11976</v>
      </c>
    </row>
    <row r="12412" spans="5:5" x14ac:dyDescent="0.25">
      <c r="E12412" t="s">
        <v>11977</v>
      </c>
    </row>
    <row r="12413" spans="5:5" x14ac:dyDescent="0.25">
      <c r="E12413" t="s">
        <v>11978</v>
      </c>
    </row>
    <row r="12414" spans="5:5" x14ac:dyDescent="0.25">
      <c r="E12414" t="s">
        <v>11979</v>
      </c>
    </row>
    <row r="12415" spans="5:5" x14ac:dyDescent="0.25">
      <c r="E12415" t="s">
        <v>11980</v>
      </c>
    </row>
    <row r="12416" spans="5:5" x14ac:dyDescent="0.25">
      <c r="E12416" t="s">
        <v>11981</v>
      </c>
    </row>
    <row r="12417" spans="5:5" x14ac:dyDescent="0.25">
      <c r="E12417" t="s">
        <v>11982</v>
      </c>
    </row>
    <row r="12418" spans="5:5" x14ac:dyDescent="0.25">
      <c r="E12418" t="s">
        <v>11983</v>
      </c>
    </row>
    <row r="12419" spans="5:5" x14ac:dyDescent="0.25">
      <c r="E12419" t="s">
        <v>11984</v>
      </c>
    </row>
    <row r="12420" spans="5:5" x14ac:dyDescent="0.25">
      <c r="E12420" t="s">
        <v>11985</v>
      </c>
    </row>
    <row r="12421" spans="5:5" x14ac:dyDescent="0.25">
      <c r="E12421" t="s">
        <v>11986</v>
      </c>
    </row>
    <row r="12422" spans="5:5" x14ac:dyDescent="0.25">
      <c r="E12422" t="s">
        <v>11987</v>
      </c>
    </row>
    <row r="12423" spans="5:5" x14ac:dyDescent="0.25">
      <c r="E12423" t="s">
        <v>11988</v>
      </c>
    </row>
    <row r="12424" spans="5:5" x14ac:dyDescent="0.25">
      <c r="E12424" t="s">
        <v>11989</v>
      </c>
    </row>
    <row r="12425" spans="5:5" x14ac:dyDescent="0.25">
      <c r="E12425" t="s">
        <v>11990</v>
      </c>
    </row>
    <row r="12426" spans="5:5" x14ac:dyDescent="0.25">
      <c r="E12426" t="s">
        <v>11991</v>
      </c>
    </row>
    <row r="12427" spans="5:5" x14ac:dyDescent="0.25">
      <c r="E12427" t="s">
        <v>11992</v>
      </c>
    </row>
    <row r="12428" spans="5:5" x14ac:dyDescent="0.25">
      <c r="E12428" t="s">
        <v>11993</v>
      </c>
    </row>
    <row r="12429" spans="5:5" x14ac:dyDescent="0.25">
      <c r="E12429" t="s">
        <v>11994</v>
      </c>
    </row>
    <row r="12430" spans="5:5" x14ac:dyDescent="0.25">
      <c r="E12430" t="s">
        <v>11995</v>
      </c>
    </row>
    <row r="12431" spans="5:5" x14ac:dyDescent="0.25">
      <c r="E12431" t="s">
        <v>11996</v>
      </c>
    </row>
    <row r="12432" spans="5:5" x14ac:dyDescent="0.25">
      <c r="E12432" t="s">
        <v>11997</v>
      </c>
    </row>
    <row r="12433" spans="5:5" x14ac:dyDescent="0.25">
      <c r="E12433" t="s">
        <v>11998</v>
      </c>
    </row>
    <row r="12434" spans="5:5" x14ac:dyDescent="0.25">
      <c r="E12434" t="s">
        <v>11999</v>
      </c>
    </row>
    <row r="12435" spans="5:5" x14ac:dyDescent="0.25">
      <c r="E12435" t="s">
        <v>12000</v>
      </c>
    </row>
    <row r="12436" spans="5:5" x14ac:dyDescent="0.25">
      <c r="E12436" t="s">
        <v>12001</v>
      </c>
    </row>
    <row r="12437" spans="5:5" x14ac:dyDescent="0.25">
      <c r="E12437" t="s">
        <v>12002</v>
      </c>
    </row>
    <row r="12438" spans="5:5" x14ac:dyDescent="0.25">
      <c r="E12438" t="s">
        <v>12003</v>
      </c>
    </row>
    <row r="12439" spans="5:5" x14ac:dyDescent="0.25">
      <c r="E12439" t="s">
        <v>12004</v>
      </c>
    </row>
    <row r="12440" spans="5:5" x14ac:dyDescent="0.25">
      <c r="E12440" t="s">
        <v>12005</v>
      </c>
    </row>
    <row r="12441" spans="5:5" x14ac:dyDescent="0.25">
      <c r="E12441" t="s">
        <v>12006</v>
      </c>
    </row>
    <row r="12442" spans="5:5" x14ac:dyDescent="0.25">
      <c r="E12442" t="s">
        <v>12007</v>
      </c>
    </row>
    <row r="12443" spans="5:5" x14ac:dyDescent="0.25">
      <c r="E12443" t="s">
        <v>12008</v>
      </c>
    </row>
    <row r="12444" spans="5:5" x14ac:dyDescent="0.25">
      <c r="E12444" t="s">
        <v>12009</v>
      </c>
    </row>
    <row r="12445" spans="5:5" x14ac:dyDescent="0.25">
      <c r="E12445" t="s">
        <v>12010</v>
      </c>
    </row>
    <row r="12446" spans="5:5" x14ac:dyDescent="0.25">
      <c r="E12446" t="s">
        <v>12011</v>
      </c>
    </row>
    <row r="12447" spans="5:5" x14ac:dyDescent="0.25">
      <c r="E12447" t="s">
        <v>12012</v>
      </c>
    </row>
    <row r="12448" spans="5:5" x14ac:dyDescent="0.25">
      <c r="E12448" t="s">
        <v>12013</v>
      </c>
    </row>
    <row r="12449" spans="5:5" x14ac:dyDescent="0.25">
      <c r="E12449" t="s">
        <v>12014</v>
      </c>
    </row>
    <row r="12450" spans="5:5" x14ac:dyDescent="0.25">
      <c r="E12450" t="s">
        <v>12015</v>
      </c>
    </row>
    <row r="12451" spans="5:5" x14ac:dyDescent="0.25">
      <c r="E12451" t="s">
        <v>12016</v>
      </c>
    </row>
    <row r="12452" spans="5:5" x14ac:dyDescent="0.25">
      <c r="E12452" t="s">
        <v>12017</v>
      </c>
    </row>
    <row r="12453" spans="5:5" x14ac:dyDescent="0.25">
      <c r="E12453" t="s">
        <v>12018</v>
      </c>
    </row>
    <row r="12454" spans="5:5" x14ac:dyDescent="0.25">
      <c r="E12454" t="s">
        <v>12019</v>
      </c>
    </row>
    <row r="12455" spans="5:5" x14ac:dyDescent="0.25">
      <c r="E12455" t="s">
        <v>12020</v>
      </c>
    </row>
    <row r="12456" spans="5:5" x14ac:dyDescent="0.25">
      <c r="E12456" t="s">
        <v>12021</v>
      </c>
    </row>
    <row r="12457" spans="5:5" x14ac:dyDescent="0.25">
      <c r="E12457" t="s">
        <v>12022</v>
      </c>
    </row>
    <row r="12458" spans="5:5" x14ac:dyDescent="0.25">
      <c r="E12458" t="s">
        <v>12023</v>
      </c>
    </row>
    <row r="12459" spans="5:5" x14ac:dyDescent="0.25">
      <c r="E12459" t="s">
        <v>12024</v>
      </c>
    </row>
    <row r="12460" spans="5:5" x14ac:dyDescent="0.25">
      <c r="E12460" t="s">
        <v>12025</v>
      </c>
    </row>
    <row r="12461" spans="5:5" x14ac:dyDescent="0.25">
      <c r="E12461" t="s">
        <v>12026</v>
      </c>
    </row>
    <row r="12462" spans="5:5" x14ac:dyDescent="0.25">
      <c r="E12462" t="s">
        <v>12027</v>
      </c>
    </row>
    <row r="12463" spans="5:5" x14ac:dyDescent="0.25">
      <c r="E12463" t="s">
        <v>12028</v>
      </c>
    </row>
    <row r="12464" spans="5:5" x14ac:dyDescent="0.25">
      <c r="E12464" t="s">
        <v>12029</v>
      </c>
    </row>
    <row r="12465" spans="5:5" x14ac:dyDescent="0.25">
      <c r="E12465" t="s">
        <v>12030</v>
      </c>
    </row>
    <row r="12466" spans="5:5" x14ac:dyDescent="0.25">
      <c r="E12466" t="s">
        <v>12031</v>
      </c>
    </row>
    <row r="12467" spans="5:5" x14ac:dyDescent="0.25">
      <c r="E12467" t="s">
        <v>12032</v>
      </c>
    </row>
    <row r="12468" spans="5:5" x14ac:dyDescent="0.25">
      <c r="E12468" t="s">
        <v>12033</v>
      </c>
    </row>
    <row r="12469" spans="5:5" x14ac:dyDescent="0.25">
      <c r="E12469" t="s">
        <v>12034</v>
      </c>
    </row>
    <row r="12470" spans="5:5" x14ac:dyDescent="0.25">
      <c r="E12470" t="s">
        <v>12035</v>
      </c>
    </row>
    <row r="12471" spans="5:5" x14ac:dyDescent="0.25">
      <c r="E12471" t="s">
        <v>12036</v>
      </c>
    </row>
    <row r="12472" spans="5:5" x14ac:dyDescent="0.25">
      <c r="E12472" t="s">
        <v>12037</v>
      </c>
    </row>
    <row r="12473" spans="5:5" x14ac:dyDescent="0.25">
      <c r="E12473" t="s">
        <v>12038</v>
      </c>
    </row>
    <row r="12474" spans="5:5" x14ac:dyDescent="0.25">
      <c r="E12474" t="s">
        <v>12039</v>
      </c>
    </row>
    <row r="12475" spans="5:5" x14ac:dyDescent="0.25">
      <c r="E12475" t="s">
        <v>12040</v>
      </c>
    </row>
    <row r="12476" spans="5:5" x14ac:dyDescent="0.25">
      <c r="E12476" t="s">
        <v>12041</v>
      </c>
    </row>
    <row r="12477" spans="5:5" x14ac:dyDescent="0.25">
      <c r="E12477" t="s">
        <v>12042</v>
      </c>
    </row>
    <row r="12478" spans="5:5" x14ac:dyDescent="0.25">
      <c r="E12478" t="s">
        <v>12043</v>
      </c>
    </row>
    <row r="12479" spans="5:5" x14ac:dyDescent="0.25">
      <c r="E12479" t="s">
        <v>12044</v>
      </c>
    </row>
    <row r="12480" spans="5:5" x14ac:dyDescent="0.25">
      <c r="E12480" t="s">
        <v>12045</v>
      </c>
    </row>
    <row r="12481" spans="5:5" x14ac:dyDescent="0.25">
      <c r="E12481" t="s">
        <v>12046</v>
      </c>
    </row>
    <row r="12482" spans="5:5" x14ac:dyDescent="0.25">
      <c r="E12482" t="s">
        <v>12047</v>
      </c>
    </row>
    <row r="12483" spans="5:5" x14ac:dyDescent="0.25">
      <c r="E12483" t="s">
        <v>12048</v>
      </c>
    </row>
    <row r="12484" spans="5:5" x14ac:dyDescent="0.25">
      <c r="E12484" t="s">
        <v>12049</v>
      </c>
    </row>
    <row r="12485" spans="5:5" x14ac:dyDescent="0.25">
      <c r="E12485" t="s">
        <v>12050</v>
      </c>
    </row>
    <row r="12486" spans="5:5" x14ac:dyDescent="0.25">
      <c r="E12486" t="s">
        <v>12051</v>
      </c>
    </row>
    <row r="12487" spans="5:5" x14ac:dyDescent="0.25">
      <c r="E12487" t="s">
        <v>12052</v>
      </c>
    </row>
    <row r="12488" spans="5:5" x14ac:dyDescent="0.25">
      <c r="E12488" t="s">
        <v>12053</v>
      </c>
    </row>
    <row r="12489" spans="5:5" x14ac:dyDescent="0.25">
      <c r="E12489" t="s">
        <v>12054</v>
      </c>
    </row>
    <row r="12490" spans="5:5" x14ac:dyDescent="0.25">
      <c r="E12490" t="s">
        <v>12055</v>
      </c>
    </row>
    <row r="12491" spans="5:5" x14ac:dyDescent="0.25">
      <c r="E12491" t="s">
        <v>12056</v>
      </c>
    </row>
    <row r="12492" spans="5:5" x14ac:dyDescent="0.25">
      <c r="E12492" t="s">
        <v>12057</v>
      </c>
    </row>
    <row r="12493" spans="5:5" x14ac:dyDescent="0.25">
      <c r="E12493" t="s">
        <v>12058</v>
      </c>
    </row>
    <row r="12494" spans="5:5" x14ac:dyDescent="0.25">
      <c r="E12494" t="s">
        <v>12059</v>
      </c>
    </row>
    <row r="12495" spans="5:5" x14ac:dyDescent="0.25">
      <c r="E12495" t="s">
        <v>12060</v>
      </c>
    </row>
    <row r="12496" spans="5:5" x14ac:dyDescent="0.25">
      <c r="E12496" t="s">
        <v>12061</v>
      </c>
    </row>
    <row r="12497" spans="5:5" x14ac:dyDescent="0.25">
      <c r="E12497" t="s">
        <v>12062</v>
      </c>
    </row>
    <row r="12498" spans="5:5" x14ac:dyDescent="0.25">
      <c r="E12498" t="s">
        <v>12063</v>
      </c>
    </row>
    <row r="12499" spans="5:5" x14ac:dyDescent="0.25">
      <c r="E12499" t="s">
        <v>12064</v>
      </c>
    </row>
    <row r="12500" spans="5:5" x14ac:dyDescent="0.25">
      <c r="E12500" t="s">
        <v>12065</v>
      </c>
    </row>
    <row r="12501" spans="5:5" x14ac:dyDescent="0.25">
      <c r="E12501" t="s">
        <v>12066</v>
      </c>
    </row>
    <row r="12502" spans="5:5" x14ac:dyDescent="0.25">
      <c r="E12502" t="s">
        <v>12067</v>
      </c>
    </row>
    <row r="12503" spans="5:5" x14ac:dyDescent="0.25">
      <c r="E12503" t="s">
        <v>12068</v>
      </c>
    </row>
    <row r="12504" spans="5:5" x14ac:dyDescent="0.25">
      <c r="E12504" t="s">
        <v>12069</v>
      </c>
    </row>
    <row r="12505" spans="5:5" x14ac:dyDescent="0.25">
      <c r="E12505" t="s">
        <v>12070</v>
      </c>
    </row>
    <row r="12506" spans="5:5" x14ac:dyDescent="0.25">
      <c r="E12506" t="s">
        <v>12071</v>
      </c>
    </row>
    <row r="12507" spans="5:5" x14ac:dyDescent="0.25">
      <c r="E12507" t="s">
        <v>12072</v>
      </c>
    </row>
    <row r="12508" spans="5:5" x14ac:dyDescent="0.25">
      <c r="E12508" t="s">
        <v>12073</v>
      </c>
    </row>
    <row r="12509" spans="5:5" x14ac:dyDescent="0.25">
      <c r="E12509" t="s">
        <v>12074</v>
      </c>
    </row>
    <row r="12510" spans="5:5" x14ac:dyDescent="0.25">
      <c r="E12510" t="s">
        <v>12075</v>
      </c>
    </row>
    <row r="12511" spans="5:5" x14ac:dyDescent="0.25">
      <c r="E12511" t="s">
        <v>12076</v>
      </c>
    </row>
    <row r="12512" spans="5:5" x14ac:dyDescent="0.25">
      <c r="E12512" t="s">
        <v>12077</v>
      </c>
    </row>
    <row r="12513" spans="5:5" x14ac:dyDescent="0.25">
      <c r="E12513" t="s">
        <v>12078</v>
      </c>
    </row>
    <row r="12514" spans="5:5" x14ac:dyDescent="0.25">
      <c r="E12514" t="s">
        <v>12079</v>
      </c>
    </row>
    <row r="12515" spans="5:5" x14ac:dyDescent="0.25">
      <c r="E12515" t="s">
        <v>12080</v>
      </c>
    </row>
    <row r="12516" spans="5:5" x14ac:dyDescent="0.25">
      <c r="E12516" t="s">
        <v>12081</v>
      </c>
    </row>
    <row r="12517" spans="5:5" x14ac:dyDescent="0.25">
      <c r="E12517" t="s">
        <v>12082</v>
      </c>
    </row>
    <row r="12518" spans="5:5" x14ac:dyDescent="0.25">
      <c r="E12518" t="s">
        <v>12083</v>
      </c>
    </row>
    <row r="12519" spans="5:5" x14ac:dyDescent="0.25">
      <c r="E12519" t="s">
        <v>12084</v>
      </c>
    </row>
    <row r="12520" spans="5:5" x14ac:dyDescent="0.25">
      <c r="E12520" t="s">
        <v>12085</v>
      </c>
    </row>
    <row r="12521" spans="5:5" x14ac:dyDescent="0.25">
      <c r="E12521" t="s">
        <v>12086</v>
      </c>
    </row>
    <row r="12522" spans="5:5" x14ac:dyDescent="0.25">
      <c r="E12522" t="s">
        <v>12087</v>
      </c>
    </row>
    <row r="12523" spans="5:5" x14ac:dyDescent="0.25">
      <c r="E12523" t="s">
        <v>12088</v>
      </c>
    </row>
    <row r="12524" spans="5:5" x14ac:dyDescent="0.25">
      <c r="E12524" t="s">
        <v>12089</v>
      </c>
    </row>
    <row r="12525" spans="5:5" x14ac:dyDescent="0.25">
      <c r="E12525" t="s">
        <v>12090</v>
      </c>
    </row>
    <row r="12526" spans="5:5" x14ac:dyDescent="0.25">
      <c r="E12526" t="s">
        <v>12091</v>
      </c>
    </row>
    <row r="12527" spans="5:5" x14ac:dyDescent="0.25">
      <c r="E12527" t="s">
        <v>12092</v>
      </c>
    </row>
    <row r="12528" spans="5:5" x14ac:dyDescent="0.25">
      <c r="E12528" t="s">
        <v>12093</v>
      </c>
    </row>
    <row r="12529" spans="5:5" x14ac:dyDescent="0.25">
      <c r="E12529" t="s">
        <v>12094</v>
      </c>
    </row>
    <row r="12530" spans="5:5" x14ac:dyDescent="0.25">
      <c r="E12530" t="s">
        <v>12095</v>
      </c>
    </row>
    <row r="12531" spans="5:5" x14ac:dyDescent="0.25">
      <c r="E12531" t="s">
        <v>12096</v>
      </c>
    </row>
    <row r="12532" spans="5:5" x14ac:dyDescent="0.25">
      <c r="E12532" t="s">
        <v>12097</v>
      </c>
    </row>
    <row r="12533" spans="5:5" x14ac:dyDescent="0.25">
      <c r="E12533" t="s">
        <v>12098</v>
      </c>
    </row>
    <row r="12534" spans="5:5" x14ac:dyDescent="0.25">
      <c r="E12534" t="s">
        <v>12099</v>
      </c>
    </row>
    <row r="12535" spans="5:5" x14ac:dyDescent="0.25">
      <c r="E12535" t="s">
        <v>12100</v>
      </c>
    </row>
    <row r="12536" spans="5:5" x14ac:dyDescent="0.25">
      <c r="E12536" t="s">
        <v>12101</v>
      </c>
    </row>
    <row r="12537" spans="5:5" x14ac:dyDescent="0.25">
      <c r="E12537" t="s">
        <v>12102</v>
      </c>
    </row>
    <row r="12538" spans="5:5" x14ac:dyDescent="0.25">
      <c r="E12538" t="s">
        <v>12103</v>
      </c>
    </row>
    <row r="12539" spans="5:5" x14ac:dyDescent="0.25">
      <c r="E12539" t="s">
        <v>12104</v>
      </c>
    </row>
    <row r="12540" spans="5:5" x14ac:dyDescent="0.25">
      <c r="E12540" t="s">
        <v>12105</v>
      </c>
    </row>
    <row r="12541" spans="5:5" x14ac:dyDescent="0.25">
      <c r="E12541" t="s">
        <v>12106</v>
      </c>
    </row>
    <row r="12542" spans="5:5" x14ac:dyDescent="0.25">
      <c r="E12542" t="s">
        <v>12107</v>
      </c>
    </row>
    <row r="12543" spans="5:5" x14ac:dyDescent="0.25">
      <c r="E12543" t="s">
        <v>12108</v>
      </c>
    </row>
    <row r="12544" spans="5:5" x14ac:dyDescent="0.25">
      <c r="E12544" t="s">
        <v>12109</v>
      </c>
    </row>
    <row r="12545" spans="5:5" x14ac:dyDescent="0.25">
      <c r="E12545" t="s">
        <v>12110</v>
      </c>
    </row>
    <row r="12546" spans="5:5" x14ac:dyDescent="0.25">
      <c r="E12546" t="s">
        <v>12111</v>
      </c>
    </row>
    <row r="12547" spans="5:5" x14ac:dyDescent="0.25">
      <c r="E12547" t="s">
        <v>12112</v>
      </c>
    </row>
    <row r="12548" spans="5:5" x14ac:dyDescent="0.25">
      <c r="E12548" t="s">
        <v>12113</v>
      </c>
    </row>
    <row r="12549" spans="5:5" x14ac:dyDescent="0.25">
      <c r="E12549" t="s">
        <v>12114</v>
      </c>
    </row>
    <row r="12550" spans="5:5" x14ac:dyDescent="0.25">
      <c r="E12550" t="s">
        <v>12115</v>
      </c>
    </row>
    <row r="12551" spans="5:5" x14ac:dyDescent="0.25">
      <c r="E12551" t="s">
        <v>12116</v>
      </c>
    </row>
    <row r="12552" spans="5:5" x14ac:dyDescent="0.25">
      <c r="E12552" t="s">
        <v>12117</v>
      </c>
    </row>
    <row r="12553" spans="5:5" x14ac:dyDescent="0.25">
      <c r="E12553" t="s">
        <v>12118</v>
      </c>
    </row>
    <row r="12554" spans="5:5" x14ac:dyDescent="0.25">
      <c r="E12554" t="s">
        <v>12119</v>
      </c>
    </row>
    <row r="12555" spans="5:5" x14ac:dyDescent="0.25">
      <c r="E12555" t="s">
        <v>12120</v>
      </c>
    </row>
    <row r="12556" spans="5:5" x14ac:dyDescent="0.25">
      <c r="E12556" t="s">
        <v>12121</v>
      </c>
    </row>
    <row r="12557" spans="5:5" x14ac:dyDescent="0.25">
      <c r="E12557" t="s">
        <v>12122</v>
      </c>
    </row>
    <row r="12558" spans="5:5" x14ac:dyDescent="0.25">
      <c r="E12558" t="s">
        <v>12123</v>
      </c>
    </row>
    <row r="12559" spans="5:5" x14ac:dyDescent="0.25">
      <c r="E12559" t="s">
        <v>12124</v>
      </c>
    </row>
    <row r="12560" spans="5:5" x14ac:dyDescent="0.25">
      <c r="E12560" t="s">
        <v>12125</v>
      </c>
    </row>
    <row r="12561" spans="5:5" x14ac:dyDescent="0.25">
      <c r="E12561" t="s">
        <v>12126</v>
      </c>
    </row>
    <row r="12562" spans="5:5" x14ac:dyDescent="0.25">
      <c r="E12562" t="s">
        <v>12127</v>
      </c>
    </row>
    <row r="12563" spans="5:5" x14ac:dyDescent="0.25">
      <c r="E12563" t="s">
        <v>12128</v>
      </c>
    </row>
    <row r="12564" spans="5:5" x14ac:dyDescent="0.25">
      <c r="E12564" t="s">
        <v>12129</v>
      </c>
    </row>
    <row r="12565" spans="5:5" x14ac:dyDescent="0.25">
      <c r="E12565" t="s">
        <v>12130</v>
      </c>
    </row>
    <row r="12566" spans="5:5" x14ac:dyDescent="0.25">
      <c r="E12566" t="s">
        <v>12131</v>
      </c>
    </row>
    <row r="12567" spans="5:5" x14ac:dyDescent="0.25">
      <c r="E12567" t="s">
        <v>12132</v>
      </c>
    </row>
    <row r="12568" spans="5:5" x14ac:dyDescent="0.25">
      <c r="E12568" t="s">
        <v>12133</v>
      </c>
    </row>
    <row r="12569" spans="5:5" x14ac:dyDescent="0.25">
      <c r="E12569" t="s">
        <v>12134</v>
      </c>
    </row>
    <row r="12570" spans="5:5" x14ac:dyDescent="0.25">
      <c r="E12570" t="s">
        <v>12135</v>
      </c>
    </row>
    <row r="12571" spans="5:5" x14ac:dyDescent="0.25">
      <c r="E12571" t="s">
        <v>12136</v>
      </c>
    </row>
    <row r="12572" spans="5:5" x14ac:dyDescent="0.25">
      <c r="E12572" t="s">
        <v>12137</v>
      </c>
    </row>
    <row r="12573" spans="5:5" x14ac:dyDescent="0.25">
      <c r="E12573" t="s">
        <v>12138</v>
      </c>
    </row>
    <row r="12574" spans="5:5" x14ac:dyDescent="0.25">
      <c r="E12574" t="s">
        <v>12139</v>
      </c>
    </row>
    <row r="12575" spans="5:5" x14ac:dyDescent="0.25">
      <c r="E12575" t="s">
        <v>12140</v>
      </c>
    </row>
    <row r="12576" spans="5:5" x14ac:dyDescent="0.25">
      <c r="E12576" t="s">
        <v>12141</v>
      </c>
    </row>
    <row r="12577" spans="5:5" x14ac:dyDescent="0.25">
      <c r="E12577" t="s">
        <v>12142</v>
      </c>
    </row>
    <row r="12578" spans="5:5" x14ac:dyDescent="0.25">
      <c r="E12578" t="s">
        <v>12143</v>
      </c>
    </row>
    <row r="12579" spans="5:5" x14ac:dyDescent="0.25">
      <c r="E12579" t="s">
        <v>12144</v>
      </c>
    </row>
    <row r="12580" spans="5:5" x14ac:dyDescent="0.25">
      <c r="E12580" t="s">
        <v>12145</v>
      </c>
    </row>
    <row r="12581" spans="5:5" x14ac:dyDescent="0.25">
      <c r="E12581" t="s">
        <v>12146</v>
      </c>
    </row>
    <row r="12582" spans="5:5" x14ac:dyDescent="0.25">
      <c r="E12582" t="s">
        <v>12147</v>
      </c>
    </row>
    <row r="12583" spans="5:5" x14ac:dyDescent="0.25">
      <c r="E12583" t="s">
        <v>12148</v>
      </c>
    </row>
    <row r="12584" spans="5:5" x14ac:dyDescent="0.25">
      <c r="E12584" t="s">
        <v>12149</v>
      </c>
    </row>
    <row r="12585" spans="5:5" x14ac:dyDescent="0.25">
      <c r="E12585" t="s">
        <v>12150</v>
      </c>
    </row>
    <row r="12586" spans="5:5" x14ac:dyDescent="0.25">
      <c r="E12586" t="s">
        <v>12151</v>
      </c>
    </row>
    <row r="12587" spans="5:5" x14ac:dyDescent="0.25">
      <c r="E12587" t="s">
        <v>12152</v>
      </c>
    </row>
    <row r="12588" spans="5:5" x14ac:dyDescent="0.25">
      <c r="E12588" t="s">
        <v>12153</v>
      </c>
    </row>
    <row r="12589" spans="5:5" x14ac:dyDescent="0.25">
      <c r="E12589" t="s">
        <v>12154</v>
      </c>
    </row>
    <row r="12590" spans="5:5" x14ac:dyDescent="0.25">
      <c r="E12590" t="s">
        <v>12155</v>
      </c>
    </row>
    <row r="12591" spans="5:5" x14ac:dyDescent="0.25">
      <c r="E12591" t="s">
        <v>12156</v>
      </c>
    </row>
    <row r="12592" spans="5:5" x14ac:dyDescent="0.25">
      <c r="E12592" t="s">
        <v>12157</v>
      </c>
    </row>
    <row r="12593" spans="5:5" x14ac:dyDescent="0.25">
      <c r="E12593" t="s">
        <v>12158</v>
      </c>
    </row>
    <row r="12594" spans="5:5" x14ac:dyDescent="0.25">
      <c r="E12594" t="s">
        <v>12159</v>
      </c>
    </row>
    <row r="12595" spans="5:5" x14ac:dyDescent="0.25">
      <c r="E12595" t="s">
        <v>12160</v>
      </c>
    </row>
    <row r="12596" spans="5:5" x14ac:dyDescent="0.25">
      <c r="E12596" t="s">
        <v>12161</v>
      </c>
    </row>
    <row r="12597" spans="5:5" x14ac:dyDescent="0.25">
      <c r="E12597" t="s">
        <v>12162</v>
      </c>
    </row>
    <row r="12598" spans="5:5" x14ac:dyDescent="0.25">
      <c r="E12598" t="s">
        <v>12163</v>
      </c>
    </row>
    <row r="12599" spans="5:5" x14ac:dyDescent="0.25">
      <c r="E12599" t="s">
        <v>12164</v>
      </c>
    </row>
    <row r="12600" spans="5:5" x14ac:dyDescent="0.25">
      <c r="E12600" t="s">
        <v>12165</v>
      </c>
    </row>
    <row r="12601" spans="5:5" x14ac:dyDescent="0.25">
      <c r="E12601" t="s">
        <v>12166</v>
      </c>
    </row>
    <row r="12602" spans="5:5" x14ac:dyDescent="0.25">
      <c r="E12602" t="s">
        <v>12167</v>
      </c>
    </row>
    <row r="12603" spans="5:5" x14ac:dyDescent="0.25">
      <c r="E12603" t="s">
        <v>12168</v>
      </c>
    </row>
    <row r="12604" spans="5:5" x14ac:dyDescent="0.25">
      <c r="E12604" t="s">
        <v>12169</v>
      </c>
    </row>
    <row r="12605" spans="5:5" x14ac:dyDescent="0.25">
      <c r="E12605" t="s">
        <v>12170</v>
      </c>
    </row>
    <row r="12606" spans="5:5" x14ac:dyDescent="0.25">
      <c r="E12606" t="s">
        <v>12171</v>
      </c>
    </row>
    <row r="12607" spans="5:5" x14ac:dyDescent="0.25">
      <c r="E12607" t="s">
        <v>12172</v>
      </c>
    </row>
    <row r="12608" spans="5:5" x14ac:dyDescent="0.25">
      <c r="E12608" t="s">
        <v>12173</v>
      </c>
    </row>
    <row r="12609" spans="5:5" x14ac:dyDescent="0.25">
      <c r="E12609" t="s">
        <v>12174</v>
      </c>
    </row>
    <row r="12610" spans="5:5" x14ac:dyDescent="0.25">
      <c r="E12610" t="s">
        <v>12175</v>
      </c>
    </row>
    <row r="12611" spans="5:5" x14ac:dyDescent="0.25">
      <c r="E12611" t="s">
        <v>12176</v>
      </c>
    </row>
    <row r="12612" spans="5:5" x14ac:dyDescent="0.25">
      <c r="E12612" t="s">
        <v>12177</v>
      </c>
    </row>
    <row r="12613" spans="5:5" x14ac:dyDescent="0.25">
      <c r="E12613" t="s">
        <v>12178</v>
      </c>
    </row>
    <row r="12614" spans="5:5" x14ac:dyDescent="0.25">
      <c r="E12614" t="s">
        <v>12179</v>
      </c>
    </row>
    <row r="12615" spans="5:5" x14ac:dyDescent="0.25">
      <c r="E12615" t="s">
        <v>12180</v>
      </c>
    </row>
    <row r="12616" spans="5:5" x14ac:dyDescent="0.25">
      <c r="E12616" t="s">
        <v>12181</v>
      </c>
    </row>
    <row r="12617" spans="5:5" x14ac:dyDescent="0.25">
      <c r="E12617" t="s">
        <v>12182</v>
      </c>
    </row>
    <row r="12618" spans="5:5" x14ac:dyDescent="0.25">
      <c r="E12618" t="s">
        <v>12183</v>
      </c>
    </row>
    <row r="12619" spans="5:5" x14ac:dyDescent="0.25">
      <c r="E12619" t="s">
        <v>12184</v>
      </c>
    </row>
    <row r="12620" spans="5:5" x14ac:dyDescent="0.25">
      <c r="E12620" t="s">
        <v>12185</v>
      </c>
    </row>
    <row r="12621" spans="5:5" x14ac:dyDescent="0.25">
      <c r="E12621" t="s">
        <v>12186</v>
      </c>
    </row>
    <row r="12622" spans="5:5" x14ac:dyDescent="0.25">
      <c r="E12622" t="s">
        <v>12187</v>
      </c>
    </row>
    <row r="12623" spans="5:5" x14ac:dyDescent="0.25">
      <c r="E12623" t="s">
        <v>12188</v>
      </c>
    </row>
    <row r="12624" spans="5:5" x14ac:dyDescent="0.25">
      <c r="E12624" t="s">
        <v>12189</v>
      </c>
    </row>
    <row r="12625" spans="5:5" x14ac:dyDescent="0.25">
      <c r="E12625" t="s">
        <v>12190</v>
      </c>
    </row>
    <row r="12626" spans="5:5" x14ac:dyDescent="0.25">
      <c r="E12626" t="s">
        <v>12191</v>
      </c>
    </row>
    <row r="12627" spans="5:5" x14ac:dyDescent="0.25">
      <c r="E12627" t="s">
        <v>12192</v>
      </c>
    </row>
    <row r="12628" spans="5:5" x14ac:dyDescent="0.25">
      <c r="E12628" t="s">
        <v>12193</v>
      </c>
    </row>
    <row r="12629" spans="5:5" x14ac:dyDescent="0.25">
      <c r="E12629" t="s">
        <v>12194</v>
      </c>
    </row>
    <row r="12630" spans="5:5" x14ac:dyDescent="0.25">
      <c r="E12630" t="s">
        <v>12195</v>
      </c>
    </row>
    <row r="12631" spans="5:5" x14ac:dyDescent="0.25">
      <c r="E12631" t="s">
        <v>12196</v>
      </c>
    </row>
    <row r="12632" spans="5:5" x14ac:dyDescent="0.25">
      <c r="E12632" t="s">
        <v>12197</v>
      </c>
    </row>
    <row r="12633" spans="5:5" x14ac:dyDescent="0.25">
      <c r="E12633" t="s">
        <v>12198</v>
      </c>
    </row>
    <row r="12634" spans="5:5" x14ac:dyDescent="0.25">
      <c r="E12634" t="s">
        <v>12199</v>
      </c>
    </row>
    <row r="12635" spans="5:5" x14ac:dyDescent="0.25">
      <c r="E12635" t="s">
        <v>12200</v>
      </c>
    </row>
    <row r="12636" spans="5:5" x14ac:dyDescent="0.25">
      <c r="E12636" t="s">
        <v>12201</v>
      </c>
    </row>
    <row r="12637" spans="5:5" x14ac:dyDescent="0.25">
      <c r="E12637" t="s">
        <v>12202</v>
      </c>
    </row>
    <row r="12638" spans="5:5" x14ac:dyDescent="0.25">
      <c r="E12638" t="s">
        <v>12203</v>
      </c>
    </row>
    <row r="12639" spans="5:5" x14ac:dyDescent="0.25">
      <c r="E12639" t="s">
        <v>12204</v>
      </c>
    </row>
    <row r="12640" spans="5:5" x14ac:dyDescent="0.25">
      <c r="E12640" t="s">
        <v>12205</v>
      </c>
    </row>
    <row r="12641" spans="5:5" x14ac:dyDescent="0.25">
      <c r="E12641" t="s">
        <v>12206</v>
      </c>
    </row>
    <row r="12642" spans="5:5" x14ac:dyDescent="0.25">
      <c r="E12642" t="s">
        <v>12207</v>
      </c>
    </row>
    <row r="12643" spans="5:5" x14ac:dyDescent="0.25">
      <c r="E12643" t="s">
        <v>12208</v>
      </c>
    </row>
    <row r="12644" spans="5:5" x14ac:dyDescent="0.25">
      <c r="E12644" t="s">
        <v>12209</v>
      </c>
    </row>
    <row r="12645" spans="5:5" x14ac:dyDescent="0.25">
      <c r="E12645" t="s">
        <v>12210</v>
      </c>
    </row>
    <row r="12646" spans="5:5" x14ac:dyDescent="0.25">
      <c r="E12646" t="s">
        <v>12211</v>
      </c>
    </row>
    <row r="12647" spans="5:5" x14ac:dyDescent="0.25">
      <c r="E12647" t="s">
        <v>12212</v>
      </c>
    </row>
    <row r="12648" spans="5:5" x14ac:dyDescent="0.25">
      <c r="E12648" t="s">
        <v>12213</v>
      </c>
    </row>
    <row r="12649" spans="5:5" x14ac:dyDescent="0.25">
      <c r="E12649" t="s">
        <v>12214</v>
      </c>
    </row>
    <row r="12650" spans="5:5" x14ac:dyDescent="0.25">
      <c r="E12650" t="s">
        <v>12215</v>
      </c>
    </row>
    <row r="12651" spans="5:5" x14ac:dyDescent="0.25">
      <c r="E12651" t="s">
        <v>12216</v>
      </c>
    </row>
    <row r="12652" spans="5:5" x14ac:dyDescent="0.25">
      <c r="E12652" t="s">
        <v>12217</v>
      </c>
    </row>
    <row r="12653" spans="5:5" x14ac:dyDescent="0.25">
      <c r="E12653" t="s">
        <v>12218</v>
      </c>
    </row>
    <row r="12654" spans="5:5" x14ac:dyDescent="0.25">
      <c r="E12654" t="s">
        <v>12219</v>
      </c>
    </row>
    <row r="12655" spans="5:5" x14ac:dyDescent="0.25">
      <c r="E12655" t="s">
        <v>12220</v>
      </c>
    </row>
    <row r="12656" spans="5:5" x14ac:dyDescent="0.25">
      <c r="E12656" t="s">
        <v>12221</v>
      </c>
    </row>
    <row r="12657" spans="5:5" x14ac:dyDescent="0.25">
      <c r="E12657" t="s">
        <v>12222</v>
      </c>
    </row>
    <row r="12658" spans="5:5" x14ac:dyDescent="0.25">
      <c r="E12658" t="s">
        <v>12223</v>
      </c>
    </row>
    <row r="12659" spans="5:5" x14ac:dyDescent="0.25">
      <c r="E12659" t="s">
        <v>12224</v>
      </c>
    </row>
    <row r="12660" spans="5:5" x14ac:dyDescent="0.25">
      <c r="E12660" t="s">
        <v>12225</v>
      </c>
    </row>
    <row r="12661" spans="5:5" x14ac:dyDescent="0.25">
      <c r="E12661" t="s">
        <v>12226</v>
      </c>
    </row>
    <row r="12662" spans="5:5" x14ac:dyDescent="0.25">
      <c r="E12662" t="s">
        <v>12227</v>
      </c>
    </row>
    <row r="12663" spans="5:5" x14ac:dyDescent="0.25">
      <c r="E12663" t="s">
        <v>12228</v>
      </c>
    </row>
    <row r="12664" spans="5:5" x14ac:dyDescent="0.25">
      <c r="E12664" t="s">
        <v>12229</v>
      </c>
    </row>
    <row r="12665" spans="5:5" x14ac:dyDescent="0.25">
      <c r="E12665" t="s">
        <v>12230</v>
      </c>
    </row>
    <row r="12666" spans="5:5" x14ac:dyDescent="0.25">
      <c r="E12666" t="s">
        <v>12231</v>
      </c>
    </row>
    <row r="12667" spans="5:5" x14ac:dyDescent="0.25">
      <c r="E12667" t="s">
        <v>12232</v>
      </c>
    </row>
    <row r="12668" spans="5:5" x14ac:dyDescent="0.25">
      <c r="E12668" t="s">
        <v>12233</v>
      </c>
    </row>
    <row r="12669" spans="5:5" x14ac:dyDescent="0.25">
      <c r="E12669" t="s">
        <v>12234</v>
      </c>
    </row>
    <row r="12670" spans="5:5" x14ac:dyDescent="0.25">
      <c r="E12670" t="s">
        <v>12235</v>
      </c>
    </row>
    <row r="12671" spans="5:5" x14ac:dyDescent="0.25">
      <c r="E12671" t="s">
        <v>12236</v>
      </c>
    </row>
    <row r="12672" spans="5:5" x14ac:dyDescent="0.25">
      <c r="E12672" t="s">
        <v>12237</v>
      </c>
    </row>
    <row r="12673" spans="5:5" x14ac:dyDescent="0.25">
      <c r="E12673" t="s">
        <v>12238</v>
      </c>
    </row>
    <row r="12674" spans="5:5" x14ac:dyDescent="0.25">
      <c r="E12674" t="s">
        <v>12239</v>
      </c>
    </row>
    <row r="12675" spans="5:5" x14ac:dyDescent="0.25">
      <c r="E12675" t="s">
        <v>12240</v>
      </c>
    </row>
    <row r="12676" spans="5:5" x14ac:dyDescent="0.25">
      <c r="E12676" t="s">
        <v>12241</v>
      </c>
    </row>
    <row r="12677" spans="5:5" x14ac:dyDescent="0.25">
      <c r="E12677" t="s">
        <v>12242</v>
      </c>
    </row>
    <row r="12678" spans="5:5" x14ac:dyDescent="0.25">
      <c r="E12678" t="s">
        <v>12243</v>
      </c>
    </row>
    <row r="12679" spans="5:5" x14ac:dyDescent="0.25">
      <c r="E12679" t="s">
        <v>12244</v>
      </c>
    </row>
    <row r="12680" spans="5:5" x14ac:dyDescent="0.25">
      <c r="E12680" t="s">
        <v>12245</v>
      </c>
    </row>
    <row r="12681" spans="5:5" x14ac:dyDescent="0.25">
      <c r="E12681" t="s">
        <v>12246</v>
      </c>
    </row>
    <row r="12682" spans="5:5" x14ac:dyDescent="0.25">
      <c r="E12682" t="s">
        <v>12247</v>
      </c>
    </row>
    <row r="12683" spans="5:5" x14ac:dyDescent="0.25">
      <c r="E12683" t="s">
        <v>12248</v>
      </c>
    </row>
    <row r="12684" spans="5:5" x14ac:dyDescent="0.25">
      <c r="E12684" t="s">
        <v>12249</v>
      </c>
    </row>
    <row r="12685" spans="5:5" x14ac:dyDescent="0.25">
      <c r="E12685" t="s">
        <v>12250</v>
      </c>
    </row>
    <row r="12686" spans="5:5" x14ac:dyDescent="0.25">
      <c r="E12686" t="s">
        <v>12251</v>
      </c>
    </row>
    <row r="12687" spans="5:5" x14ac:dyDescent="0.25">
      <c r="E12687" t="s">
        <v>12252</v>
      </c>
    </row>
    <row r="12688" spans="5:5" x14ac:dyDescent="0.25">
      <c r="E12688" t="s">
        <v>12253</v>
      </c>
    </row>
    <row r="12689" spans="5:5" x14ac:dyDescent="0.25">
      <c r="E12689" t="s">
        <v>12254</v>
      </c>
    </row>
    <row r="12690" spans="5:5" x14ac:dyDescent="0.25">
      <c r="E12690" t="s">
        <v>12255</v>
      </c>
    </row>
    <row r="12691" spans="5:5" x14ac:dyDescent="0.25">
      <c r="E12691" t="s">
        <v>12256</v>
      </c>
    </row>
    <row r="12692" spans="5:5" x14ac:dyDescent="0.25">
      <c r="E12692" t="s">
        <v>12257</v>
      </c>
    </row>
    <row r="12693" spans="5:5" x14ac:dyDescent="0.25">
      <c r="E12693" t="s">
        <v>12258</v>
      </c>
    </row>
    <row r="12694" spans="5:5" x14ac:dyDescent="0.25">
      <c r="E12694" t="s">
        <v>12259</v>
      </c>
    </row>
    <row r="12695" spans="5:5" x14ac:dyDescent="0.25">
      <c r="E12695" t="s">
        <v>12260</v>
      </c>
    </row>
    <row r="12696" spans="5:5" x14ac:dyDescent="0.25">
      <c r="E12696" t="s">
        <v>12261</v>
      </c>
    </row>
    <row r="12697" spans="5:5" x14ac:dyDescent="0.25">
      <c r="E12697" t="s">
        <v>12262</v>
      </c>
    </row>
    <row r="12698" spans="5:5" x14ac:dyDescent="0.25">
      <c r="E12698" t="s">
        <v>12263</v>
      </c>
    </row>
    <row r="12699" spans="5:5" x14ac:dyDescent="0.25">
      <c r="E12699" t="s">
        <v>12264</v>
      </c>
    </row>
    <row r="12700" spans="5:5" x14ac:dyDescent="0.25">
      <c r="E12700" t="s">
        <v>12265</v>
      </c>
    </row>
    <row r="12701" spans="5:5" x14ac:dyDescent="0.25">
      <c r="E12701" t="s">
        <v>12266</v>
      </c>
    </row>
    <row r="12702" spans="5:5" x14ac:dyDescent="0.25">
      <c r="E12702" t="s">
        <v>12267</v>
      </c>
    </row>
    <row r="12703" spans="5:5" x14ac:dyDescent="0.25">
      <c r="E12703" t="s">
        <v>12268</v>
      </c>
    </row>
    <row r="12704" spans="5:5" x14ac:dyDescent="0.25">
      <c r="E12704" t="s">
        <v>12269</v>
      </c>
    </row>
    <row r="12705" spans="5:5" x14ac:dyDescent="0.25">
      <c r="E12705" t="s">
        <v>12270</v>
      </c>
    </row>
    <row r="12706" spans="5:5" x14ac:dyDescent="0.25">
      <c r="E12706" t="s">
        <v>12271</v>
      </c>
    </row>
    <row r="12707" spans="5:5" x14ac:dyDescent="0.25">
      <c r="E12707" t="s">
        <v>12272</v>
      </c>
    </row>
    <row r="12708" spans="5:5" x14ac:dyDescent="0.25">
      <c r="E12708" t="s">
        <v>12273</v>
      </c>
    </row>
    <row r="12709" spans="5:5" x14ac:dyDescent="0.25">
      <c r="E12709" t="s">
        <v>12274</v>
      </c>
    </row>
    <row r="12710" spans="5:5" x14ac:dyDescent="0.25">
      <c r="E12710" t="s">
        <v>12275</v>
      </c>
    </row>
    <row r="12711" spans="5:5" x14ac:dyDescent="0.25">
      <c r="E12711" t="s">
        <v>12276</v>
      </c>
    </row>
    <row r="12712" spans="5:5" x14ac:dyDescent="0.25">
      <c r="E12712" t="s">
        <v>12277</v>
      </c>
    </row>
    <row r="12713" spans="5:5" x14ac:dyDescent="0.25">
      <c r="E12713" t="s">
        <v>12278</v>
      </c>
    </row>
    <row r="12714" spans="5:5" x14ac:dyDescent="0.25">
      <c r="E12714" t="s">
        <v>12279</v>
      </c>
    </row>
    <row r="12715" spans="5:5" x14ac:dyDescent="0.25">
      <c r="E12715" t="s">
        <v>12280</v>
      </c>
    </row>
    <row r="12716" spans="5:5" x14ac:dyDescent="0.25">
      <c r="E12716" t="s">
        <v>12281</v>
      </c>
    </row>
    <row r="12717" spans="5:5" x14ac:dyDescent="0.25">
      <c r="E12717" t="s">
        <v>12282</v>
      </c>
    </row>
    <row r="12718" spans="5:5" x14ac:dyDescent="0.25">
      <c r="E12718" t="s">
        <v>12283</v>
      </c>
    </row>
    <row r="12719" spans="5:5" x14ac:dyDescent="0.25">
      <c r="E12719" t="s">
        <v>12284</v>
      </c>
    </row>
    <row r="12720" spans="5:5" x14ac:dyDescent="0.25">
      <c r="E12720" t="s">
        <v>12285</v>
      </c>
    </row>
    <row r="12721" spans="5:5" x14ac:dyDescent="0.25">
      <c r="E12721" t="s">
        <v>12286</v>
      </c>
    </row>
    <row r="12722" spans="5:5" x14ac:dyDescent="0.25">
      <c r="E12722" t="s">
        <v>12287</v>
      </c>
    </row>
    <row r="12723" spans="5:5" x14ac:dyDescent="0.25">
      <c r="E12723" t="s">
        <v>12288</v>
      </c>
    </row>
    <row r="12724" spans="5:5" x14ac:dyDescent="0.25">
      <c r="E12724" t="s">
        <v>12289</v>
      </c>
    </row>
    <row r="12725" spans="5:5" x14ac:dyDescent="0.25">
      <c r="E12725" t="s">
        <v>12290</v>
      </c>
    </row>
    <row r="12726" spans="5:5" x14ac:dyDescent="0.25">
      <c r="E12726" t="s">
        <v>12291</v>
      </c>
    </row>
    <row r="12727" spans="5:5" x14ac:dyDescent="0.25">
      <c r="E12727" t="s">
        <v>12292</v>
      </c>
    </row>
    <row r="12728" spans="5:5" x14ac:dyDescent="0.25">
      <c r="E12728" t="s">
        <v>12293</v>
      </c>
    </row>
    <row r="12729" spans="5:5" x14ac:dyDescent="0.25">
      <c r="E12729" t="s">
        <v>12294</v>
      </c>
    </row>
    <row r="12730" spans="5:5" x14ac:dyDescent="0.25">
      <c r="E12730" t="s">
        <v>12295</v>
      </c>
    </row>
    <row r="12731" spans="5:5" x14ac:dyDescent="0.25">
      <c r="E12731" t="s">
        <v>12296</v>
      </c>
    </row>
    <row r="12732" spans="5:5" x14ac:dyDescent="0.25">
      <c r="E12732" t="s">
        <v>12297</v>
      </c>
    </row>
    <row r="12733" spans="5:5" x14ac:dyDescent="0.25">
      <c r="E12733" t="s">
        <v>12298</v>
      </c>
    </row>
    <row r="12734" spans="5:5" x14ac:dyDescent="0.25">
      <c r="E12734" t="s">
        <v>12299</v>
      </c>
    </row>
    <row r="12735" spans="5:5" x14ac:dyDescent="0.25">
      <c r="E12735" t="s">
        <v>12300</v>
      </c>
    </row>
    <row r="12736" spans="5:5" x14ac:dyDescent="0.25">
      <c r="E12736" t="s">
        <v>12301</v>
      </c>
    </row>
    <row r="12737" spans="5:5" x14ac:dyDescent="0.25">
      <c r="E12737" t="s">
        <v>12302</v>
      </c>
    </row>
    <row r="12738" spans="5:5" x14ac:dyDescent="0.25">
      <c r="E12738" t="s">
        <v>12303</v>
      </c>
    </row>
    <row r="12739" spans="5:5" x14ac:dyDescent="0.25">
      <c r="E12739" t="s">
        <v>12304</v>
      </c>
    </row>
    <row r="12740" spans="5:5" x14ac:dyDescent="0.25">
      <c r="E12740" t="s">
        <v>12305</v>
      </c>
    </row>
    <row r="12741" spans="5:5" x14ac:dyDescent="0.25">
      <c r="E12741" t="s">
        <v>12306</v>
      </c>
    </row>
    <row r="12742" spans="5:5" x14ac:dyDescent="0.25">
      <c r="E12742" t="s">
        <v>12307</v>
      </c>
    </row>
    <row r="12743" spans="5:5" x14ac:dyDescent="0.25">
      <c r="E12743" t="s">
        <v>12308</v>
      </c>
    </row>
    <row r="12744" spans="5:5" x14ac:dyDescent="0.25">
      <c r="E12744" t="s">
        <v>12309</v>
      </c>
    </row>
    <row r="12745" spans="5:5" x14ac:dyDescent="0.25">
      <c r="E12745" t="s">
        <v>12310</v>
      </c>
    </row>
    <row r="12746" spans="5:5" x14ac:dyDescent="0.25">
      <c r="E12746" t="s">
        <v>12311</v>
      </c>
    </row>
    <row r="12747" spans="5:5" x14ac:dyDescent="0.25">
      <c r="E12747" t="s">
        <v>12312</v>
      </c>
    </row>
    <row r="12748" spans="5:5" x14ac:dyDescent="0.25">
      <c r="E12748" t="s">
        <v>12313</v>
      </c>
    </row>
    <row r="12749" spans="5:5" x14ac:dyDescent="0.25">
      <c r="E12749" t="s">
        <v>12314</v>
      </c>
    </row>
    <row r="12750" spans="5:5" x14ac:dyDescent="0.25">
      <c r="E12750" t="s">
        <v>12315</v>
      </c>
    </row>
    <row r="12751" spans="5:5" x14ac:dyDescent="0.25">
      <c r="E12751" t="s">
        <v>12316</v>
      </c>
    </row>
    <row r="12752" spans="5:5" x14ac:dyDescent="0.25">
      <c r="E12752" t="s">
        <v>12317</v>
      </c>
    </row>
    <row r="12753" spans="5:5" x14ac:dyDescent="0.25">
      <c r="E12753" t="s">
        <v>12318</v>
      </c>
    </row>
    <row r="12754" spans="5:5" x14ac:dyDescent="0.25">
      <c r="E12754" t="s">
        <v>12319</v>
      </c>
    </row>
    <row r="12755" spans="5:5" x14ac:dyDescent="0.25">
      <c r="E12755" t="s">
        <v>12320</v>
      </c>
    </row>
    <row r="12756" spans="5:5" x14ac:dyDescent="0.25">
      <c r="E12756" t="s">
        <v>12321</v>
      </c>
    </row>
    <row r="12757" spans="5:5" x14ac:dyDescent="0.25">
      <c r="E12757" t="s">
        <v>12322</v>
      </c>
    </row>
    <row r="12758" spans="5:5" x14ac:dyDescent="0.25">
      <c r="E12758" t="s">
        <v>12323</v>
      </c>
    </row>
    <row r="12759" spans="5:5" x14ac:dyDescent="0.25">
      <c r="E12759" t="s">
        <v>12324</v>
      </c>
    </row>
    <row r="12760" spans="5:5" x14ac:dyDescent="0.25">
      <c r="E12760" t="s">
        <v>12325</v>
      </c>
    </row>
    <row r="12761" spans="5:5" x14ac:dyDescent="0.25">
      <c r="E12761" t="s">
        <v>12326</v>
      </c>
    </row>
    <row r="12762" spans="5:5" x14ac:dyDescent="0.25">
      <c r="E12762" t="s">
        <v>12327</v>
      </c>
    </row>
    <row r="12763" spans="5:5" x14ac:dyDescent="0.25">
      <c r="E12763" t="s">
        <v>12328</v>
      </c>
    </row>
    <row r="12764" spans="5:5" x14ac:dyDescent="0.25">
      <c r="E12764" t="s">
        <v>12329</v>
      </c>
    </row>
    <row r="12765" spans="5:5" x14ac:dyDescent="0.25">
      <c r="E12765" t="s">
        <v>12330</v>
      </c>
    </row>
    <row r="12766" spans="5:5" x14ac:dyDescent="0.25">
      <c r="E12766" t="s">
        <v>12331</v>
      </c>
    </row>
    <row r="12767" spans="5:5" x14ac:dyDescent="0.25">
      <c r="E12767" t="s">
        <v>12332</v>
      </c>
    </row>
    <row r="12768" spans="5:5" x14ac:dyDescent="0.25">
      <c r="E12768" t="s">
        <v>12333</v>
      </c>
    </row>
    <row r="12769" spans="5:5" x14ac:dyDescent="0.25">
      <c r="E12769" t="s">
        <v>12334</v>
      </c>
    </row>
    <row r="12770" spans="5:5" x14ac:dyDescent="0.25">
      <c r="E12770" t="s">
        <v>12335</v>
      </c>
    </row>
    <row r="12771" spans="5:5" x14ac:dyDescent="0.25">
      <c r="E12771" t="s">
        <v>12336</v>
      </c>
    </row>
    <row r="12772" spans="5:5" x14ac:dyDescent="0.25">
      <c r="E12772" t="s">
        <v>12337</v>
      </c>
    </row>
    <row r="12773" spans="5:5" x14ac:dyDescent="0.25">
      <c r="E12773" t="s">
        <v>12338</v>
      </c>
    </row>
    <row r="12774" spans="5:5" x14ac:dyDescent="0.25">
      <c r="E12774" t="s">
        <v>12339</v>
      </c>
    </row>
    <row r="12775" spans="5:5" x14ac:dyDescent="0.25">
      <c r="E12775" t="s">
        <v>12340</v>
      </c>
    </row>
    <row r="12776" spans="5:5" x14ac:dyDescent="0.25">
      <c r="E12776" t="s">
        <v>12341</v>
      </c>
    </row>
    <row r="12777" spans="5:5" x14ac:dyDescent="0.25">
      <c r="E12777" t="s">
        <v>12342</v>
      </c>
    </row>
    <row r="12778" spans="5:5" x14ac:dyDescent="0.25">
      <c r="E12778" t="s">
        <v>12343</v>
      </c>
    </row>
    <row r="12779" spans="5:5" x14ac:dyDescent="0.25">
      <c r="E12779" t="s">
        <v>12344</v>
      </c>
    </row>
    <row r="12780" spans="5:5" x14ac:dyDescent="0.25">
      <c r="E12780" t="s">
        <v>12345</v>
      </c>
    </row>
    <row r="12781" spans="5:5" x14ac:dyDescent="0.25">
      <c r="E12781" t="s">
        <v>12346</v>
      </c>
    </row>
    <row r="12782" spans="5:5" x14ac:dyDescent="0.25">
      <c r="E12782" t="s">
        <v>12347</v>
      </c>
    </row>
    <row r="12783" spans="5:5" x14ac:dyDescent="0.25">
      <c r="E12783" t="s">
        <v>12348</v>
      </c>
    </row>
    <row r="12784" spans="5:5" x14ac:dyDescent="0.25">
      <c r="E12784" t="s">
        <v>12349</v>
      </c>
    </row>
    <row r="12785" spans="5:5" x14ac:dyDescent="0.25">
      <c r="E12785" t="s">
        <v>12350</v>
      </c>
    </row>
    <row r="12786" spans="5:5" x14ac:dyDescent="0.25">
      <c r="E12786" t="s">
        <v>12351</v>
      </c>
    </row>
    <row r="12787" spans="5:5" x14ac:dyDescent="0.25">
      <c r="E12787" t="s">
        <v>12352</v>
      </c>
    </row>
    <row r="12788" spans="5:5" x14ac:dyDescent="0.25">
      <c r="E12788" t="s">
        <v>12353</v>
      </c>
    </row>
    <row r="12789" spans="5:5" x14ac:dyDescent="0.25">
      <c r="E12789" t="s">
        <v>12354</v>
      </c>
    </row>
    <row r="12790" spans="5:5" x14ac:dyDescent="0.25">
      <c r="E12790" t="s">
        <v>12355</v>
      </c>
    </row>
    <row r="12791" spans="5:5" x14ac:dyDescent="0.25">
      <c r="E12791" t="s">
        <v>12356</v>
      </c>
    </row>
    <row r="12792" spans="5:5" x14ac:dyDescent="0.25">
      <c r="E12792" t="s">
        <v>12357</v>
      </c>
    </row>
    <row r="12793" spans="5:5" x14ac:dyDescent="0.25">
      <c r="E12793" t="s">
        <v>12358</v>
      </c>
    </row>
    <row r="12794" spans="5:5" x14ac:dyDescent="0.25">
      <c r="E12794" t="s">
        <v>12359</v>
      </c>
    </row>
    <row r="12795" spans="5:5" x14ac:dyDescent="0.25">
      <c r="E12795" t="s">
        <v>12360</v>
      </c>
    </row>
    <row r="12796" spans="5:5" x14ac:dyDescent="0.25">
      <c r="E12796" t="s">
        <v>12361</v>
      </c>
    </row>
    <row r="12797" spans="5:5" x14ac:dyDescent="0.25">
      <c r="E12797" t="s">
        <v>12362</v>
      </c>
    </row>
    <row r="12798" spans="5:5" x14ac:dyDescent="0.25">
      <c r="E12798" t="s">
        <v>12363</v>
      </c>
    </row>
    <row r="12799" spans="5:5" x14ac:dyDescent="0.25">
      <c r="E12799" t="s">
        <v>12364</v>
      </c>
    </row>
    <row r="12800" spans="5:5" x14ac:dyDescent="0.25">
      <c r="E12800" t="s">
        <v>12365</v>
      </c>
    </row>
    <row r="12801" spans="5:5" x14ac:dyDescent="0.25">
      <c r="E12801" t="s">
        <v>12366</v>
      </c>
    </row>
    <row r="12802" spans="5:5" x14ac:dyDescent="0.25">
      <c r="E12802" t="s">
        <v>12367</v>
      </c>
    </row>
    <row r="12803" spans="5:5" x14ac:dyDescent="0.25">
      <c r="E12803" t="s">
        <v>12368</v>
      </c>
    </row>
    <row r="12804" spans="5:5" x14ac:dyDescent="0.25">
      <c r="E12804" t="s">
        <v>12369</v>
      </c>
    </row>
    <row r="12805" spans="5:5" x14ac:dyDescent="0.25">
      <c r="E12805" t="s">
        <v>12370</v>
      </c>
    </row>
    <row r="12806" spans="5:5" x14ac:dyDescent="0.25">
      <c r="E12806" t="s">
        <v>12371</v>
      </c>
    </row>
    <row r="12807" spans="5:5" x14ac:dyDescent="0.25">
      <c r="E12807" t="s">
        <v>12372</v>
      </c>
    </row>
    <row r="12808" spans="5:5" x14ac:dyDescent="0.25">
      <c r="E12808" t="s">
        <v>12373</v>
      </c>
    </row>
    <row r="12809" spans="5:5" x14ac:dyDescent="0.25">
      <c r="E12809" t="s">
        <v>12374</v>
      </c>
    </row>
    <row r="12810" spans="5:5" x14ac:dyDescent="0.25">
      <c r="E12810" t="s">
        <v>12375</v>
      </c>
    </row>
    <row r="12811" spans="5:5" x14ac:dyDescent="0.25">
      <c r="E12811" t="s">
        <v>12376</v>
      </c>
    </row>
    <row r="12812" spans="5:5" x14ac:dyDescent="0.25">
      <c r="E12812" t="s">
        <v>12377</v>
      </c>
    </row>
    <row r="12813" spans="5:5" x14ac:dyDescent="0.25">
      <c r="E12813" t="s">
        <v>12378</v>
      </c>
    </row>
    <row r="12814" spans="5:5" x14ac:dyDescent="0.25">
      <c r="E12814" t="s">
        <v>12379</v>
      </c>
    </row>
    <row r="12815" spans="5:5" x14ac:dyDescent="0.25">
      <c r="E12815" t="s">
        <v>12380</v>
      </c>
    </row>
    <row r="12816" spans="5:5" x14ac:dyDescent="0.25">
      <c r="E12816" t="s">
        <v>12381</v>
      </c>
    </row>
    <row r="12817" spans="5:5" x14ac:dyDescent="0.25">
      <c r="E12817" t="s">
        <v>12382</v>
      </c>
    </row>
    <row r="12818" spans="5:5" x14ac:dyDescent="0.25">
      <c r="E12818" t="s">
        <v>12383</v>
      </c>
    </row>
    <row r="12819" spans="5:5" x14ac:dyDescent="0.25">
      <c r="E12819" t="s">
        <v>12384</v>
      </c>
    </row>
    <row r="12820" spans="5:5" x14ac:dyDescent="0.25">
      <c r="E12820" t="s">
        <v>12385</v>
      </c>
    </row>
    <row r="12821" spans="5:5" x14ac:dyDescent="0.25">
      <c r="E12821" t="s">
        <v>12386</v>
      </c>
    </row>
    <row r="12822" spans="5:5" x14ac:dyDescent="0.25">
      <c r="E12822" t="s">
        <v>12387</v>
      </c>
    </row>
    <row r="12823" spans="5:5" x14ac:dyDescent="0.25">
      <c r="E12823" t="s">
        <v>12388</v>
      </c>
    </row>
    <row r="12824" spans="5:5" x14ac:dyDescent="0.25">
      <c r="E12824" t="s">
        <v>12389</v>
      </c>
    </row>
    <row r="12825" spans="5:5" x14ac:dyDescent="0.25">
      <c r="E12825" t="s">
        <v>12390</v>
      </c>
    </row>
    <row r="12826" spans="5:5" x14ac:dyDescent="0.25">
      <c r="E12826" t="s">
        <v>12391</v>
      </c>
    </row>
    <row r="12827" spans="5:5" x14ac:dyDescent="0.25">
      <c r="E12827" t="s">
        <v>12392</v>
      </c>
    </row>
    <row r="12828" spans="5:5" x14ac:dyDescent="0.25">
      <c r="E12828" t="s">
        <v>12393</v>
      </c>
    </row>
    <row r="12829" spans="5:5" x14ac:dyDescent="0.25">
      <c r="E12829" t="s">
        <v>12394</v>
      </c>
    </row>
    <row r="12830" spans="5:5" x14ac:dyDescent="0.25">
      <c r="E12830" t="s">
        <v>12395</v>
      </c>
    </row>
    <row r="12831" spans="5:5" x14ac:dyDescent="0.25">
      <c r="E12831" t="s">
        <v>12396</v>
      </c>
    </row>
    <row r="12832" spans="5:5" x14ac:dyDescent="0.25">
      <c r="E12832" t="s">
        <v>12397</v>
      </c>
    </row>
    <row r="12833" spans="5:5" x14ac:dyDescent="0.25">
      <c r="E12833" t="s">
        <v>12398</v>
      </c>
    </row>
    <row r="12834" spans="5:5" x14ac:dyDescent="0.25">
      <c r="E12834" t="s">
        <v>12399</v>
      </c>
    </row>
    <row r="12835" spans="5:5" x14ac:dyDescent="0.25">
      <c r="E12835" t="s">
        <v>12400</v>
      </c>
    </row>
    <row r="12836" spans="5:5" x14ac:dyDescent="0.25">
      <c r="E12836" t="s">
        <v>12401</v>
      </c>
    </row>
    <row r="12837" spans="5:5" x14ac:dyDescent="0.25">
      <c r="E12837" t="s">
        <v>12402</v>
      </c>
    </row>
    <row r="12838" spans="5:5" x14ac:dyDescent="0.25">
      <c r="E12838" t="s">
        <v>12403</v>
      </c>
    </row>
    <row r="12839" spans="5:5" x14ac:dyDescent="0.25">
      <c r="E12839" t="s">
        <v>12404</v>
      </c>
    </row>
    <row r="12840" spans="5:5" x14ac:dyDescent="0.25">
      <c r="E12840" t="s">
        <v>12405</v>
      </c>
    </row>
    <row r="12841" spans="5:5" x14ac:dyDescent="0.25">
      <c r="E12841" t="s">
        <v>12406</v>
      </c>
    </row>
    <row r="12842" spans="5:5" x14ac:dyDescent="0.25">
      <c r="E12842" t="s">
        <v>12407</v>
      </c>
    </row>
    <row r="12843" spans="5:5" x14ac:dyDescent="0.25">
      <c r="E12843" t="s">
        <v>12408</v>
      </c>
    </row>
    <row r="12844" spans="5:5" x14ac:dyDescent="0.25">
      <c r="E12844" t="s">
        <v>12409</v>
      </c>
    </row>
    <row r="12845" spans="5:5" x14ac:dyDescent="0.25">
      <c r="E12845" t="s">
        <v>12410</v>
      </c>
    </row>
    <row r="12846" spans="5:5" x14ac:dyDescent="0.25">
      <c r="E12846" t="s">
        <v>12411</v>
      </c>
    </row>
    <row r="12847" spans="5:5" x14ac:dyDescent="0.25">
      <c r="E12847" t="s">
        <v>12412</v>
      </c>
    </row>
    <row r="12848" spans="5:5" x14ac:dyDescent="0.25">
      <c r="E12848" t="s">
        <v>12413</v>
      </c>
    </row>
    <row r="12849" spans="5:5" x14ac:dyDescent="0.25">
      <c r="E12849" t="s">
        <v>12414</v>
      </c>
    </row>
    <row r="12850" spans="5:5" x14ac:dyDescent="0.25">
      <c r="E12850" t="s">
        <v>12415</v>
      </c>
    </row>
    <row r="12851" spans="5:5" x14ac:dyDescent="0.25">
      <c r="E12851" t="s">
        <v>12416</v>
      </c>
    </row>
    <row r="12852" spans="5:5" x14ac:dyDescent="0.25">
      <c r="E12852" t="s">
        <v>12417</v>
      </c>
    </row>
    <row r="12853" spans="5:5" x14ac:dyDescent="0.25">
      <c r="E12853" t="s">
        <v>12418</v>
      </c>
    </row>
    <row r="12854" spans="5:5" x14ac:dyDescent="0.25">
      <c r="E12854" t="s">
        <v>12419</v>
      </c>
    </row>
    <row r="12855" spans="5:5" x14ac:dyDescent="0.25">
      <c r="E12855" t="s">
        <v>12420</v>
      </c>
    </row>
    <row r="12856" spans="5:5" x14ac:dyDescent="0.25">
      <c r="E12856" t="s">
        <v>12421</v>
      </c>
    </row>
    <row r="12857" spans="5:5" x14ac:dyDescent="0.25">
      <c r="E12857" t="s">
        <v>12422</v>
      </c>
    </row>
    <row r="12858" spans="5:5" x14ac:dyDescent="0.25">
      <c r="E12858" t="s">
        <v>12423</v>
      </c>
    </row>
    <row r="12859" spans="5:5" x14ac:dyDescent="0.25">
      <c r="E12859" t="s">
        <v>12424</v>
      </c>
    </row>
    <row r="12860" spans="5:5" x14ac:dyDescent="0.25">
      <c r="E12860" t="s">
        <v>12425</v>
      </c>
    </row>
    <row r="12861" spans="5:5" x14ac:dyDescent="0.25">
      <c r="E12861" t="s">
        <v>12426</v>
      </c>
    </row>
    <row r="12862" spans="5:5" x14ac:dyDescent="0.25">
      <c r="E12862" t="s">
        <v>12427</v>
      </c>
    </row>
    <row r="12863" spans="5:5" x14ac:dyDescent="0.25">
      <c r="E12863" t="s">
        <v>12428</v>
      </c>
    </row>
    <row r="12864" spans="5:5" x14ac:dyDescent="0.25">
      <c r="E12864" t="s">
        <v>12429</v>
      </c>
    </row>
    <row r="12865" spans="5:5" x14ac:dyDescent="0.25">
      <c r="E12865" t="s">
        <v>12430</v>
      </c>
    </row>
    <row r="12866" spans="5:5" x14ac:dyDescent="0.25">
      <c r="E12866" t="s">
        <v>12431</v>
      </c>
    </row>
    <row r="12867" spans="5:5" x14ac:dyDescent="0.25">
      <c r="E12867" t="s">
        <v>12432</v>
      </c>
    </row>
    <row r="12868" spans="5:5" x14ac:dyDescent="0.25">
      <c r="E12868" t="s">
        <v>12433</v>
      </c>
    </row>
    <row r="12869" spans="5:5" x14ac:dyDescent="0.25">
      <c r="E12869" t="s">
        <v>12434</v>
      </c>
    </row>
    <row r="12870" spans="5:5" x14ac:dyDescent="0.25">
      <c r="E12870" t="s">
        <v>12435</v>
      </c>
    </row>
    <row r="12871" spans="5:5" x14ac:dyDescent="0.25">
      <c r="E12871" t="s">
        <v>12436</v>
      </c>
    </row>
    <row r="12872" spans="5:5" x14ac:dyDescent="0.25">
      <c r="E12872" t="s">
        <v>12437</v>
      </c>
    </row>
    <row r="12873" spans="5:5" x14ac:dyDescent="0.25">
      <c r="E12873" t="s">
        <v>12438</v>
      </c>
    </row>
    <row r="12874" spans="5:5" x14ac:dyDescent="0.25">
      <c r="E12874" t="s">
        <v>12439</v>
      </c>
    </row>
    <row r="12875" spans="5:5" x14ac:dyDescent="0.25">
      <c r="E12875" t="s">
        <v>12440</v>
      </c>
    </row>
    <row r="12876" spans="5:5" x14ac:dyDescent="0.25">
      <c r="E12876" t="s">
        <v>12441</v>
      </c>
    </row>
    <row r="12877" spans="5:5" x14ac:dyDescent="0.25">
      <c r="E12877" t="s">
        <v>12442</v>
      </c>
    </row>
    <row r="12878" spans="5:5" x14ac:dyDescent="0.25">
      <c r="E12878" t="s">
        <v>12443</v>
      </c>
    </row>
    <row r="12879" spans="5:5" x14ac:dyDescent="0.25">
      <c r="E12879" t="s">
        <v>12444</v>
      </c>
    </row>
    <row r="12880" spans="5:5" x14ac:dyDescent="0.25">
      <c r="E12880" t="s">
        <v>12445</v>
      </c>
    </row>
    <row r="12881" spans="5:5" x14ac:dyDescent="0.25">
      <c r="E12881" t="s">
        <v>12446</v>
      </c>
    </row>
    <row r="12882" spans="5:5" x14ac:dyDescent="0.25">
      <c r="E12882" t="s">
        <v>12447</v>
      </c>
    </row>
    <row r="12883" spans="5:5" x14ac:dyDescent="0.25">
      <c r="E12883" t="s">
        <v>12448</v>
      </c>
    </row>
    <row r="12884" spans="5:5" x14ac:dyDescent="0.25">
      <c r="E12884" t="s">
        <v>12449</v>
      </c>
    </row>
    <row r="12885" spans="5:5" x14ac:dyDescent="0.25">
      <c r="E12885" t="s">
        <v>12450</v>
      </c>
    </row>
    <row r="12887" spans="5:5" x14ac:dyDescent="0.25">
      <c r="E12887" t="s">
        <v>12451</v>
      </c>
    </row>
    <row r="12888" spans="5:5" x14ac:dyDescent="0.25">
      <c r="E12888" t="s">
        <v>12452</v>
      </c>
    </row>
    <row r="12889" spans="5:5" x14ac:dyDescent="0.25">
      <c r="E12889" t="s">
        <v>12453</v>
      </c>
    </row>
    <row r="12890" spans="5:5" x14ac:dyDescent="0.25">
      <c r="E12890" t="s">
        <v>12454</v>
      </c>
    </row>
    <row r="12891" spans="5:5" x14ac:dyDescent="0.25">
      <c r="E12891" t="s">
        <v>12455</v>
      </c>
    </row>
    <row r="12892" spans="5:5" x14ac:dyDescent="0.25">
      <c r="E12892" t="s">
        <v>12456</v>
      </c>
    </row>
    <row r="12893" spans="5:5" x14ac:dyDescent="0.25">
      <c r="E12893" t="s">
        <v>12457</v>
      </c>
    </row>
    <row r="12894" spans="5:5" x14ac:dyDescent="0.25">
      <c r="E12894" t="s">
        <v>12458</v>
      </c>
    </row>
    <row r="12895" spans="5:5" x14ac:dyDescent="0.25">
      <c r="E12895" t="s">
        <v>12459</v>
      </c>
    </row>
    <row r="12896" spans="5:5" x14ac:dyDescent="0.25">
      <c r="E12896" t="s">
        <v>12460</v>
      </c>
    </row>
    <row r="12897" spans="5:5" x14ac:dyDescent="0.25">
      <c r="E12897" t="s">
        <v>12461</v>
      </c>
    </row>
    <row r="12898" spans="5:5" x14ac:dyDescent="0.25">
      <c r="E12898" t="s">
        <v>12462</v>
      </c>
    </row>
    <row r="12899" spans="5:5" x14ac:dyDescent="0.25">
      <c r="E12899" t="s">
        <v>12463</v>
      </c>
    </row>
    <row r="12900" spans="5:5" x14ac:dyDescent="0.25">
      <c r="E12900" t="s">
        <v>12464</v>
      </c>
    </row>
    <row r="12901" spans="5:5" x14ac:dyDescent="0.25">
      <c r="E12901" t="s">
        <v>12465</v>
      </c>
    </row>
    <row r="12902" spans="5:5" x14ac:dyDescent="0.25">
      <c r="E12902" t="s">
        <v>12466</v>
      </c>
    </row>
    <row r="12903" spans="5:5" x14ac:dyDescent="0.25">
      <c r="E12903" t="s">
        <v>12467</v>
      </c>
    </row>
    <row r="12904" spans="5:5" x14ac:dyDescent="0.25">
      <c r="E12904" t="s">
        <v>12468</v>
      </c>
    </row>
    <row r="12905" spans="5:5" x14ac:dyDescent="0.25">
      <c r="E12905" t="s">
        <v>12469</v>
      </c>
    </row>
    <row r="12906" spans="5:5" x14ac:dyDescent="0.25">
      <c r="E12906" t="s">
        <v>12470</v>
      </c>
    </row>
    <row r="12907" spans="5:5" x14ac:dyDescent="0.25">
      <c r="E12907" t="s">
        <v>12471</v>
      </c>
    </row>
    <row r="12911" spans="5:5" x14ac:dyDescent="0.25">
      <c r="E12911" t="s">
        <v>12472</v>
      </c>
    </row>
    <row r="12914" spans="5:5" x14ac:dyDescent="0.25">
      <c r="E12914" t="s">
        <v>12473</v>
      </c>
    </row>
    <row r="12915" spans="5:5" x14ac:dyDescent="0.25">
      <c r="E12915" t="s">
        <v>12474</v>
      </c>
    </row>
    <row r="12916" spans="5:5" x14ac:dyDescent="0.25">
      <c r="E12916" t="s">
        <v>12475</v>
      </c>
    </row>
    <row r="12917" spans="5:5" x14ac:dyDescent="0.25">
      <c r="E12917" t="s">
        <v>12476</v>
      </c>
    </row>
    <row r="12918" spans="5:5" x14ac:dyDescent="0.25">
      <c r="E12918" t="s">
        <v>12477</v>
      </c>
    </row>
    <row r="12919" spans="5:5" x14ac:dyDescent="0.25">
      <c r="E12919" t="s">
        <v>12478</v>
      </c>
    </row>
    <row r="12920" spans="5:5" x14ac:dyDescent="0.25">
      <c r="E12920" t="s">
        <v>12479</v>
      </c>
    </row>
    <row r="12922" spans="5:5" x14ac:dyDescent="0.25">
      <c r="E12922" t="s">
        <v>12480</v>
      </c>
    </row>
    <row r="12923" spans="5:5" x14ac:dyDescent="0.25">
      <c r="E12923" t="s">
        <v>12481</v>
      </c>
    </row>
    <row r="12924" spans="5:5" x14ac:dyDescent="0.25">
      <c r="E12924" t="s">
        <v>12482</v>
      </c>
    </row>
    <row r="12925" spans="5:5" x14ac:dyDescent="0.25">
      <c r="E12925" t="s">
        <v>12483</v>
      </c>
    </row>
    <row r="12926" spans="5:5" x14ac:dyDescent="0.25">
      <c r="E12926" t="s">
        <v>12484</v>
      </c>
    </row>
    <row r="12927" spans="5:5" x14ac:dyDescent="0.25">
      <c r="E12927" t="s">
        <v>12485</v>
      </c>
    </row>
    <row r="12928" spans="5:5" x14ac:dyDescent="0.25">
      <c r="E12928" t="s">
        <v>12486</v>
      </c>
    </row>
    <row r="12929" spans="5:5" x14ac:dyDescent="0.25">
      <c r="E12929" t="s">
        <v>12487</v>
      </c>
    </row>
    <row r="12930" spans="5:5" x14ac:dyDescent="0.25">
      <c r="E12930" t="s">
        <v>12488</v>
      </c>
    </row>
    <row r="12931" spans="5:5" x14ac:dyDescent="0.25">
      <c r="E12931" t="s">
        <v>12489</v>
      </c>
    </row>
    <row r="12932" spans="5:5" x14ac:dyDescent="0.25">
      <c r="E12932" t="s">
        <v>12490</v>
      </c>
    </row>
    <row r="12933" spans="5:5" x14ac:dyDescent="0.25">
      <c r="E12933" t="s">
        <v>12491</v>
      </c>
    </row>
    <row r="12934" spans="5:5" x14ac:dyDescent="0.25">
      <c r="E12934" t="s">
        <v>12492</v>
      </c>
    </row>
    <row r="12935" spans="5:5" x14ac:dyDescent="0.25">
      <c r="E12935" t="s">
        <v>12493</v>
      </c>
    </row>
    <row r="12936" spans="5:5" x14ac:dyDescent="0.25">
      <c r="E12936" t="s">
        <v>12494</v>
      </c>
    </row>
    <row r="12937" spans="5:5" x14ac:dyDescent="0.25">
      <c r="E12937" t="s">
        <v>12495</v>
      </c>
    </row>
    <row r="12938" spans="5:5" x14ac:dyDescent="0.25">
      <c r="E12938" t="s">
        <v>12496</v>
      </c>
    </row>
    <row r="12939" spans="5:5" x14ac:dyDescent="0.25">
      <c r="E12939" t="s">
        <v>12497</v>
      </c>
    </row>
    <row r="12940" spans="5:5" x14ac:dyDescent="0.25">
      <c r="E12940" t="s">
        <v>12498</v>
      </c>
    </row>
    <row r="12941" spans="5:5" x14ac:dyDescent="0.25">
      <c r="E12941" t="s">
        <v>12499</v>
      </c>
    </row>
    <row r="12942" spans="5:5" x14ac:dyDescent="0.25">
      <c r="E12942" t="s">
        <v>12500</v>
      </c>
    </row>
    <row r="12943" spans="5:5" x14ac:dyDescent="0.25">
      <c r="E12943" t="s">
        <v>12501</v>
      </c>
    </row>
    <row r="12944" spans="5:5" x14ac:dyDescent="0.25">
      <c r="E12944" t="s">
        <v>12502</v>
      </c>
    </row>
    <row r="12945" spans="5:5" x14ac:dyDescent="0.25">
      <c r="E12945" t="s">
        <v>12503</v>
      </c>
    </row>
    <row r="12946" spans="5:5" x14ac:dyDescent="0.25">
      <c r="E12946" t="s">
        <v>12504</v>
      </c>
    </row>
    <row r="12947" spans="5:5" x14ac:dyDescent="0.25">
      <c r="E12947" t="s">
        <v>12505</v>
      </c>
    </row>
    <row r="12948" spans="5:5" x14ac:dyDescent="0.25">
      <c r="E12948" t="s">
        <v>12506</v>
      </c>
    </row>
    <row r="12949" spans="5:5" x14ac:dyDescent="0.25">
      <c r="E12949" t="s">
        <v>12507</v>
      </c>
    </row>
    <row r="12950" spans="5:5" x14ac:dyDescent="0.25">
      <c r="E12950" t="s">
        <v>12508</v>
      </c>
    </row>
    <row r="12951" spans="5:5" x14ac:dyDescent="0.25">
      <c r="E12951" t="s">
        <v>12509</v>
      </c>
    </row>
    <row r="12952" spans="5:5" x14ac:dyDescent="0.25">
      <c r="E12952" t="s">
        <v>12510</v>
      </c>
    </row>
    <row r="12953" spans="5:5" x14ac:dyDescent="0.25">
      <c r="E12953" t="s">
        <v>12511</v>
      </c>
    </row>
    <row r="12954" spans="5:5" x14ac:dyDescent="0.25">
      <c r="E12954" t="s">
        <v>12512</v>
      </c>
    </row>
    <row r="12955" spans="5:5" x14ac:dyDescent="0.25">
      <c r="E12955" t="s">
        <v>12513</v>
      </c>
    </row>
    <row r="12956" spans="5:5" x14ac:dyDescent="0.25">
      <c r="E12956" t="s">
        <v>12514</v>
      </c>
    </row>
    <row r="12957" spans="5:5" x14ac:dyDescent="0.25">
      <c r="E12957" t="s">
        <v>12515</v>
      </c>
    </row>
    <row r="12958" spans="5:5" x14ac:dyDescent="0.25">
      <c r="E12958" t="s">
        <v>12516</v>
      </c>
    </row>
    <row r="12959" spans="5:5" x14ac:dyDescent="0.25">
      <c r="E12959" t="s">
        <v>12517</v>
      </c>
    </row>
    <row r="12960" spans="5:5" x14ac:dyDescent="0.25">
      <c r="E12960" t="s">
        <v>12518</v>
      </c>
    </row>
    <row r="12961" spans="5:5" x14ac:dyDescent="0.25">
      <c r="E12961" t="s">
        <v>12519</v>
      </c>
    </row>
    <row r="12962" spans="5:5" x14ac:dyDescent="0.25">
      <c r="E12962" t="s">
        <v>12520</v>
      </c>
    </row>
    <row r="12963" spans="5:5" x14ac:dyDescent="0.25">
      <c r="E12963" t="s">
        <v>12521</v>
      </c>
    </row>
    <row r="12964" spans="5:5" x14ac:dyDescent="0.25">
      <c r="E12964" t="s">
        <v>12522</v>
      </c>
    </row>
    <row r="12965" spans="5:5" x14ac:dyDescent="0.25">
      <c r="E12965" t="s">
        <v>12523</v>
      </c>
    </row>
    <row r="12966" spans="5:5" x14ac:dyDescent="0.25">
      <c r="E12966" t="s">
        <v>12524</v>
      </c>
    </row>
    <row r="12967" spans="5:5" x14ac:dyDescent="0.25">
      <c r="E12967" t="s">
        <v>12525</v>
      </c>
    </row>
    <row r="12968" spans="5:5" x14ac:dyDescent="0.25">
      <c r="E12968" t="s">
        <v>12526</v>
      </c>
    </row>
    <row r="12969" spans="5:5" x14ac:dyDescent="0.25">
      <c r="E12969" t="s">
        <v>12527</v>
      </c>
    </row>
    <row r="12970" spans="5:5" x14ac:dyDescent="0.25">
      <c r="E12970" t="s">
        <v>12528</v>
      </c>
    </row>
    <row r="12971" spans="5:5" x14ac:dyDescent="0.25">
      <c r="E12971" t="s">
        <v>12529</v>
      </c>
    </row>
    <row r="12972" spans="5:5" x14ac:dyDescent="0.25">
      <c r="E12972" t="s">
        <v>12530</v>
      </c>
    </row>
    <row r="12973" spans="5:5" x14ac:dyDescent="0.25">
      <c r="E12973" t="s">
        <v>12531</v>
      </c>
    </row>
    <row r="12974" spans="5:5" x14ac:dyDescent="0.25">
      <c r="E12974" t="s">
        <v>12532</v>
      </c>
    </row>
    <row r="12975" spans="5:5" x14ac:dyDescent="0.25">
      <c r="E12975" t="s">
        <v>12533</v>
      </c>
    </row>
    <row r="12976" spans="5:5" x14ac:dyDescent="0.25">
      <c r="E12976" t="s">
        <v>12534</v>
      </c>
    </row>
    <row r="12977" spans="5:5" x14ac:dyDescent="0.25">
      <c r="E12977" t="s">
        <v>12535</v>
      </c>
    </row>
    <row r="12978" spans="5:5" x14ac:dyDescent="0.25">
      <c r="E12978" t="s">
        <v>12536</v>
      </c>
    </row>
    <row r="12979" spans="5:5" x14ac:dyDescent="0.25">
      <c r="E12979" t="s">
        <v>12537</v>
      </c>
    </row>
    <row r="12980" spans="5:5" x14ac:dyDescent="0.25">
      <c r="E12980" t="s">
        <v>12538</v>
      </c>
    </row>
    <row r="12981" spans="5:5" x14ac:dyDescent="0.25">
      <c r="E12981" t="s">
        <v>12539</v>
      </c>
    </row>
    <row r="12982" spans="5:5" x14ac:dyDescent="0.25">
      <c r="E12982" t="s">
        <v>12540</v>
      </c>
    </row>
    <row r="12983" spans="5:5" x14ac:dyDescent="0.25">
      <c r="E12983" t="s">
        <v>12541</v>
      </c>
    </row>
    <row r="12984" spans="5:5" x14ac:dyDescent="0.25">
      <c r="E12984" t="s">
        <v>12542</v>
      </c>
    </row>
    <row r="12985" spans="5:5" x14ac:dyDescent="0.25">
      <c r="E12985" t="s">
        <v>12543</v>
      </c>
    </row>
    <row r="12986" spans="5:5" x14ac:dyDescent="0.25">
      <c r="E12986" t="s">
        <v>12544</v>
      </c>
    </row>
    <row r="12987" spans="5:5" x14ac:dyDescent="0.25">
      <c r="E12987" t="s">
        <v>12545</v>
      </c>
    </row>
    <row r="12988" spans="5:5" x14ac:dyDescent="0.25">
      <c r="E12988" t="s">
        <v>12546</v>
      </c>
    </row>
    <row r="12989" spans="5:5" x14ac:dyDescent="0.25">
      <c r="E12989" t="s">
        <v>12547</v>
      </c>
    </row>
    <row r="12990" spans="5:5" x14ac:dyDescent="0.25">
      <c r="E12990" t="s">
        <v>12548</v>
      </c>
    </row>
    <row r="12991" spans="5:5" x14ac:dyDescent="0.25">
      <c r="E12991" t="s">
        <v>12549</v>
      </c>
    </row>
    <row r="12992" spans="5:5" x14ac:dyDescent="0.25">
      <c r="E12992" t="s">
        <v>12550</v>
      </c>
    </row>
    <row r="12993" spans="5:5" x14ac:dyDescent="0.25">
      <c r="E12993" t="s">
        <v>12551</v>
      </c>
    </row>
    <row r="12994" spans="5:5" x14ac:dyDescent="0.25">
      <c r="E12994" t="s">
        <v>12552</v>
      </c>
    </row>
    <row r="12995" spans="5:5" x14ac:dyDescent="0.25">
      <c r="E12995" t="s">
        <v>12553</v>
      </c>
    </row>
    <row r="12996" spans="5:5" x14ac:dyDescent="0.25">
      <c r="E12996" t="s">
        <v>12554</v>
      </c>
    </row>
    <row r="12997" spans="5:5" x14ac:dyDescent="0.25">
      <c r="E12997" t="s">
        <v>12555</v>
      </c>
    </row>
    <row r="12998" spans="5:5" x14ac:dyDescent="0.25">
      <c r="E12998" t="s">
        <v>12556</v>
      </c>
    </row>
    <row r="12999" spans="5:5" x14ac:dyDescent="0.25">
      <c r="E12999" t="s">
        <v>12557</v>
      </c>
    </row>
    <row r="13000" spans="5:5" x14ac:dyDescent="0.25">
      <c r="E13000" t="s">
        <v>12558</v>
      </c>
    </row>
    <row r="13001" spans="5:5" x14ac:dyDescent="0.25">
      <c r="E13001" t="s">
        <v>12559</v>
      </c>
    </row>
    <row r="13002" spans="5:5" x14ac:dyDescent="0.25">
      <c r="E13002" t="s">
        <v>12560</v>
      </c>
    </row>
    <row r="13003" spans="5:5" x14ac:dyDescent="0.25">
      <c r="E13003" t="s">
        <v>12561</v>
      </c>
    </row>
    <row r="13004" spans="5:5" x14ac:dyDescent="0.25">
      <c r="E13004" t="s">
        <v>12562</v>
      </c>
    </row>
    <row r="13005" spans="5:5" x14ac:dyDescent="0.25">
      <c r="E13005" t="s">
        <v>12563</v>
      </c>
    </row>
    <row r="13006" spans="5:5" x14ac:dyDescent="0.25">
      <c r="E13006" t="s">
        <v>12564</v>
      </c>
    </row>
    <row r="13007" spans="5:5" x14ac:dyDescent="0.25">
      <c r="E13007" t="s">
        <v>12565</v>
      </c>
    </row>
    <row r="13008" spans="5:5" x14ac:dyDescent="0.25">
      <c r="E13008" t="s">
        <v>12566</v>
      </c>
    </row>
    <row r="13009" spans="5:5" x14ac:dyDescent="0.25">
      <c r="E13009" t="s">
        <v>12567</v>
      </c>
    </row>
    <row r="13010" spans="5:5" x14ac:dyDescent="0.25">
      <c r="E13010" t="s">
        <v>12568</v>
      </c>
    </row>
    <row r="13011" spans="5:5" x14ac:dyDescent="0.25">
      <c r="E13011" t="s">
        <v>12569</v>
      </c>
    </row>
    <row r="13012" spans="5:5" x14ac:dyDescent="0.25">
      <c r="E13012" t="s">
        <v>12570</v>
      </c>
    </row>
    <row r="13013" spans="5:5" x14ac:dyDescent="0.25">
      <c r="E13013" t="s">
        <v>12571</v>
      </c>
    </row>
    <row r="13014" spans="5:5" x14ac:dyDescent="0.25">
      <c r="E13014" t="s">
        <v>12572</v>
      </c>
    </row>
    <row r="13015" spans="5:5" x14ac:dyDescent="0.25">
      <c r="E13015" t="s">
        <v>12573</v>
      </c>
    </row>
    <row r="13016" spans="5:5" x14ac:dyDescent="0.25">
      <c r="E13016" t="s">
        <v>12574</v>
      </c>
    </row>
    <row r="13017" spans="5:5" x14ac:dyDescent="0.25">
      <c r="E13017" t="s">
        <v>12575</v>
      </c>
    </row>
    <row r="13018" spans="5:5" x14ac:dyDescent="0.25">
      <c r="E13018" t="s">
        <v>12576</v>
      </c>
    </row>
    <row r="13019" spans="5:5" x14ac:dyDescent="0.25">
      <c r="E13019" t="s">
        <v>12577</v>
      </c>
    </row>
    <row r="13020" spans="5:5" x14ac:dyDescent="0.25">
      <c r="E13020" t="s">
        <v>12578</v>
      </c>
    </row>
    <row r="13021" spans="5:5" x14ac:dyDescent="0.25">
      <c r="E13021" t="s">
        <v>12579</v>
      </c>
    </row>
    <row r="13022" spans="5:5" x14ac:dyDescent="0.25">
      <c r="E13022" t="s">
        <v>12580</v>
      </c>
    </row>
    <row r="13023" spans="5:5" x14ac:dyDescent="0.25">
      <c r="E13023" t="s">
        <v>12581</v>
      </c>
    </row>
    <row r="13024" spans="5:5" x14ac:dyDescent="0.25">
      <c r="E13024" t="s">
        <v>12582</v>
      </c>
    </row>
    <row r="13025" spans="5:5" x14ac:dyDescent="0.25">
      <c r="E13025" t="s">
        <v>12583</v>
      </c>
    </row>
    <row r="13026" spans="5:5" x14ac:dyDescent="0.25">
      <c r="E13026" t="s">
        <v>12584</v>
      </c>
    </row>
    <row r="13027" spans="5:5" x14ac:dyDescent="0.25">
      <c r="E13027" t="s">
        <v>12585</v>
      </c>
    </row>
    <row r="13028" spans="5:5" x14ac:dyDescent="0.25">
      <c r="E13028" t="s">
        <v>12586</v>
      </c>
    </row>
    <row r="13029" spans="5:5" x14ac:dyDescent="0.25">
      <c r="E13029" t="s">
        <v>12587</v>
      </c>
    </row>
    <row r="13030" spans="5:5" x14ac:dyDescent="0.25">
      <c r="E13030" t="s">
        <v>12588</v>
      </c>
    </row>
    <row r="13031" spans="5:5" x14ac:dyDescent="0.25">
      <c r="E13031" t="s">
        <v>12589</v>
      </c>
    </row>
    <row r="13032" spans="5:5" x14ac:dyDescent="0.25">
      <c r="E13032" t="s">
        <v>12590</v>
      </c>
    </row>
    <row r="13033" spans="5:5" x14ac:dyDescent="0.25">
      <c r="E13033" t="s">
        <v>12591</v>
      </c>
    </row>
    <row r="13034" spans="5:5" x14ac:dyDescent="0.25">
      <c r="E13034" t="s">
        <v>12592</v>
      </c>
    </row>
    <row r="13035" spans="5:5" x14ac:dyDescent="0.25">
      <c r="E13035" t="s">
        <v>12593</v>
      </c>
    </row>
    <row r="13036" spans="5:5" x14ac:dyDescent="0.25">
      <c r="E13036" t="s">
        <v>12594</v>
      </c>
    </row>
    <row r="13037" spans="5:5" x14ac:dyDescent="0.25">
      <c r="E13037" t="s">
        <v>12595</v>
      </c>
    </row>
    <row r="13038" spans="5:5" x14ac:dyDescent="0.25">
      <c r="E13038" t="s">
        <v>12596</v>
      </c>
    </row>
    <row r="13039" spans="5:5" x14ac:dyDescent="0.25">
      <c r="E13039" t="s">
        <v>12597</v>
      </c>
    </row>
    <row r="13040" spans="5:5" x14ac:dyDescent="0.25">
      <c r="E13040" t="s">
        <v>12598</v>
      </c>
    </row>
    <row r="13041" spans="5:5" x14ac:dyDescent="0.25">
      <c r="E13041" t="s">
        <v>12599</v>
      </c>
    </row>
    <row r="13042" spans="5:5" x14ac:dyDescent="0.25">
      <c r="E13042" t="s">
        <v>12600</v>
      </c>
    </row>
    <row r="13043" spans="5:5" x14ac:dyDescent="0.25">
      <c r="E13043" t="s">
        <v>12601</v>
      </c>
    </row>
    <row r="13044" spans="5:5" x14ac:dyDescent="0.25">
      <c r="E13044" t="s">
        <v>12602</v>
      </c>
    </row>
    <row r="13045" spans="5:5" x14ac:dyDescent="0.25">
      <c r="E13045" t="s">
        <v>12603</v>
      </c>
    </row>
    <row r="13046" spans="5:5" x14ac:dyDescent="0.25">
      <c r="E13046" t="s">
        <v>12604</v>
      </c>
    </row>
    <row r="13047" spans="5:5" x14ac:dyDescent="0.25">
      <c r="E13047" t="s">
        <v>12605</v>
      </c>
    </row>
    <row r="13048" spans="5:5" x14ac:dyDescent="0.25">
      <c r="E13048" t="s">
        <v>12606</v>
      </c>
    </row>
    <row r="13049" spans="5:5" x14ac:dyDescent="0.25">
      <c r="E13049" t="s">
        <v>12607</v>
      </c>
    </row>
    <row r="13050" spans="5:5" x14ac:dyDescent="0.25">
      <c r="E13050" t="s">
        <v>12608</v>
      </c>
    </row>
    <row r="13051" spans="5:5" x14ac:dyDescent="0.25">
      <c r="E13051" t="s">
        <v>12609</v>
      </c>
    </row>
    <row r="13052" spans="5:5" x14ac:dyDescent="0.25">
      <c r="E13052" t="s">
        <v>12610</v>
      </c>
    </row>
    <row r="13053" spans="5:5" x14ac:dyDescent="0.25">
      <c r="E13053" t="s">
        <v>12611</v>
      </c>
    </row>
    <row r="13054" spans="5:5" x14ac:dyDescent="0.25">
      <c r="E13054" t="s">
        <v>12612</v>
      </c>
    </row>
    <row r="13060" spans="5:5" x14ac:dyDescent="0.25">
      <c r="E13060" t="s">
        <v>12613</v>
      </c>
    </row>
    <row r="13061" spans="5:5" x14ac:dyDescent="0.25">
      <c r="E13061" t="s">
        <v>12614</v>
      </c>
    </row>
    <row r="13062" spans="5:5" x14ac:dyDescent="0.25">
      <c r="E13062" t="s">
        <v>12615</v>
      </c>
    </row>
    <row r="13063" spans="5:5" x14ac:dyDescent="0.25">
      <c r="E13063" t="s">
        <v>12616</v>
      </c>
    </row>
    <row r="13064" spans="5:5" x14ac:dyDescent="0.25">
      <c r="E13064" t="s">
        <v>12617</v>
      </c>
    </row>
    <row r="13065" spans="5:5" x14ac:dyDescent="0.25">
      <c r="E13065" t="s">
        <v>12618</v>
      </c>
    </row>
    <row r="13066" spans="5:5" x14ac:dyDescent="0.25">
      <c r="E13066" t="s">
        <v>12619</v>
      </c>
    </row>
    <row r="13067" spans="5:5" x14ac:dyDescent="0.25">
      <c r="E13067" t="s">
        <v>12620</v>
      </c>
    </row>
    <row r="13068" spans="5:5" x14ac:dyDescent="0.25">
      <c r="E13068" t="s">
        <v>12621</v>
      </c>
    </row>
    <row r="13069" spans="5:5" x14ac:dyDescent="0.25">
      <c r="E13069" t="s">
        <v>12622</v>
      </c>
    </row>
    <row r="13070" spans="5:5" x14ac:dyDescent="0.25">
      <c r="E13070" t="s">
        <v>12623</v>
      </c>
    </row>
    <row r="13071" spans="5:5" x14ac:dyDescent="0.25">
      <c r="E13071" t="s">
        <v>12624</v>
      </c>
    </row>
    <row r="13072" spans="5:5" x14ac:dyDescent="0.25">
      <c r="E13072" t="s">
        <v>12625</v>
      </c>
    </row>
    <row r="13073" spans="5:5" x14ac:dyDescent="0.25">
      <c r="E13073" t="s">
        <v>12626</v>
      </c>
    </row>
    <row r="13074" spans="5:5" x14ac:dyDescent="0.25">
      <c r="E13074" t="s">
        <v>12627</v>
      </c>
    </row>
    <row r="13075" spans="5:5" x14ac:dyDescent="0.25">
      <c r="E13075" t="s">
        <v>12628</v>
      </c>
    </row>
    <row r="13076" spans="5:5" x14ac:dyDescent="0.25">
      <c r="E13076" t="s">
        <v>12629</v>
      </c>
    </row>
    <row r="13077" spans="5:5" x14ac:dyDescent="0.25">
      <c r="E13077" t="s">
        <v>12630</v>
      </c>
    </row>
    <row r="13078" spans="5:5" x14ac:dyDescent="0.25">
      <c r="E13078" t="s">
        <v>12631</v>
      </c>
    </row>
    <row r="13079" spans="5:5" x14ac:dyDescent="0.25">
      <c r="E13079" t="s">
        <v>12632</v>
      </c>
    </row>
    <row r="13080" spans="5:5" x14ac:dyDescent="0.25">
      <c r="E13080" t="s">
        <v>12633</v>
      </c>
    </row>
    <row r="13081" spans="5:5" x14ac:dyDescent="0.25">
      <c r="E13081" t="s">
        <v>12634</v>
      </c>
    </row>
    <row r="13082" spans="5:5" x14ac:dyDescent="0.25">
      <c r="E13082" t="s">
        <v>12635</v>
      </c>
    </row>
    <row r="13083" spans="5:5" x14ac:dyDescent="0.25">
      <c r="E13083" t="s">
        <v>12636</v>
      </c>
    </row>
    <row r="13084" spans="5:5" x14ac:dyDescent="0.25">
      <c r="E13084" t="s">
        <v>12637</v>
      </c>
    </row>
    <row r="13085" spans="5:5" x14ac:dyDescent="0.25">
      <c r="E13085" t="s">
        <v>12638</v>
      </c>
    </row>
    <row r="13086" spans="5:5" x14ac:dyDescent="0.25">
      <c r="E13086" t="s">
        <v>12639</v>
      </c>
    </row>
    <row r="13087" spans="5:5" x14ac:dyDescent="0.25">
      <c r="E13087" t="s">
        <v>12640</v>
      </c>
    </row>
    <row r="13088" spans="5:5" x14ac:dyDescent="0.25">
      <c r="E13088" t="s">
        <v>12641</v>
      </c>
    </row>
    <row r="13089" spans="5:5" x14ac:dyDescent="0.25">
      <c r="E13089" t="s">
        <v>12642</v>
      </c>
    </row>
    <row r="13090" spans="5:5" x14ac:dyDescent="0.25">
      <c r="E13090" t="s">
        <v>12643</v>
      </c>
    </row>
    <row r="13091" spans="5:5" x14ac:dyDescent="0.25">
      <c r="E13091" t="s">
        <v>12644</v>
      </c>
    </row>
    <row r="13092" spans="5:5" x14ac:dyDescent="0.25">
      <c r="E13092" t="s">
        <v>12645</v>
      </c>
    </row>
    <row r="13093" spans="5:5" x14ac:dyDescent="0.25">
      <c r="E13093" t="s">
        <v>12646</v>
      </c>
    </row>
    <row r="13094" spans="5:5" x14ac:dyDescent="0.25">
      <c r="E13094" t="s">
        <v>12647</v>
      </c>
    </row>
    <row r="13095" spans="5:5" x14ac:dyDescent="0.25">
      <c r="E13095" t="s">
        <v>12648</v>
      </c>
    </row>
    <row r="13096" spans="5:5" x14ac:dyDescent="0.25">
      <c r="E13096" t="s">
        <v>12649</v>
      </c>
    </row>
    <row r="13097" spans="5:5" x14ac:dyDescent="0.25">
      <c r="E13097" t="s">
        <v>12650</v>
      </c>
    </row>
    <row r="13098" spans="5:5" x14ac:dyDescent="0.25">
      <c r="E13098" t="s">
        <v>12651</v>
      </c>
    </row>
    <row r="13099" spans="5:5" x14ac:dyDescent="0.25">
      <c r="E13099" t="s">
        <v>12652</v>
      </c>
    </row>
    <row r="13100" spans="5:5" x14ac:dyDescent="0.25">
      <c r="E13100" t="s">
        <v>12653</v>
      </c>
    </row>
    <row r="13101" spans="5:5" x14ac:dyDescent="0.25">
      <c r="E13101" t="s">
        <v>12654</v>
      </c>
    </row>
    <row r="13102" spans="5:5" x14ac:dyDescent="0.25">
      <c r="E13102" t="s">
        <v>12655</v>
      </c>
    </row>
    <row r="13103" spans="5:5" x14ac:dyDescent="0.25">
      <c r="E13103" t="s">
        <v>12656</v>
      </c>
    </row>
    <row r="13104" spans="5:5" x14ac:dyDescent="0.25">
      <c r="E13104" t="s">
        <v>12657</v>
      </c>
    </row>
    <row r="13105" spans="5:5" x14ac:dyDescent="0.25">
      <c r="E13105" t="s">
        <v>12658</v>
      </c>
    </row>
    <row r="13106" spans="5:5" x14ac:dyDescent="0.25">
      <c r="E13106" t="s">
        <v>12659</v>
      </c>
    </row>
    <row r="13107" spans="5:5" x14ac:dyDescent="0.25">
      <c r="E13107" t="s">
        <v>12660</v>
      </c>
    </row>
    <row r="13109" spans="5:5" x14ac:dyDescent="0.25">
      <c r="E13109" t="s">
        <v>12661</v>
      </c>
    </row>
    <row r="13110" spans="5:5" x14ac:dyDescent="0.25">
      <c r="E13110" t="s">
        <v>12662</v>
      </c>
    </row>
    <row r="13111" spans="5:5" x14ac:dyDescent="0.25">
      <c r="E13111" t="s">
        <v>12663</v>
      </c>
    </row>
    <row r="13112" spans="5:5" x14ac:dyDescent="0.25">
      <c r="E13112" t="s">
        <v>12664</v>
      </c>
    </row>
    <row r="13113" spans="5:5" x14ac:dyDescent="0.25">
      <c r="E13113" t="s">
        <v>12665</v>
      </c>
    </row>
    <row r="13114" spans="5:5" x14ac:dyDescent="0.25">
      <c r="E13114" t="s">
        <v>12666</v>
      </c>
    </row>
    <row r="13116" spans="5:5" x14ac:dyDescent="0.25">
      <c r="E13116" t="s">
        <v>12667</v>
      </c>
    </row>
    <row r="13117" spans="5:5" x14ac:dyDescent="0.25">
      <c r="E13117" t="s">
        <v>12668</v>
      </c>
    </row>
    <row r="13119" spans="5:5" x14ac:dyDescent="0.25">
      <c r="E13119" t="s">
        <v>12669</v>
      </c>
    </row>
    <row r="13120" spans="5:5" x14ac:dyDescent="0.25">
      <c r="E13120" t="s">
        <v>12670</v>
      </c>
    </row>
    <row r="13121" spans="5:5" x14ac:dyDescent="0.25">
      <c r="E13121" t="s">
        <v>12671</v>
      </c>
    </row>
    <row r="13122" spans="5:5" x14ac:dyDescent="0.25">
      <c r="E13122" t="s">
        <v>12672</v>
      </c>
    </row>
    <row r="13123" spans="5:5" x14ac:dyDescent="0.25">
      <c r="E13123" t="s">
        <v>12673</v>
      </c>
    </row>
    <row r="13124" spans="5:5" x14ac:dyDescent="0.25">
      <c r="E13124" t="s">
        <v>12674</v>
      </c>
    </row>
    <row r="13125" spans="5:5" x14ac:dyDescent="0.25">
      <c r="E13125" t="s">
        <v>12675</v>
      </c>
    </row>
    <row r="13126" spans="5:5" x14ac:dyDescent="0.25">
      <c r="E13126" t="s">
        <v>12676</v>
      </c>
    </row>
    <row r="13127" spans="5:5" x14ac:dyDescent="0.25">
      <c r="E13127" t="s">
        <v>12677</v>
      </c>
    </row>
    <row r="13128" spans="5:5" x14ac:dyDescent="0.25">
      <c r="E13128" t="s">
        <v>12678</v>
      </c>
    </row>
    <row r="13129" spans="5:5" x14ac:dyDescent="0.25">
      <c r="E13129" t="s">
        <v>12679</v>
      </c>
    </row>
    <row r="13130" spans="5:5" x14ac:dyDescent="0.25">
      <c r="E13130" t="s">
        <v>12680</v>
      </c>
    </row>
    <row r="13131" spans="5:5" x14ac:dyDescent="0.25">
      <c r="E13131" t="s">
        <v>12681</v>
      </c>
    </row>
    <row r="13132" spans="5:5" x14ac:dyDescent="0.25">
      <c r="E13132" t="s">
        <v>12682</v>
      </c>
    </row>
    <row r="13133" spans="5:5" x14ac:dyDescent="0.25">
      <c r="E13133" t="s">
        <v>12683</v>
      </c>
    </row>
    <row r="13134" spans="5:5" x14ac:dyDescent="0.25">
      <c r="E13134" t="s">
        <v>12684</v>
      </c>
    </row>
    <row r="13135" spans="5:5" x14ac:dyDescent="0.25">
      <c r="E13135" t="s">
        <v>12685</v>
      </c>
    </row>
    <row r="13136" spans="5:5" x14ac:dyDescent="0.25">
      <c r="E13136" t="s">
        <v>12686</v>
      </c>
    </row>
    <row r="13137" spans="5:5" x14ac:dyDescent="0.25">
      <c r="E13137" t="s">
        <v>12687</v>
      </c>
    </row>
    <row r="13138" spans="5:5" x14ac:dyDescent="0.25">
      <c r="E13138" t="s">
        <v>12688</v>
      </c>
    </row>
    <row r="13139" spans="5:5" x14ac:dyDescent="0.25">
      <c r="E13139" t="s">
        <v>12689</v>
      </c>
    </row>
    <row r="13140" spans="5:5" x14ac:dyDescent="0.25">
      <c r="E13140" t="s">
        <v>12690</v>
      </c>
    </row>
    <row r="13141" spans="5:5" x14ac:dyDescent="0.25">
      <c r="E13141" t="s">
        <v>12691</v>
      </c>
    </row>
    <row r="13142" spans="5:5" x14ac:dyDescent="0.25">
      <c r="E13142" t="s">
        <v>12692</v>
      </c>
    </row>
    <row r="13143" spans="5:5" x14ac:dyDescent="0.25">
      <c r="E13143" t="s">
        <v>12693</v>
      </c>
    </row>
    <row r="13144" spans="5:5" x14ac:dyDescent="0.25">
      <c r="E13144" t="s">
        <v>12694</v>
      </c>
    </row>
    <row r="13145" spans="5:5" x14ac:dyDescent="0.25">
      <c r="E13145" t="s">
        <v>12695</v>
      </c>
    </row>
    <row r="13146" spans="5:5" x14ac:dyDescent="0.25">
      <c r="E13146" t="s">
        <v>12696</v>
      </c>
    </row>
    <row r="13147" spans="5:5" x14ac:dyDescent="0.25">
      <c r="E13147" t="s">
        <v>12697</v>
      </c>
    </row>
    <row r="13148" spans="5:5" x14ac:dyDescent="0.25">
      <c r="E13148" t="s">
        <v>12698</v>
      </c>
    </row>
    <row r="13149" spans="5:5" x14ac:dyDescent="0.25">
      <c r="E13149" t="s">
        <v>12699</v>
      </c>
    </row>
    <row r="13150" spans="5:5" x14ac:dyDescent="0.25">
      <c r="E13150" t="s">
        <v>12700</v>
      </c>
    </row>
    <row r="13151" spans="5:5" x14ac:dyDescent="0.25">
      <c r="E13151" t="s">
        <v>12701</v>
      </c>
    </row>
    <row r="13152" spans="5:5" x14ac:dyDescent="0.25">
      <c r="E13152" t="s">
        <v>12702</v>
      </c>
    </row>
    <row r="13153" spans="5:5" x14ac:dyDescent="0.25">
      <c r="E13153" t="s">
        <v>12703</v>
      </c>
    </row>
    <row r="13154" spans="5:5" x14ac:dyDescent="0.25">
      <c r="E13154" t="s">
        <v>12704</v>
      </c>
    </row>
    <row r="13155" spans="5:5" x14ac:dyDescent="0.25">
      <c r="E13155" t="s">
        <v>12705</v>
      </c>
    </row>
    <row r="13156" spans="5:5" x14ac:dyDescent="0.25">
      <c r="E13156" t="s">
        <v>12706</v>
      </c>
    </row>
    <row r="13157" spans="5:5" x14ac:dyDescent="0.25">
      <c r="E13157" t="s">
        <v>12707</v>
      </c>
    </row>
    <row r="13158" spans="5:5" x14ac:dyDescent="0.25">
      <c r="E13158" t="s">
        <v>12708</v>
      </c>
    </row>
    <row r="13159" spans="5:5" x14ac:dyDescent="0.25">
      <c r="E13159" t="s">
        <v>12709</v>
      </c>
    </row>
    <row r="13160" spans="5:5" x14ac:dyDescent="0.25">
      <c r="E13160" t="s">
        <v>12710</v>
      </c>
    </row>
    <row r="13161" spans="5:5" x14ac:dyDescent="0.25">
      <c r="E13161" t="s">
        <v>12711</v>
      </c>
    </row>
    <row r="13162" spans="5:5" x14ac:dyDescent="0.25">
      <c r="E13162" t="s">
        <v>12712</v>
      </c>
    </row>
    <row r="13163" spans="5:5" x14ac:dyDescent="0.25">
      <c r="E13163" t="s">
        <v>12713</v>
      </c>
    </row>
    <row r="13164" spans="5:5" x14ac:dyDescent="0.25">
      <c r="E13164" t="s">
        <v>12714</v>
      </c>
    </row>
    <row r="13165" spans="5:5" x14ac:dyDescent="0.25">
      <c r="E13165" t="s">
        <v>12715</v>
      </c>
    </row>
    <row r="13166" spans="5:5" x14ac:dyDescent="0.25">
      <c r="E13166" t="s">
        <v>12716</v>
      </c>
    </row>
    <row r="13167" spans="5:5" x14ac:dyDescent="0.25">
      <c r="E13167" t="s">
        <v>12717</v>
      </c>
    </row>
    <row r="13168" spans="5:5" x14ac:dyDescent="0.25">
      <c r="E13168" t="s">
        <v>12718</v>
      </c>
    </row>
    <row r="13169" spans="5:5" x14ac:dyDescent="0.25">
      <c r="E13169" t="s">
        <v>12719</v>
      </c>
    </row>
    <row r="13170" spans="5:5" x14ac:dyDescent="0.25">
      <c r="E13170" t="s">
        <v>12720</v>
      </c>
    </row>
    <row r="13171" spans="5:5" x14ac:dyDescent="0.25">
      <c r="E13171" t="s">
        <v>12721</v>
      </c>
    </row>
    <row r="13172" spans="5:5" x14ac:dyDescent="0.25">
      <c r="E13172" t="s">
        <v>12722</v>
      </c>
    </row>
    <row r="13173" spans="5:5" x14ac:dyDescent="0.25">
      <c r="E13173" t="s">
        <v>12723</v>
      </c>
    </row>
    <row r="13174" spans="5:5" x14ac:dyDescent="0.25">
      <c r="E13174" t="s">
        <v>12724</v>
      </c>
    </row>
    <row r="13175" spans="5:5" x14ac:dyDescent="0.25">
      <c r="E13175" t="s">
        <v>12725</v>
      </c>
    </row>
    <row r="13176" spans="5:5" x14ac:dyDescent="0.25">
      <c r="E13176" t="s">
        <v>12726</v>
      </c>
    </row>
    <row r="13177" spans="5:5" x14ac:dyDescent="0.25">
      <c r="E13177" t="s">
        <v>12727</v>
      </c>
    </row>
    <row r="13178" spans="5:5" x14ac:dyDescent="0.25">
      <c r="E13178" t="s">
        <v>12728</v>
      </c>
    </row>
    <row r="13179" spans="5:5" x14ac:dyDescent="0.25">
      <c r="E13179" t="s">
        <v>12729</v>
      </c>
    </row>
    <row r="13180" spans="5:5" x14ac:dyDescent="0.25">
      <c r="E13180" t="s">
        <v>12730</v>
      </c>
    </row>
    <row r="13181" spans="5:5" x14ac:dyDescent="0.25">
      <c r="E13181" t="s">
        <v>12731</v>
      </c>
    </row>
    <row r="13182" spans="5:5" x14ac:dyDescent="0.25">
      <c r="E13182" t="s">
        <v>12732</v>
      </c>
    </row>
    <row r="13183" spans="5:5" x14ac:dyDescent="0.25">
      <c r="E13183" t="s">
        <v>12733</v>
      </c>
    </row>
    <row r="13184" spans="5:5" x14ac:dyDescent="0.25">
      <c r="E13184" t="s">
        <v>12734</v>
      </c>
    </row>
    <row r="13185" spans="5:5" x14ac:dyDescent="0.25">
      <c r="E13185" t="s">
        <v>12735</v>
      </c>
    </row>
    <row r="13186" spans="5:5" x14ac:dyDescent="0.25">
      <c r="E13186" t="s">
        <v>12736</v>
      </c>
    </row>
    <row r="13187" spans="5:5" x14ac:dyDescent="0.25">
      <c r="E13187" t="s">
        <v>12737</v>
      </c>
    </row>
    <row r="13188" spans="5:5" x14ac:dyDescent="0.25">
      <c r="E13188" t="s">
        <v>12738</v>
      </c>
    </row>
    <row r="13189" spans="5:5" x14ac:dyDescent="0.25">
      <c r="E13189" t="s">
        <v>12739</v>
      </c>
    </row>
    <row r="13190" spans="5:5" x14ac:dyDescent="0.25">
      <c r="E13190" t="s">
        <v>12740</v>
      </c>
    </row>
    <row r="13191" spans="5:5" x14ac:dyDescent="0.25">
      <c r="E13191" t="s">
        <v>12741</v>
      </c>
    </row>
    <row r="13192" spans="5:5" x14ac:dyDescent="0.25">
      <c r="E13192" t="s">
        <v>12742</v>
      </c>
    </row>
    <row r="13193" spans="5:5" x14ac:dyDescent="0.25">
      <c r="E13193" t="s">
        <v>12743</v>
      </c>
    </row>
    <row r="13194" spans="5:5" x14ac:dyDescent="0.25">
      <c r="E13194" t="s">
        <v>12744</v>
      </c>
    </row>
    <row r="13195" spans="5:5" x14ac:dyDescent="0.25">
      <c r="E13195" t="s">
        <v>12745</v>
      </c>
    </row>
    <row r="13196" spans="5:5" x14ac:dyDescent="0.25">
      <c r="E13196" t="s">
        <v>12746</v>
      </c>
    </row>
    <row r="13197" spans="5:5" x14ac:dyDescent="0.25">
      <c r="E13197" t="s">
        <v>12747</v>
      </c>
    </row>
    <row r="13198" spans="5:5" x14ac:dyDescent="0.25">
      <c r="E13198" t="s">
        <v>12748</v>
      </c>
    </row>
    <row r="13199" spans="5:5" x14ac:dyDescent="0.25">
      <c r="E13199" t="s">
        <v>12749</v>
      </c>
    </row>
    <row r="13200" spans="5:5" x14ac:dyDescent="0.25">
      <c r="E13200" t="s">
        <v>12750</v>
      </c>
    </row>
    <row r="13201" spans="5:5" x14ac:dyDescent="0.25">
      <c r="E13201" t="s">
        <v>12751</v>
      </c>
    </row>
    <row r="13202" spans="5:5" x14ac:dyDescent="0.25">
      <c r="E13202" t="s">
        <v>12752</v>
      </c>
    </row>
    <row r="13203" spans="5:5" x14ac:dyDescent="0.25">
      <c r="E13203" t="s">
        <v>12753</v>
      </c>
    </row>
    <row r="13204" spans="5:5" x14ac:dyDescent="0.25">
      <c r="E13204" t="s">
        <v>12754</v>
      </c>
    </row>
    <row r="13205" spans="5:5" x14ac:dyDescent="0.25">
      <c r="E13205" t="s">
        <v>12755</v>
      </c>
    </row>
    <row r="13206" spans="5:5" x14ac:dyDescent="0.25">
      <c r="E13206" t="s">
        <v>12756</v>
      </c>
    </row>
    <row r="13207" spans="5:5" x14ac:dyDescent="0.25">
      <c r="E13207" t="s">
        <v>12757</v>
      </c>
    </row>
    <row r="13208" spans="5:5" x14ac:dyDescent="0.25">
      <c r="E13208" t="s">
        <v>12758</v>
      </c>
    </row>
    <row r="13209" spans="5:5" x14ac:dyDescent="0.25">
      <c r="E13209" t="s">
        <v>12759</v>
      </c>
    </row>
    <row r="13210" spans="5:5" x14ac:dyDescent="0.25">
      <c r="E13210" t="s">
        <v>12760</v>
      </c>
    </row>
    <row r="13211" spans="5:5" x14ac:dyDescent="0.25">
      <c r="E13211" t="s">
        <v>12761</v>
      </c>
    </row>
    <row r="13212" spans="5:5" x14ac:dyDescent="0.25">
      <c r="E13212" t="s">
        <v>12762</v>
      </c>
    </row>
    <row r="13213" spans="5:5" x14ac:dyDescent="0.25">
      <c r="E13213" t="s">
        <v>12763</v>
      </c>
    </row>
    <row r="13214" spans="5:5" x14ac:dyDescent="0.25">
      <c r="E13214" t="s">
        <v>12764</v>
      </c>
    </row>
    <row r="13215" spans="5:5" x14ac:dyDescent="0.25">
      <c r="E13215" t="s">
        <v>12765</v>
      </c>
    </row>
    <row r="13216" spans="5:5" x14ac:dyDescent="0.25">
      <c r="E13216" t="s">
        <v>12766</v>
      </c>
    </row>
    <row r="13217" spans="5:5" x14ac:dyDescent="0.25">
      <c r="E13217" t="s">
        <v>12767</v>
      </c>
    </row>
    <row r="13218" spans="5:5" x14ac:dyDescent="0.25">
      <c r="E13218" t="s">
        <v>12768</v>
      </c>
    </row>
    <row r="13219" spans="5:5" x14ac:dyDescent="0.25">
      <c r="E13219" t="s">
        <v>12769</v>
      </c>
    </row>
    <row r="13220" spans="5:5" x14ac:dyDescent="0.25">
      <c r="E13220" t="s">
        <v>12770</v>
      </c>
    </row>
    <row r="13221" spans="5:5" x14ac:dyDescent="0.25">
      <c r="E13221" t="s">
        <v>12771</v>
      </c>
    </row>
    <row r="13222" spans="5:5" x14ac:dyDescent="0.25">
      <c r="E13222" t="s">
        <v>12772</v>
      </c>
    </row>
    <row r="13223" spans="5:5" x14ac:dyDescent="0.25">
      <c r="E13223" t="s">
        <v>12773</v>
      </c>
    </row>
    <row r="13224" spans="5:5" x14ac:dyDescent="0.25">
      <c r="E13224" t="s">
        <v>12774</v>
      </c>
    </row>
    <row r="13225" spans="5:5" x14ac:dyDescent="0.25">
      <c r="E13225" t="s">
        <v>12775</v>
      </c>
    </row>
    <row r="13226" spans="5:5" x14ac:dyDescent="0.25">
      <c r="E13226" t="s">
        <v>12776</v>
      </c>
    </row>
    <row r="13227" spans="5:5" x14ac:dyDescent="0.25">
      <c r="E13227" t="s">
        <v>12777</v>
      </c>
    </row>
    <row r="13228" spans="5:5" x14ac:dyDescent="0.25">
      <c r="E13228" t="s">
        <v>12778</v>
      </c>
    </row>
    <row r="13229" spans="5:5" x14ac:dyDescent="0.25">
      <c r="E13229" t="s">
        <v>12779</v>
      </c>
    </row>
    <row r="13230" spans="5:5" x14ac:dyDescent="0.25">
      <c r="E13230" t="s">
        <v>12780</v>
      </c>
    </row>
    <row r="13231" spans="5:5" x14ac:dyDescent="0.25">
      <c r="E13231" t="s">
        <v>12781</v>
      </c>
    </row>
    <row r="13232" spans="5:5" x14ac:dyDescent="0.25">
      <c r="E13232" t="s">
        <v>12782</v>
      </c>
    </row>
    <row r="13233" spans="5:5" x14ac:dyDescent="0.25">
      <c r="E13233" t="s">
        <v>12783</v>
      </c>
    </row>
    <row r="13234" spans="5:5" x14ac:dyDescent="0.25">
      <c r="E13234" t="s">
        <v>12784</v>
      </c>
    </row>
    <row r="13235" spans="5:5" x14ac:dyDescent="0.25">
      <c r="E13235" t="s">
        <v>12785</v>
      </c>
    </row>
    <row r="13236" spans="5:5" x14ac:dyDescent="0.25">
      <c r="E13236" t="s">
        <v>12786</v>
      </c>
    </row>
    <row r="13237" spans="5:5" x14ac:dyDescent="0.25">
      <c r="E13237" t="s">
        <v>12787</v>
      </c>
    </row>
    <row r="13238" spans="5:5" x14ac:dyDescent="0.25">
      <c r="E13238" t="s">
        <v>12788</v>
      </c>
    </row>
    <row r="13239" spans="5:5" x14ac:dyDescent="0.25">
      <c r="E13239" t="s">
        <v>12789</v>
      </c>
    </row>
    <row r="13240" spans="5:5" x14ac:dyDescent="0.25">
      <c r="E13240" t="s">
        <v>12790</v>
      </c>
    </row>
    <row r="13241" spans="5:5" x14ac:dyDescent="0.25">
      <c r="E13241" t="s">
        <v>12791</v>
      </c>
    </row>
    <row r="13242" spans="5:5" x14ac:dyDescent="0.25">
      <c r="E13242" t="s">
        <v>12792</v>
      </c>
    </row>
    <row r="13243" spans="5:5" x14ac:dyDescent="0.25">
      <c r="E13243" t="s">
        <v>12793</v>
      </c>
    </row>
    <row r="13244" spans="5:5" x14ac:dyDescent="0.25">
      <c r="E13244" t="s">
        <v>12794</v>
      </c>
    </row>
    <row r="13245" spans="5:5" x14ac:dyDescent="0.25">
      <c r="E13245" t="s">
        <v>12795</v>
      </c>
    </row>
    <row r="13246" spans="5:5" x14ac:dyDescent="0.25">
      <c r="E13246" t="s">
        <v>12796</v>
      </c>
    </row>
    <row r="13247" spans="5:5" x14ac:dyDescent="0.25">
      <c r="E13247" t="s">
        <v>12797</v>
      </c>
    </row>
    <row r="13248" spans="5:5" x14ac:dyDescent="0.25">
      <c r="E13248" t="s">
        <v>12798</v>
      </c>
    </row>
    <row r="13249" spans="5:5" x14ac:dyDescent="0.25">
      <c r="E13249" t="s">
        <v>12799</v>
      </c>
    </row>
    <row r="13250" spans="5:5" x14ac:dyDescent="0.25">
      <c r="E13250" t="s">
        <v>12800</v>
      </c>
    </row>
    <row r="13251" spans="5:5" x14ac:dyDescent="0.25">
      <c r="E13251" t="s">
        <v>12801</v>
      </c>
    </row>
    <row r="13252" spans="5:5" x14ac:dyDescent="0.25">
      <c r="E13252" t="s">
        <v>12802</v>
      </c>
    </row>
    <row r="13253" spans="5:5" x14ac:dyDescent="0.25">
      <c r="E13253" t="s">
        <v>12803</v>
      </c>
    </row>
    <row r="13254" spans="5:5" x14ac:dyDescent="0.25">
      <c r="E13254" t="s">
        <v>12804</v>
      </c>
    </row>
    <row r="13255" spans="5:5" x14ac:dyDescent="0.25">
      <c r="E13255" t="s">
        <v>12805</v>
      </c>
    </row>
    <row r="13256" spans="5:5" x14ac:dyDescent="0.25">
      <c r="E13256" t="s">
        <v>12806</v>
      </c>
    </row>
    <row r="13257" spans="5:5" x14ac:dyDescent="0.25">
      <c r="E13257" t="s">
        <v>12807</v>
      </c>
    </row>
    <row r="13258" spans="5:5" x14ac:dyDescent="0.25">
      <c r="E13258" t="s">
        <v>12808</v>
      </c>
    </row>
    <row r="13259" spans="5:5" x14ac:dyDescent="0.25">
      <c r="E13259" t="s">
        <v>12809</v>
      </c>
    </row>
    <row r="13260" spans="5:5" x14ac:dyDescent="0.25">
      <c r="E13260" t="s">
        <v>12810</v>
      </c>
    </row>
    <row r="13261" spans="5:5" x14ac:dyDescent="0.25">
      <c r="E13261" t="s">
        <v>12811</v>
      </c>
    </row>
    <row r="13262" spans="5:5" x14ac:dyDescent="0.25">
      <c r="E13262" t="s">
        <v>12812</v>
      </c>
    </row>
    <row r="13263" spans="5:5" x14ac:dyDescent="0.25">
      <c r="E13263" t="s">
        <v>12813</v>
      </c>
    </row>
    <row r="13264" spans="5:5" x14ac:dyDescent="0.25">
      <c r="E13264" t="s">
        <v>12814</v>
      </c>
    </row>
    <row r="13265" spans="5:5" x14ac:dyDescent="0.25">
      <c r="E13265" t="s">
        <v>12815</v>
      </c>
    </row>
    <row r="13266" spans="5:5" x14ac:dyDescent="0.25">
      <c r="E13266" t="s">
        <v>12816</v>
      </c>
    </row>
    <row r="13267" spans="5:5" x14ac:dyDescent="0.25">
      <c r="E13267" t="s">
        <v>12817</v>
      </c>
    </row>
    <row r="13268" spans="5:5" x14ac:dyDescent="0.25">
      <c r="E13268" t="s">
        <v>12818</v>
      </c>
    </row>
    <row r="13269" spans="5:5" x14ac:dyDescent="0.25">
      <c r="E13269" t="s">
        <v>12819</v>
      </c>
    </row>
    <row r="13270" spans="5:5" x14ac:dyDescent="0.25">
      <c r="E13270" t="s">
        <v>12820</v>
      </c>
    </row>
    <row r="13271" spans="5:5" x14ac:dyDescent="0.25">
      <c r="E13271" t="s">
        <v>12821</v>
      </c>
    </row>
    <row r="13272" spans="5:5" x14ac:dyDescent="0.25">
      <c r="E13272" t="s">
        <v>12822</v>
      </c>
    </row>
    <row r="13273" spans="5:5" x14ac:dyDescent="0.25">
      <c r="E13273" t="s">
        <v>12823</v>
      </c>
    </row>
    <row r="13274" spans="5:5" x14ac:dyDescent="0.25">
      <c r="E13274" t="s">
        <v>12824</v>
      </c>
    </row>
    <row r="13275" spans="5:5" x14ac:dyDescent="0.25">
      <c r="E13275" t="s">
        <v>12825</v>
      </c>
    </row>
    <row r="13276" spans="5:5" x14ac:dyDescent="0.25">
      <c r="E13276" t="s">
        <v>12826</v>
      </c>
    </row>
    <row r="13277" spans="5:5" x14ac:dyDescent="0.25">
      <c r="E13277" t="s">
        <v>12827</v>
      </c>
    </row>
    <row r="13278" spans="5:5" x14ac:dyDescent="0.25">
      <c r="E13278" t="s">
        <v>12828</v>
      </c>
    </row>
    <row r="13279" spans="5:5" x14ac:dyDescent="0.25">
      <c r="E13279" t="s">
        <v>12829</v>
      </c>
    </row>
    <row r="13280" spans="5:5" x14ac:dyDescent="0.25">
      <c r="E13280" t="s">
        <v>12830</v>
      </c>
    </row>
    <row r="13281" spans="5:5" x14ac:dyDescent="0.25">
      <c r="E13281" t="s">
        <v>12831</v>
      </c>
    </row>
    <row r="13282" spans="5:5" x14ac:dyDescent="0.25">
      <c r="E13282" t="s">
        <v>12832</v>
      </c>
    </row>
    <row r="13283" spans="5:5" x14ac:dyDescent="0.25">
      <c r="E13283" t="s">
        <v>12833</v>
      </c>
    </row>
    <row r="13284" spans="5:5" x14ac:dyDescent="0.25">
      <c r="E13284" t="s">
        <v>12834</v>
      </c>
    </row>
    <row r="13285" spans="5:5" x14ac:dyDescent="0.25">
      <c r="E13285" t="s">
        <v>12835</v>
      </c>
    </row>
    <row r="13286" spans="5:5" x14ac:dyDescent="0.25">
      <c r="E13286" t="s">
        <v>12836</v>
      </c>
    </row>
    <row r="13287" spans="5:5" x14ac:dyDescent="0.25">
      <c r="E13287" t="s">
        <v>12837</v>
      </c>
    </row>
    <row r="13288" spans="5:5" x14ac:dyDescent="0.25">
      <c r="E13288" t="s">
        <v>12838</v>
      </c>
    </row>
    <row r="13289" spans="5:5" x14ac:dyDescent="0.25">
      <c r="E13289" t="s">
        <v>12839</v>
      </c>
    </row>
    <row r="13290" spans="5:5" x14ac:dyDescent="0.25">
      <c r="E13290" t="s">
        <v>12840</v>
      </c>
    </row>
    <row r="13291" spans="5:5" x14ac:dyDescent="0.25">
      <c r="E13291" t="s">
        <v>12841</v>
      </c>
    </row>
    <row r="13292" spans="5:5" x14ac:dyDescent="0.25">
      <c r="E13292" t="s">
        <v>12842</v>
      </c>
    </row>
    <row r="13293" spans="5:5" x14ac:dyDescent="0.25">
      <c r="E13293" t="s">
        <v>12843</v>
      </c>
    </row>
    <row r="13294" spans="5:5" x14ac:dyDescent="0.25">
      <c r="E13294" t="s">
        <v>12844</v>
      </c>
    </row>
    <row r="13295" spans="5:5" x14ac:dyDescent="0.25">
      <c r="E13295" t="s">
        <v>12845</v>
      </c>
    </row>
    <row r="13296" spans="5:5" x14ac:dyDescent="0.25">
      <c r="E13296" t="s">
        <v>12846</v>
      </c>
    </row>
    <row r="13297" spans="5:5" x14ac:dyDescent="0.25">
      <c r="E13297" t="s">
        <v>12847</v>
      </c>
    </row>
    <row r="13298" spans="5:5" x14ac:dyDescent="0.25">
      <c r="E13298" t="s">
        <v>12848</v>
      </c>
    </row>
    <row r="13299" spans="5:5" x14ac:dyDescent="0.25">
      <c r="E13299" t="s">
        <v>12849</v>
      </c>
    </row>
    <row r="13300" spans="5:5" x14ac:dyDescent="0.25">
      <c r="E13300" t="s">
        <v>12850</v>
      </c>
    </row>
    <row r="13301" spans="5:5" x14ac:dyDescent="0.25">
      <c r="E13301" t="s">
        <v>12851</v>
      </c>
    </row>
    <row r="13302" spans="5:5" x14ac:dyDescent="0.25">
      <c r="E13302" t="s">
        <v>12852</v>
      </c>
    </row>
    <row r="13303" spans="5:5" x14ac:dyDescent="0.25">
      <c r="E13303" t="s">
        <v>12853</v>
      </c>
    </row>
    <row r="13304" spans="5:5" x14ac:dyDescent="0.25">
      <c r="E13304" t="s">
        <v>12854</v>
      </c>
    </row>
    <row r="13305" spans="5:5" x14ac:dyDescent="0.25">
      <c r="E13305" t="s">
        <v>12855</v>
      </c>
    </row>
    <row r="13306" spans="5:5" x14ac:dyDescent="0.25">
      <c r="E13306" t="s">
        <v>12856</v>
      </c>
    </row>
    <row r="13307" spans="5:5" x14ac:dyDescent="0.25">
      <c r="E13307" t="s">
        <v>12857</v>
      </c>
    </row>
    <row r="13308" spans="5:5" x14ac:dyDescent="0.25">
      <c r="E13308" t="s">
        <v>12858</v>
      </c>
    </row>
    <row r="13309" spans="5:5" x14ac:dyDescent="0.25">
      <c r="E13309" t="s">
        <v>12859</v>
      </c>
    </row>
    <row r="13310" spans="5:5" x14ac:dyDescent="0.25">
      <c r="E13310" t="s">
        <v>12860</v>
      </c>
    </row>
    <row r="13311" spans="5:5" x14ac:dyDescent="0.25">
      <c r="E13311" t="s">
        <v>12861</v>
      </c>
    </row>
    <row r="13312" spans="5:5" x14ac:dyDescent="0.25">
      <c r="E13312" t="s">
        <v>12862</v>
      </c>
    </row>
    <row r="13313" spans="5:5" x14ac:dyDescent="0.25">
      <c r="E13313" t="s">
        <v>12863</v>
      </c>
    </row>
    <row r="13314" spans="5:5" x14ac:dyDescent="0.25">
      <c r="E13314" t="s">
        <v>12864</v>
      </c>
    </row>
    <row r="13315" spans="5:5" x14ac:dyDescent="0.25">
      <c r="E13315" t="s">
        <v>12865</v>
      </c>
    </row>
    <row r="13316" spans="5:5" x14ac:dyDescent="0.25">
      <c r="E13316" t="s">
        <v>12866</v>
      </c>
    </row>
    <row r="13317" spans="5:5" x14ac:dyDescent="0.25">
      <c r="E13317" t="s">
        <v>12867</v>
      </c>
    </row>
    <row r="13318" spans="5:5" x14ac:dyDescent="0.25">
      <c r="E13318" t="s">
        <v>12868</v>
      </c>
    </row>
    <row r="13319" spans="5:5" x14ac:dyDescent="0.25">
      <c r="E13319" t="s">
        <v>12869</v>
      </c>
    </row>
    <row r="13320" spans="5:5" x14ac:dyDescent="0.25">
      <c r="E13320" t="s">
        <v>12870</v>
      </c>
    </row>
    <row r="13321" spans="5:5" x14ac:dyDescent="0.25">
      <c r="E13321" t="s">
        <v>12871</v>
      </c>
    </row>
    <row r="13322" spans="5:5" x14ac:dyDescent="0.25">
      <c r="E13322" t="s">
        <v>12872</v>
      </c>
    </row>
    <row r="13323" spans="5:5" x14ac:dyDescent="0.25">
      <c r="E13323" t="s">
        <v>12873</v>
      </c>
    </row>
    <row r="13324" spans="5:5" x14ac:dyDescent="0.25">
      <c r="E13324" t="s">
        <v>12874</v>
      </c>
    </row>
    <row r="13325" spans="5:5" x14ac:dyDescent="0.25">
      <c r="E13325" t="s">
        <v>12875</v>
      </c>
    </row>
    <row r="13326" spans="5:5" x14ac:dyDescent="0.25">
      <c r="E13326" t="s">
        <v>12876</v>
      </c>
    </row>
    <row r="13327" spans="5:5" x14ac:dyDescent="0.25">
      <c r="E13327" t="s">
        <v>12877</v>
      </c>
    </row>
    <row r="13328" spans="5:5" x14ac:dyDescent="0.25">
      <c r="E13328" t="s">
        <v>12878</v>
      </c>
    </row>
    <row r="13329" spans="5:5" x14ac:dyDescent="0.25">
      <c r="E13329" t="s">
        <v>12879</v>
      </c>
    </row>
    <row r="13330" spans="5:5" x14ac:dyDescent="0.25">
      <c r="E13330" t="s">
        <v>12880</v>
      </c>
    </row>
    <row r="13331" spans="5:5" x14ac:dyDescent="0.25">
      <c r="E13331" t="s">
        <v>12881</v>
      </c>
    </row>
    <row r="13332" spans="5:5" x14ac:dyDescent="0.25">
      <c r="E13332" t="s">
        <v>12882</v>
      </c>
    </row>
    <row r="13333" spans="5:5" x14ac:dyDescent="0.25">
      <c r="E13333" t="s">
        <v>12883</v>
      </c>
    </row>
    <row r="13334" spans="5:5" x14ac:dyDescent="0.25">
      <c r="E13334" t="s">
        <v>12884</v>
      </c>
    </row>
    <row r="13335" spans="5:5" x14ac:dyDescent="0.25">
      <c r="E13335" t="s">
        <v>12885</v>
      </c>
    </row>
    <row r="13336" spans="5:5" x14ac:dyDescent="0.25">
      <c r="E13336" t="s">
        <v>12886</v>
      </c>
    </row>
    <row r="13337" spans="5:5" x14ac:dyDescent="0.25">
      <c r="E13337" t="s">
        <v>12887</v>
      </c>
    </row>
    <row r="13338" spans="5:5" x14ac:dyDescent="0.25">
      <c r="E13338" t="s">
        <v>12888</v>
      </c>
    </row>
    <row r="13339" spans="5:5" x14ac:dyDescent="0.25">
      <c r="E13339" t="s">
        <v>12889</v>
      </c>
    </row>
    <row r="13340" spans="5:5" x14ac:dyDescent="0.25">
      <c r="E13340" t="s">
        <v>12890</v>
      </c>
    </row>
    <row r="13341" spans="5:5" x14ac:dyDescent="0.25">
      <c r="E13341" t="s">
        <v>12891</v>
      </c>
    </row>
    <row r="13342" spans="5:5" x14ac:dyDescent="0.25">
      <c r="E13342" t="s">
        <v>12892</v>
      </c>
    </row>
    <row r="13343" spans="5:5" x14ac:dyDescent="0.25">
      <c r="E13343" t="s">
        <v>12893</v>
      </c>
    </row>
    <row r="13344" spans="5:5" x14ac:dyDescent="0.25">
      <c r="E13344" t="s">
        <v>12894</v>
      </c>
    </row>
    <row r="13345" spans="5:5" x14ac:dyDescent="0.25">
      <c r="E13345" t="s">
        <v>12895</v>
      </c>
    </row>
    <row r="13346" spans="5:5" x14ac:dyDescent="0.25">
      <c r="E13346" t="s">
        <v>12896</v>
      </c>
    </row>
    <row r="13347" spans="5:5" x14ac:dyDescent="0.25">
      <c r="E13347" t="s">
        <v>12897</v>
      </c>
    </row>
    <row r="13348" spans="5:5" x14ac:dyDescent="0.25">
      <c r="E13348" t="s">
        <v>12898</v>
      </c>
    </row>
    <row r="13349" spans="5:5" x14ac:dyDescent="0.25">
      <c r="E13349" t="s">
        <v>12899</v>
      </c>
    </row>
    <row r="13350" spans="5:5" x14ac:dyDescent="0.25">
      <c r="E13350" t="s">
        <v>12900</v>
      </c>
    </row>
    <row r="13351" spans="5:5" x14ac:dyDescent="0.25">
      <c r="E13351" t="s">
        <v>12901</v>
      </c>
    </row>
    <row r="13352" spans="5:5" x14ac:dyDescent="0.25">
      <c r="E13352" t="s">
        <v>12902</v>
      </c>
    </row>
    <row r="13353" spans="5:5" x14ac:dyDescent="0.25">
      <c r="E13353" t="s">
        <v>12903</v>
      </c>
    </row>
    <row r="13354" spans="5:5" x14ac:dyDescent="0.25">
      <c r="E13354" t="s">
        <v>12904</v>
      </c>
    </row>
    <row r="13355" spans="5:5" x14ac:dyDescent="0.25">
      <c r="E13355" t="s">
        <v>12905</v>
      </c>
    </row>
    <row r="13356" spans="5:5" x14ac:dyDescent="0.25">
      <c r="E13356" t="s">
        <v>12906</v>
      </c>
    </row>
    <row r="13357" spans="5:5" x14ac:dyDescent="0.25">
      <c r="E13357" t="s">
        <v>12907</v>
      </c>
    </row>
    <row r="13358" spans="5:5" x14ac:dyDescent="0.25">
      <c r="E13358" t="s">
        <v>12908</v>
      </c>
    </row>
    <row r="13359" spans="5:5" x14ac:dyDescent="0.25">
      <c r="E13359" t="s">
        <v>12909</v>
      </c>
    </row>
    <row r="13360" spans="5:5" x14ac:dyDescent="0.25">
      <c r="E13360" t="s">
        <v>12910</v>
      </c>
    </row>
    <row r="13361" spans="5:5" x14ac:dyDescent="0.25">
      <c r="E13361" t="s">
        <v>12911</v>
      </c>
    </row>
    <row r="13362" spans="5:5" x14ac:dyDescent="0.25">
      <c r="E13362" t="s">
        <v>12912</v>
      </c>
    </row>
    <row r="13363" spans="5:5" x14ac:dyDescent="0.25">
      <c r="E13363" t="s">
        <v>12913</v>
      </c>
    </row>
    <row r="13364" spans="5:5" x14ac:dyDescent="0.25">
      <c r="E13364" t="s">
        <v>12914</v>
      </c>
    </row>
    <row r="13365" spans="5:5" x14ac:dyDescent="0.25">
      <c r="E13365" t="s">
        <v>12915</v>
      </c>
    </row>
    <row r="13366" spans="5:5" x14ac:dyDescent="0.25">
      <c r="E13366" t="s">
        <v>12916</v>
      </c>
    </row>
    <row r="13367" spans="5:5" x14ac:dyDescent="0.25">
      <c r="E13367" t="s">
        <v>12917</v>
      </c>
    </row>
    <row r="13368" spans="5:5" x14ac:dyDescent="0.25">
      <c r="E13368" t="s">
        <v>12918</v>
      </c>
    </row>
    <row r="13369" spans="5:5" x14ac:dyDescent="0.25">
      <c r="E13369" t="s">
        <v>12919</v>
      </c>
    </row>
    <row r="13370" spans="5:5" x14ac:dyDescent="0.25">
      <c r="E13370" t="s">
        <v>12920</v>
      </c>
    </row>
    <row r="13371" spans="5:5" x14ac:dyDescent="0.25">
      <c r="E13371" t="s">
        <v>12921</v>
      </c>
    </row>
    <row r="13372" spans="5:5" x14ac:dyDescent="0.25">
      <c r="E13372" t="s">
        <v>12922</v>
      </c>
    </row>
    <row r="13373" spans="5:5" x14ac:dyDescent="0.25">
      <c r="E13373" t="s">
        <v>12923</v>
      </c>
    </row>
    <row r="13374" spans="5:5" x14ac:dyDescent="0.25">
      <c r="E13374" t="s">
        <v>12924</v>
      </c>
    </row>
    <row r="13375" spans="5:5" x14ac:dyDescent="0.25">
      <c r="E13375" t="s">
        <v>12925</v>
      </c>
    </row>
    <row r="13376" spans="5:5" x14ac:dyDescent="0.25">
      <c r="E13376" t="s">
        <v>12926</v>
      </c>
    </row>
    <row r="13377" spans="5:5" x14ac:dyDescent="0.25">
      <c r="E13377" t="s">
        <v>12927</v>
      </c>
    </row>
    <row r="13378" spans="5:5" x14ac:dyDescent="0.25">
      <c r="E13378" t="s">
        <v>12928</v>
      </c>
    </row>
    <row r="13379" spans="5:5" x14ac:dyDescent="0.25">
      <c r="E13379" t="s">
        <v>12929</v>
      </c>
    </row>
    <row r="13380" spans="5:5" x14ac:dyDescent="0.25">
      <c r="E13380" t="s">
        <v>12930</v>
      </c>
    </row>
    <row r="13381" spans="5:5" x14ac:dyDescent="0.25">
      <c r="E13381" t="s">
        <v>12931</v>
      </c>
    </row>
    <row r="13382" spans="5:5" x14ac:dyDescent="0.25">
      <c r="E13382" t="s">
        <v>12932</v>
      </c>
    </row>
    <row r="13383" spans="5:5" x14ac:dyDescent="0.25">
      <c r="E13383" t="s">
        <v>12933</v>
      </c>
    </row>
    <row r="13384" spans="5:5" x14ac:dyDescent="0.25">
      <c r="E13384" t="s">
        <v>12934</v>
      </c>
    </row>
    <row r="13385" spans="5:5" x14ac:dyDescent="0.25">
      <c r="E13385" t="s">
        <v>12935</v>
      </c>
    </row>
    <row r="13386" spans="5:5" x14ac:dyDescent="0.25">
      <c r="E13386" t="s">
        <v>12936</v>
      </c>
    </row>
    <row r="13387" spans="5:5" x14ac:dyDescent="0.25">
      <c r="E13387" t="s">
        <v>12937</v>
      </c>
    </row>
    <row r="13388" spans="5:5" x14ac:dyDescent="0.25">
      <c r="E13388" t="s">
        <v>12938</v>
      </c>
    </row>
    <row r="13389" spans="5:5" x14ac:dyDescent="0.25">
      <c r="E13389" t="s">
        <v>12939</v>
      </c>
    </row>
    <row r="13390" spans="5:5" x14ac:dyDescent="0.25">
      <c r="E13390" t="s">
        <v>12940</v>
      </c>
    </row>
    <row r="13391" spans="5:5" x14ac:dyDescent="0.25">
      <c r="E13391" t="s">
        <v>12941</v>
      </c>
    </row>
    <row r="13392" spans="5:5" x14ac:dyDescent="0.25">
      <c r="E13392" t="s">
        <v>12942</v>
      </c>
    </row>
    <row r="13393" spans="5:5" x14ac:dyDescent="0.25">
      <c r="E13393" t="s">
        <v>12943</v>
      </c>
    </row>
    <row r="13394" spans="5:5" x14ac:dyDescent="0.25">
      <c r="E13394" t="s">
        <v>12944</v>
      </c>
    </row>
    <row r="13395" spans="5:5" x14ac:dyDescent="0.25">
      <c r="E13395" t="s">
        <v>12945</v>
      </c>
    </row>
    <row r="13396" spans="5:5" x14ac:dyDescent="0.25">
      <c r="E13396" t="s">
        <v>12946</v>
      </c>
    </row>
    <row r="13397" spans="5:5" x14ac:dyDescent="0.25">
      <c r="E13397" t="s">
        <v>12947</v>
      </c>
    </row>
    <row r="13398" spans="5:5" x14ac:dyDescent="0.25">
      <c r="E13398" t="s">
        <v>12948</v>
      </c>
    </row>
    <row r="13399" spans="5:5" x14ac:dyDescent="0.25">
      <c r="E13399" t="s">
        <v>12949</v>
      </c>
    </row>
    <row r="13400" spans="5:5" x14ac:dyDescent="0.25">
      <c r="E13400" t="s">
        <v>12950</v>
      </c>
    </row>
    <row r="13401" spans="5:5" x14ac:dyDescent="0.25">
      <c r="E13401" t="s">
        <v>12951</v>
      </c>
    </row>
    <row r="13402" spans="5:5" x14ac:dyDescent="0.25">
      <c r="E13402" t="s">
        <v>12952</v>
      </c>
    </row>
    <row r="13403" spans="5:5" x14ac:dyDescent="0.25">
      <c r="E13403" t="s">
        <v>12953</v>
      </c>
    </row>
    <row r="13404" spans="5:5" x14ac:dyDescent="0.25">
      <c r="E13404" t="s">
        <v>12954</v>
      </c>
    </row>
    <row r="13405" spans="5:5" x14ac:dyDescent="0.25">
      <c r="E13405" t="s">
        <v>12955</v>
      </c>
    </row>
    <row r="13406" spans="5:5" x14ac:dyDescent="0.25">
      <c r="E13406" t="s">
        <v>12956</v>
      </c>
    </row>
    <row r="13407" spans="5:5" x14ac:dyDescent="0.25">
      <c r="E13407" t="s">
        <v>12957</v>
      </c>
    </row>
    <row r="13408" spans="5:5" x14ac:dyDescent="0.25">
      <c r="E13408" t="s">
        <v>12958</v>
      </c>
    </row>
    <row r="13409" spans="5:5" x14ac:dyDescent="0.25">
      <c r="E13409" t="s">
        <v>12959</v>
      </c>
    </row>
    <row r="13410" spans="5:5" x14ac:dyDescent="0.25">
      <c r="E13410" t="s">
        <v>12960</v>
      </c>
    </row>
    <row r="13411" spans="5:5" x14ac:dyDescent="0.25">
      <c r="E13411" t="s">
        <v>12961</v>
      </c>
    </row>
    <row r="13412" spans="5:5" x14ac:dyDescent="0.25">
      <c r="E13412" t="s">
        <v>12962</v>
      </c>
    </row>
    <row r="13413" spans="5:5" x14ac:dyDescent="0.25">
      <c r="E13413" t="s">
        <v>12963</v>
      </c>
    </row>
    <row r="13414" spans="5:5" x14ac:dyDescent="0.25">
      <c r="E13414" t="s">
        <v>12964</v>
      </c>
    </row>
    <row r="13415" spans="5:5" x14ac:dyDescent="0.25">
      <c r="E13415" t="s">
        <v>12965</v>
      </c>
    </row>
    <row r="13416" spans="5:5" x14ac:dyDescent="0.25">
      <c r="E13416" t="s">
        <v>12966</v>
      </c>
    </row>
    <row r="13417" spans="5:5" x14ac:dyDescent="0.25">
      <c r="E13417" t="s">
        <v>12967</v>
      </c>
    </row>
    <row r="13418" spans="5:5" x14ac:dyDescent="0.25">
      <c r="E13418" t="s">
        <v>12968</v>
      </c>
    </row>
    <row r="13419" spans="5:5" x14ac:dyDescent="0.25">
      <c r="E13419" t="s">
        <v>12969</v>
      </c>
    </row>
    <row r="13420" spans="5:5" x14ac:dyDescent="0.25">
      <c r="E13420" t="s">
        <v>12970</v>
      </c>
    </row>
    <row r="13421" spans="5:5" x14ac:dyDescent="0.25">
      <c r="E13421" t="s">
        <v>12971</v>
      </c>
    </row>
    <row r="13422" spans="5:5" x14ac:dyDescent="0.25">
      <c r="E13422" t="s">
        <v>12972</v>
      </c>
    </row>
    <row r="13423" spans="5:5" x14ac:dyDescent="0.25">
      <c r="E13423" t="s">
        <v>12973</v>
      </c>
    </row>
    <row r="13424" spans="5:5" x14ac:dyDescent="0.25">
      <c r="E13424" t="s">
        <v>12974</v>
      </c>
    </row>
    <row r="13425" spans="5:5" x14ac:dyDescent="0.25">
      <c r="E13425" t="s">
        <v>12975</v>
      </c>
    </row>
    <row r="13426" spans="5:5" x14ac:dyDescent="0.25">
      <c r="E13426" t="s">
        <v>12976</v>
      </c>
    </row>
    <row r="13427" spans="5:5" x14ac:dyDescent="0.25">
      <c r="E13427" t="s">
        <v>12977</v>
      </c>
    </row>
    <row r="13428" spans="5:5" x14ac:dyDescent="0.25">
      <c r="E13428" t="s">
        <v>12978</v>
      </c>
    </row>
    <row r="13429" spans="5:5" x14ac:dyDescent="0.25">
      <c r="E13429" t="s">
        <v>12979</v>
      </c>
    </row>
    <row r="13430" spans="5:5" x14ac:dyDescent="0.25">
      <c r="E13430" t="s">
        <v>12980</v>
      </c>
    </row>
    <row r="13431" spans="5:5" x14ac:dyDescent="0.25">
      <c r="E13431" t="s">
        <v>12981</v>
      </c>
    </row>
    <row r="13432" spans="5:5" x14ac:dyDescent="0.25">
      <c r="E13432" t="s">
        <v>12982</v>
      </c>
    </row>
    <row r="13433" spans="5:5" x14ac:dyDescent="0.25">
      <c r="E13433" t="s">
        <v>12983</v>
      </c>
    </row>
    <row r="13434" spans="5:5" x14ac:dyDescent="0.25">
      <c r="E13434" t="s">
        <v>12984</v>
      </c>
    </row>
    <row r="13435" spans="5:5" x14ac:dyDescent="0.25">
      <c r="E13435" t="s">
        <v>12985</v>
      </c>
    </row>
    <row r="13436" spans="5:5" x14ac:dyDescent="0.25">
      <c r="E13436" t="s">
        <v>12986</v>
      </c>
    </row>
    <row r="13437" spans="5:5" x14ac:dyDescent="0.25">
      <c r="E13437" t="s">
        <v>12987</v>
      </c>
    </row>
    <row r="13438" spans="5:5" x14ac:dyDescent="0.25">
      <c r="E13438" t="s">
        <v>12988</v>
      </c>
    </row>
    <row r="13439" spans="5:5" x14ac:dyDescent="0.25">
      <c r="E13439" t="s">
        <v>12989</v>
      </c>
    </row>
    <row r="13440" spans="5:5" x14ac:dyDescent="0.25">
      <c r="E13440" t="s">
        <v>12990</v>
      </c>
    </row>
    <row r="13441" spans="5:5" x14ac:dyDescent="0.25">
      <c r="E13441" t="s">
        <v>12991</v>
      </c>
    </row>
    <row r="13442" spans="5:5" x14ac:dyDescent="0.25">
      <c r="E13442" t="s">
        <v>12992</v>
      </c>
    </row>
    <row r="13443" spans="5:5" x14ac:dyDescent="0.25">
      <c r="E13443" t="s">
        <v>12993</v>
      </c>
    </row>
    <row r="13444" spans="5:5" x14ac:dyDescent="0.25">
      <c r="E13444" t="s">
        <v>12994</v>
      </c>
    </row>
    <row r="13445" spans="5:5" x14ac:dyDescent="0.25">
      <c r="E13445" t="s">
        <v>12995</v>
      </c>
    </row>
    <row r="13446" spans="5:5" x14ac:dyDescent="0.25">
      <c r="E13446" t="s">
        <v>12996</v>
      </c>
    </row>
    <row r="13447" spans="5:5" x14ac:dyDescent="0.25">
      <c r="E13447" t="s">
        <v>12997</v>
      </c>
    </row>
    <row r="13448" spans="5:5" x14ac:dyDescent="0.25">
      <c r="E13448" t="s">
        <v>12998</v>
      </c>
    </row>
    <row r="13449" spans="5:5" x14ac:dyDescent="0.25">
      <c r="E13449" t="s">
        <v>12999</v>
      </c>
    </row>
    <row r="13450" spans="5:5" x14ac:dyDescent="0.25">
      <c r="E13450" t="s">
        <v>13000</v>
      </c>
    </row>
    <row r="13451" spans="5:5" x14ac:dyDescent="0.25">
      <c r="E13451" t="s">
        <v>13001</v>
      </c>
    </row>
    <row r="13452" spans="5:5" x14ac:dyDescent="0.25">
      <c r="E13452" t="s">
        <v>13002</v>
      </c>
    </row>
    <row r="13453" spans="5:5" x14ac:dyDescent="0.25">
      <c r="E13453" t="s">
        <v>13003</v>
      </c>
    </row>
    <row r="13454" spans="5:5" x14ac:dyDescent="0.25">
      <c r="E13454" t="s">
        <v>13004</v>
      </c>
    </row>
    <row r="13455" spans="5:5" x14ac:dyDescent="0.25">
      <c r="E13455" t="s">
        <v>13005</v>
      </c>
    </row>
    <row r="13456" spans="5:5" x14ac:dyDescent="0.25">
      <c r="E13456" t="s">
        <v>13006</v>
      </c>
    </row>
    <row r="13457" spans="5:5" x14ac:dyDescent="0.25">
      <c r="E13457" t="s">
        <v>13007</v>
      </c>
    </row>
    <row r="13458" spans="5:5" x14ac:dyDescent="0.25">
      <c r="E13458" t="s">
        <v>13008</v>
      </c>
    </row>
    <row r="13459" spans="5:5" x14ac:dyDescent="0.25">
      <c r="E13459" t="s">
        <v>13009</v>
      </c>
    </row>
    <row r="13460" spans="5:5" x14ac:dyDescent="0.25">
      <c r="E13460" t="s">
        <v>13010</v>
      </c>
    </row>
    <row r="13461" spans="5:5" x14ac:dyDescent="0.25">
      <c r="E13461" t="s">
        <v>13011</v>
      </c>
    </row>
    <row r="13462" spans="5:5" x14ac:dyDescent="0.25">
      <c r="E13462" t="s">
        <v>13012</v>
      </c>
    </row>
    <row r="13463" spans="5:5" x14ac:dyDescent="0.25">
      <c r="E13463" t="s">
        <v>13013</v>
      </c>
    </row>
    <row r="13464" spans="5:5" x14ac:dyDescent="0.25">
      <c r="E13464" t="s">
        <v>13014</v>
      </c>
    </row>
    <row r="13465" spans="5:5" x14ac:dyDescent="0.25">
      <c r="E13465" t="s">
        <v>13015</v>
      </c>
    </row>
    <row r="13466" spans="5:5" x14ac:dyDescent="0.25">
      <c r="E13466" t="s">
        <v>13016</v>
      </c>
    </row>
    <row r="13467" spans="5:5" x14ac:dyDescent="0.25">
      <c r="E13467" t="s">
        <v>13017</v>
      </c>
    </row>
    <row r="13468" spans="5:5" x14ac:dyDescent="0.25">
      <c r="E13468" t="s">
        <v>13018</v>
      </c>
    </row>
    <row r="13469" spans="5:5" x14ac:dyDescent="0.25">
      <c r="E13469" t="s">
        <v>13019</v>
      </c>
    </row>
    <row r="13470" spans="5:5" x14ac:dyDescent="0.25">
      <c r="E13470" t="s">
        <v>13020</v>
      </c>
    </row>
    <row r="13471" spans="5:5" x14ac:dyDescent="0.25">
      <c r="E13471" t="s">
        <v>13021</v>
      </c>
    </row>
    <row r="13472" spans="5:5" x14ac:dyDescent="0.25">
      <c r="E13472" t="s">
        <v>13022</v>
      </c>
    </row>
    <row r="13473" spans="5:5" x14ac:dyDescent="0.25">
      <c r="E13473" t="s">
        <v>13023</v>
      </c>
    </row>
    <row r="13474" spans="5:5" x14ac:dyDescent="0.25">
      <c r="E13474" t="s">
        <v>13024</v>
      </c>
    </row>
    <row r="13475" spans="5:5" x14ac:dyDescent="0.25">
      <c r="E13475" t="s">
        <v>13025</v>
      </c>
    </row>
    <row r="13476" spans="5:5" x14ac:dyDescent="0.25">
      <c r="E13476" t="s">
        <v>13026</v>
      </c>
    </row>
    <row r="13477" spans="5:5" x14ac:dyDescent="0.25">
      <c r="E13477" t="s">
        <v>13027</v>
      </c>
    </row>
    <row r="13478" spans="5:5" x14ac:dyDescent="0.25">
      <c r="E13478" t="s">
        <v>13028</v>
      </c>
    </row>
    <row r="13479" spans="5:5" x14ac:dyDescent="0.25">
      <c r="E13479" t="s">
        <v>13029</v>
      </c>
    </row>
    <row r="13480" spans="5:5" x14ac:dyDescent="0.25">
      <c r="E13480" t="s">
        <v>13030</v>
      </c>
    </row>
    <row r="13481" spans="5:5" x14ac:dyDescent="0.25">
      <c r="E13481" t="s">
        <v>13031</v>
      </c>
    </row>
    <row r="13482" spans="5:5" x14ac:dyDescent="0.25">
      <c r="E13482" t="s">
        <v>13032</v>
      </c>
    </row>
    <row r="13483" spans="5:5" x14ac:dyDescent="0.25">
      <c r="E13483" t="s">
        <v>13033</v>
      </c>
    </row>
    <row r="13484" spans="5:5" x14ac:dyDescent="0.25">
      <c r="E13484" t="s">
        <v>13034</v>
      </c>
    </row>
    <row r="13485" spans="5:5" x14ac:dyDescent="0.25">
      <c r="E13485" t="s">
        <v>13035</v>
      </c>
    </row>
    <row r="13486" spans="5:5" x14ac:dyDescent="0.25">
      <c r="E13486" t="s">
        <v>13036</v>
      </c>
    </row>
    <row r="13487" spans="5:5" x14ac:dyDescent="0.25">
      <c r="E13487" t="s">
        <v>13037</v>
      </c>
    </row>
    <row r="13488" spans="5:5" x14ac:dyDescent="0.25">
      <c r="E13488" t="s">
        <v>13038</v>
      </c>
    </row>
    <row r="13489" spans="5:5" x14ac:dyDescent="0.25">
      <c r="E13489" t="s">
        <v>13039</v>
      </c>
    </row>
    <row r="13490" spans="5:5" x14ac:dyDescent="0.25">
      <c r="E13490" t="s">
        <v>13040</v>
      </c>
    </row>
    <row r="13491" spans="5:5" x14ac:dyDescent="0.25">
      <c r="E13491" t="s">
        <v>13041</v>
      </c>
    </row>
    <row r="13492" spans="5:5" x14ac:dyDescent="0.25">
      <c r="E13492" t="s">
        <v>13042</v>
      </c>
    </row>
    <row r="13493" spans="5:5" x14ac:dyDescent="0.25">
      <c r="E13493" t="s">
        <v>13043</v>
      </c>
    </row>
    <row r="13494" spans="5:5" x14ac:dyDescent="0.25">
      <c r="E13494" t="s">
        <v>13044</v>
      </c>
    </row>
    <row r="13495" spans="5:5" x14ac:dyDescent="0.25">
      <c r="E13495" t="s">
        <v>13045</v>
      </c>
    </row>
    <row r="13496" spans="5:5" x14ac:dyDescent="0.25">
      <c r="E13496" t="s">
        <v>13046</v>
      </c>
    </row>
    <row r="13497" spans="5:5" x14ac:dyDescent="0.25">
      <c r="E13497" t="s">
        <v>13047</v>
      </c>
    </row>
    <row r="13498" spans="5:5" x14ac:dyDescent="0.25">
      <c r="E13498" t="s">
        <v>13048</v>
      </c>
    </row>
    <row r="13499" spans="5:5" x14ac:dyDescent="0.25">
      <c r="E13499" t="s">
        <v>13049</v>
      </c>
    </row>
    <row r="13500" spans="5:5" x14ac:dyDescent="0.25">
      <c r="E13500" t="s">
        <v>13050</v>
      </c>
    </row>
    <row r="13501" spans="5:5" x14ac:dyDescent="0.25">
      <c r="E13501" t="s">
        <v>13051</v>
      </c>
    </row>
    <row r="13502" spans="5:5" x14ac:dyDescent="0.25">
      <c r="E13502" t="s">
        <v>13052</v>
      </c>
    </row>
    <row r="13503" spans="5:5" x14ac:dyDescent="0.25">
      <c r="E13503" t="s">
        <v>13053</v>
      </c>
    </row>
    <row r="13504" spans="5:5" x14ac:dyDescent="0.25">
      <c r="E13504" t="s">
        <v>13054</v>
      </c>
    </row>
    <row r="13505" spans="5:5" x14ac:dyDescent="0.25">
      <c r="E13505" t="s">
        <v>13055</v>
      </c>
    </row>
    <row r="13506" spans="5:5" x14ac:dyDescent="0.25">
      <c r="E13506" t="s">
        <v>13056</v>
      </c>
    </row>
    <row r="13507" spans="5:5" x14ac:dyDescent="0.25">
      <c r="E13507" t="s">
        <v>13057</v>
      </c>
    </row>
    <row r="13508" spans="5:5" x14ac:dyDescent="0.25">
      <c r="E13508" t="s">
        <v>13058</v>
      </c>
    </row>
    <row r="13509" spans="5:5" x14ac:dyDescent="0.25">
      <c r="E13509" t="s">
        <v>13059</v>
      </c>
    </row>
    <row r="13510" spans="5:5" x14ac:dyDescent="0.25">
      <c r="E13510" t="s">
        <v>13060</v>
      </c>
    </row>
    <row r="13511" spans="5:5" x14ac:dyDescent="0.25">
      <c r="E13511" t="s">
        <v>13061</v>
      </c>
    </row>
    <row r="13512" spans="5:5" x14ac:dyDescent="0.25">
      <c r="E13512" t="s">
        <v>13062</v>
      </c>
    </row>
    <row r="13513" spans="5:5" x14ac:dyDescent="0.25">
      <c r="E13513" t="s">
        <v>13063</v>
      </c>
    </row>
    <row r="13514" spans="5:5" x14ac:dyDescent="0.25">
      <c r="E13514" t="s">
        <v>13064</v>
      </c>
    </row>
    <row r="13515" spans="5:5" x14ac:dyDescent="0.25">
      <c r="E13515" t="s">
        <v>13065</v>
      </c>
    </row>
    <row r="13516" spans="5:5" x14ac:dyDescent="0.25">
      <c r="E13516" t="s">
        <v>13066</v>
      </c>
    </row>
    <row r="13517" spans="5:5" x14ac:dyDescent="0.25">
      <c r="E13517" t="s">
        <v>13067</v>
      </c>
    </row>
    <row r="13518" spans="5:5" x14ac:dyDescent="0.25">
      <c r="E13518" t="s">
        <v>13068</v>
      </c>
    </row>
    <row r="13519" spans="5:5" x14ac:dyDescent="0.25">
      <c r="E13519" t="s">
        <v>13069</v>
      </c>
    </row>
    <row r="13520" spans="5:5" x14ac:dyDescent="0.25">
      <c r="E13520" t="s">
        <v>13070</v>
      </c>
    </row>
    <row r="13521" spans="5:5" x14ac:dyDescent="0.25">
      <c r="E13521" t="s">
        <v>13071</v>
      </c>
    </row>
    <row r="13522" spans="5:5" x14ac:dyDescent="0.25">
      <c r="E13522" t="s">
        <v>13072</v>
      </c>
    </row>
    <row r="13523" spans="5:5" x14ac:dyDescent="0.25">
      <c r="E13523" t="s">
        <v>13073</v>
      </c>
    </row>
    <row r="13524" spans="5:5" x14ac:dyDescent="0.25">
      <c r="E13524" t="s">
        <v>13074</v>
      </c>
    </row>
    <row r="13525" spans="5:5" x14ac:dyDescent="0.25">
      <c r="E13525" t="s">
        <v>13075</v>
      </c>
    </row>
    <row r="13526" spans="5:5" x14ac:dyDescent="0.25">
      <c r="E13526" t="s">
        <v>13076</v>
      </c>
    </row>
    <row r="13527" spans="5:5" x14ac:dyDescent="0.25">
      <c r="E13527" t="s">
        <v>13077</v>
      </c>
    </row>
    <row r="13528" spans="5:5" x14ac:dyDescent="0.25">
      <c r="E13528" t="s">
        <v>13078</v>
      </c>
    </row>
    <row r="13529" spans="5:5" x14ac:dyDescent="0.25">
      <c r="E13529" t="s">
        <v>13079</v>
      </c>
    </row>
    <row r="13530" spans="5:5" x14ac:dyDescent="0.25">
      <c r="E13530" t="s">
        <v>13080</v>
      </c>
    </row>
    <row r="13531" spans="5:5" x14ac:dyDescent="0.25">
      <c r="E13531" t="s">
        <v>13081</v>
      </c>
    </row>
    <row r="13532" spans="5:5" x14ac:dyDescent="0.25">
      <c r="E13532" t="s">
        <v>13082</v>
      </c>
    </row>
    <row r="13533" spans="5:5" x14ac:dyDescent="0.25">
      <c r="E13533" t="s">
        <v>13083</v>
      </c>
    </row>
    <row r="13534" spans="5:5" x14ac:dyDescent="0.25">
      <c r="E13534" t="s">
        <v>13084</v>
      </c>
    </row>
    <row r="13535" spans="5:5" x14ac:dyDescent="0.25">
      <c r="E13535" t="s">
        <v>13085</v>
      </c>
    </row>
    <row r="13536" spans="5:5" x14ac:dyDescent="0.25">
      <c r="E13536" t="s">
        <v>13086</v>
      </c>
    </row>
    <row r="13537" spans="5:5" x14ac:dyDescent="0.25">
      <c r="E13537" t="s">
        <v>13087</v>
      </c>
    </row>
    <row r="13538" spans="5:5" x14ac:dyDescent="0.25">
      <c r="E13538" t="s">
        <v>13088</v>
      </c>
    </row>
    <row r="13539" spans="5:5" x14ac:dyDescent="0.25">
      <c r="E13539" t="s">
        <v>13089</v>
      </c>
    </row>
    <row r="13540" spans="5:5" x14ac:dyDescent="0.25">
      <c r="E13540" t="s">
        <v>13090</v>
      </c>
    </row>
    <row r="13541" spans="5:5" x14ac:dyDescent="0.25">
      <c r="E13541" t="s">
        <v>13091</v>
      </c>
    </row>
    <row r="13542" spans="5:5" x14ac:dyDescent="0.25">
      <c r="E13542" t="s">
        <v>13092</v>
      </c>
    </row>
    <row r="13543" spans="5:5" x14ac:dyDescent="0.25">
      <c r="E13543" t="s">
        <v>13093</v>
      </c>
    </row>
    <row r="13544" spans="5:5" x14ac:dyDescent="0.25">
      <c r="E13544" t="s">
        <v>13094</v>
      </c>
    </row>
    <row r="13545" spans="5:5" x14ac:dyDescent="0.25">
      <c r="E13545" t="s">
        <v>13095</v>
      </c>
    </row>
    <row r="13546" spans="5:5" x14ac:dyDescent="0.25">
      <c r="E13546" t="s">
        <v>13096</v>
      </c>
    </row>
    <row r="13547" spans="5:5" x14ac:dyDescent="0.25">
      <c r="E13547" t="s">
        <v>13097</v>
      </c>
    </row>
    <row r="13548" spans="5:5" x14ac:dyDescent="0.25">
      <c r="E13548" t="s">
        <v>13098</v>
      </c>
    </row>
    <row r="13549" spans="5:5" x14ac:dyDescent="0.25">
      <c r="E13549" t="s">
        <v>13099</v>
      </c>
    </row>
    <row r="13550" spans="5:5" x14ac:dyDescent="0.25">
      <c r="E13550" t="s">
        <v>13100</v>
      </c>
    </row>
    <row r="13551" spans="5:5" x14ac:dyDescent="0.25">
      <c r="E13551" t="s">
        <v>13101</v>
      </c>
    </row>
    <row r="13552" spans="5:5" x14ac:dyDescent="0.25">
      <c r="E13552" t="s">
        <v>13102</v>
      </c>
    </row>
    <row r="13553" spans="5:5" x14ac:dyDescent="0.25">
      <c r="E13553" t="s">
        <v>13103</v>
      </c>
    </row>
    <row r="13554" spans="5:5" x14ac:dyDescent="0.25">
      <c r="E13554" t="s">
        <v>13104</v>
      </c>
    </row>
    <row r="13555" spans="5:5" x14ac:dyDescent="0.25">
      <c r="E13555" t="s">
        <v>13105</v>
      </c>
    </row>
    <row r="13556" spans="5:5" x14ac:dyDescent="0.25">
      <c r="E13556" t="s">
        <v>13106</v>
      </c>
    </row>
    <row r="13557" spans="5:5" x14ac:dyDescent="0.25">
      <c r="E13557" t="s">
        <v>13107</v>
      </c>
    </row>
    <row r="13558" spans="5:5" x14ac:dyDescent="0.25">
      <c r="E13558" t="s">
        <v>13108</v>
      </c>
    </row>
    <row r="13559" spans="5:5" x14ac:dyDescent="0.25">
      <c r="E13559" t="s">
        <v>13109</v>
      </c>
    </row>
    <row r="13560" spans="5:5" x14ac:dyDescent="0.25">
      <c r="E13560" t="s">
        <v>13110</v>
      </c>
    </row>
    <row r="13561" spans="5:5" x14ac:dyDescent="0.25">
      <c r="E13561" t="s">
        <v>13111</v>
      </c>
    </row>
    <row r="13562" spans="5:5" x14ac:dyDescent="0.25">
      <c r="E13562" t="s">
        <v>13112</v>
      </c>
    </row>
    <row r="13563" spans="5:5" x14ac:dyDescent="0.25">
      <c r="E13563" t="s">
        <v>13113</v>
      </c>
    </row>
    <row r="13564" spans="5:5" x14ac:dyDescent="0.25">
      <c r="E13564" t="s">
        <v>13114</v>
      </c>
    </row>
    <row r="13565" spans="5:5" x14ac:dyDescent="0.25">
      <c r="E13565" t="s">
        <v>13115</v>
      </c>
    </row>
    <row r="13566" spans="5:5" x14ac:dyDescent="0.25">
      <c r="E13566" t="s">
        <v>13116</v>
      </c>
    </row>
    <row r="13567" spans="5:5" x14ac:dyDescent="0.25">
      <c r="E13567" t="s">
        <v>13117</v>
      </c>
    </row>
    <row r="13568" spans="5:5" x14ac:dyDescent="0.25">
      <c r="E13568" t="s">
        <v>13118</v>
      </c>
    </row>
    <row r="13569" spans="5:5" x14ac:dyDescent="0.25">
      <c r="E13569" t="s">
        <v>13119</v>
      </c>
    </row>
    <row r="13570" spans="5:5" x14ac:dyDescent="0.25">
      <c r="E13570" t="s">
        <v>13120</v>
      </c>
    </row>
    <row r="13571" spans="5:5" x14ac:dyDescent="0.25">
      <c r="E13571" t="s">
        <v>13121</v>
      </c>
    </row>
    <row r="13572" spans="5:5" x14ac:dyDescent="0.25">
      <c r="E13572" t="s">
        <v>13122</v>
      </c>
    </row>
    <row r="13573" spans="5:5" x14ac:dyDescent="0.25">
      <c r="E13573" t="s">
        <v>13123</v>
      </c>
    </row>
    <row r="13574" spans="5:5" x14ac:dyDescent="0.25">
      <c r="E13574" t="s">
        <v>13124</v>
      </c>
    </row>
    <row r="13575" spans="5:5" x14ac:dyDescent="0.25">
      <c r="E13575" t="s">
        <v>13125</v>
      </c>
    </row>
    <row r="13576" spans="5:5" x14ac:dyDescent="0.25">
      <c r="E13576" t="s">
        <v>13126</v>
      </c>
    </row>
    <row r="13577" spans="5:5" x14ac:dyDescent="0.25">
      <c r="E13577" t="s">
        <v>13127</v>
      </c>
    </row>
    <row r="13578" spans="5:5" x14ac:dyDescent="0.25">
      <c r="E13578" t="s">
        <v>13128</v>
      </c>
    </row>
    <row r="13579" spans="5:5" x14ac:dyDescent="0.25">
      <c r="E13579" t="s">
        <v>13129</v>
      </c>
    </row>
    <row r="13580" spans="5:5" x14ac:dyDescent="0.25">
      <c r="E13580" t="s">
        <v>13130</v>
      </c>
    </row>
    <row r="13581" spans="5:5" x14ac:dyDescent="0.25">
      <c r="E13581" t="s">
        <v>13131</v>
      </c>
    </row>
    <row r="13582" spans="5:5" x14ac:dyDescent="0.25">
      <c r="E13582" t="s">
        <v>13132</v>
      </c>
    </row>
    <row r="13583" spans="5:5" x14ac:dyDescent="0.25">
      <c r="E13583" t="s">
        <v>13133</v>
      </c>
    </row>
    <row r="13584" spans="5:5" x14ac:dyDescent="0.25">
      <c r="E13584" t="s">
        <v>13134</v>
      </c>
    </row>
    <row r="13585" spans="5:5" x14ac:dyDescent="0.25">
      <c r="E13585" t="s">
        <v>13135</v>
      </c>
    </row>
    <row r="13586" spans="5:5" x14ac:dyDescent="0.25">
      <c r="E13586" t="s">
        <v>13136</v>
      </c>
    </row>
    <row r="13587" spans="5:5" x14ac:dyDescent="0.25">
      <c r="E13587" t="s">
        <v>13137</v>
      </c>
    </row>
    <row r="13588" spans="5:5" x14ac:dyDescent="0.25">
      <c r="E13588" t="s">
        <v>13138</v>
      </c>
    </row>
    <row r="13589" spans="5:5" x14ac:dyDescent="0.25">
      <c r="E13589" t="s">
        <v>13139</v>
      </c>
    </row>
    <row r="13590" spans="5:5" x14ac:dyDescent="0.25">
      <c r="E13590" t="s">
        <v>13140</v>
      </c>
    </row>
    <row r="13591" spans="5:5" x14ac:dyDescent="0.25">
      <c r="E13591" t="s">
        <v>13141</v>
      </c>
    </row>
    <row r="13592" spans="5:5" x14ac:dyDescent="0.25">
      <c r="E13592" t="s">
        <v>13142</v>
      </c>
    </row>
    <row r="13593" spans="5:5" x14ac:dyDescent="0.25">
      <c r="E13593" t="s">
        <v>13143</v>
      </c>
    </row>
    <row r="13594" spans="5:5" x14ac:dyDescent="0.25">
      <c r="E13594" t="s">
        <v>13144</v>
      </c>
    </row>
    <row r="13595" spans="5:5" x14ac:dyDescent="0.25">
      <c r="E13595" t="s">
        <v>13145</v>
      </c>
    </row>
    <row r="13596" spans="5:5" x14ac:dyDescent="0.25">
      <c r="E13596" t="s">
        <v>13146</v>
      </c>
    </row>
    <row r="13597" spans="5:5" x14ac:dyDescent="0.25">
      <c r="E13597" t="s">
        <v>13147</v>
      </c>
    </row>
    <row r="13598" spans="5:5" x14ac:dyDescent="0.25">
      <c r="E13598" t="s">
        <v>13148</v>
      </c>
    </row>
    <row r="13599" spans="5:5" x14ac:dyDescent="0.25">
      <c r="E13599" t="s">
        <v>13149</v>
      </c>
    </row>
    <row r="13600" spans="5:5" x14ac:dyDescent="0.25">
      <c r="E13600" t="s">
        <v>13150</v>
      </c>
    </row>
    <row r="13601" spans="5:5" x14ac:dyDescent="0.25">
      <c r="E13601" t="s">
        <v>13151</v>
      </c>
    </row>
    <row r="13602" spans="5:5" x14ac:dyDescent="0.25">
      <c r="E13602" t="s">
        <v>13152</v>
      </c>
    </row>
    <row r="13603" spans="5:5" x14ac:dyDescent="0.25">
      <c r="E13603" t="s">
        <v>13153</v>
      </c>
    </row>
    <row r="13604" spans="5:5" x14ac:dyDescent="0.25">
      <c r="E13604" t="s">
        <v>13154</v>
      </c>
    </row>
    <row r="13605" spans="5:5" x14ac:dyDescent="0.25">
      <c r="E13605" t="s">
        <v>13155</v>
      </c>
    </row>
    <row r="13606" spans="5:5" x14ac:dyDescent="0.25">
      <c r="E13606" t="s">
        <v>13156</v>
      </c>
    </row>
    <row r="13607" spans="5:5" x14ac:dyDescent="0.25">
      <c r="E13607" t="s">
        <v>13157</v>
      </c>
    </row>
    <row r="13608" spans="5:5" x14ac:dyDescent="0.25">
      <c r="E13608" t="s">
        <v>13158</v>
      </c>
    </row>
    <row r="13609" spans="5:5" x14ac:dyDescent="0.25">
      <c r="E13609" t="s">
        <v>13159</v>
      </c>
    </row>
    <row r="13610" spans="5:5" x14ac:dyDescent="0.25">
      <c r="E13610" t="s">
        <v>13160</v>
      </c>
    </row>
    <row r="13611" spans="5:5" x14ac:dyDescent="0.25">
      <c r="E13611" t="s">
        <v>13161</v>
      </c>
    </row>
    <row r="13612" spans="5:5" x14ac:dyDescent="0.25">
      <c r="E13612" t="s">
        <v>13162</v>
      </c>
    </row>
    <row r="13613" spans="5:5" x14ac:dyDescent="0.25">
      <c r="E13613" t="s">
        <v>13163</v>
      </c>
    </row>
    <row r="13614" spans="5:5" x14ac:dyDescent="0.25">
      <c r="E13614" t="s">
        <v>13164</v>
      </c>
    </row>
    <row r="13615" spans="5:5" x14ac:dyDescent="0.25">
      <c r="E13615" t="s">
        <v>13165</v>
      </c>
    </row>
    <row r="13616" spans="5:5" x14ac:dyDescent="0.25">
      <c r="E13616" t="s">
        <v>13166</v>
      </c>
    </row>
    <row r="13617" spans="5:5" x14ac:dyDescent="0.25">
      <c r="E13617" t="s">
        <v>13167</v>
      </c>
    </row>
    <row r="13618" spans="5:5" x14ac:dyDescent="0.25">
      <c r="E13618" t="s">
        <v>13168</v>
      </c>
    </row>
    <row r="13619" spans="5:5" x14ac:dyDescent="0.25">
      <c r="E13619" t="s">
        <v>13169</v>
      </c>
    </row>
    <row r="13620" spans="5:5" x14ac:dyDescent="0.25">
      <c r="E13620" t="s">
        <v>13170</v>
      </c>
    </row>
    <row r="13621" spans="5:5" x14ac:dyDescent="0.25">
      <c r="E13621" t="s">
        <v>13171</v>
      </c>
    </row>
    <row r="13622" spans="5:5" x14ac:dyDescent="0.25">
      <c r="E13622" t="s">
        <v>13172</v>
      </c>
    </row>
    <row r="13623" spans="5:5" x14ac:dyDescent="0.25">
      <c r="E13623" t="s">
        <v>13173</v>
      </c>
    </row>
    <row r="13624" spans="5:5" x14ac:dyDescent="0.25">
      <c r="E13624" t="s">
        <v>13174</v>
      </c>
    </row>
    <row r="13625" spans="5:5" x14ac:dyDescent="0.25">
      <c r="E13625" t="s">
        <v>13175</v>
      </c>
    </row>
    <row r="13626" spans="5:5" x14ac:dyDescent="0.25">
      <c r="E13626" t="s">
        <v>13176</v>
      </c>
    </row>
    <row r="13627" spans="5:5" x14ac:dyDescent="0.25">
      <c r="E13627" t="s">
        <v>13177</v>
      </c>
    </row>
    <row r="13628" spans="5:5" x14ac:dyDescent="0.25">
      <c r="E13628" t="s">
        <v>13178</v>
      </c>
    </row>
    <row r="13629" spans="5:5" x14ac:dyDescent="0.25">
      <c r="E13629" t="s">
        <v>13179</v>
      </c>
    </row>
    <row r="13630" spans="5:5" x14ac:dyDescent="0.25">
      <c r="E13630" t="s">
        <v>13180</v>
      </c>
    </row>
    <row r="13631" spans="5:5" x14ac:dyDescent="0.25">
      <c r="E13631" t="s">
        <v>13181</v>
      </c>
    </row>
    <row r="13632" spans="5:5" x14ac:dyDescent="0.25">
      <c r="E13632" t="s">
        <v>13182</v>
      </c>
    </row>
    <row r="13633" spans="5:5" x14ac:dyDescent="0.25">
      <c r="E13633" t="s">
        <v>13183</v>
      </c>
    </row>
    <row r="13634" spans="5:5" x14ac:dyDescent="0.25">
      <c r="E13634" t="s">
        <v>13184</v>
      </c>
    </row>
    <row r="13635" spans="5:5" x14ac:dyDescent="0.25">
      <c r="E13635" t="s">
        <v>13185</v>
      </c>
    </row>
    <row r="13636" spans="5:5" x14ac:dyDescent="0.25">
      <c r="E13636" t="s">
        <v>13186</v>
      </c>
    </row>
    <row r="13637" spans="5:5" x14ac:dyDescent="0.25">
      <c r="E13637" t="s">
        <v>13187</v>
      </c>
    </row>
    <row r="13638" spans="5:5" x14ac:dyDescent="0.25">
      <c r="E13638" t="s">
        <v>13188</v>
      </c>
    </row>
    <row r="13639" spans="5:5" x14ac:dyDescent="0.25">
      <c r="E13639" t="s">
        <v>13189</v>
      </c>
    </row>
    <row r="13640" spans="5:5" x14ac:dyDescent="0.25">
      <c r="E13640" t="s">
        <v>13190</v>
      </c>
    </row>
    <row r="13641" spans="5:5" x14ac:dyDescent="0.25">
      <c r="E13641" t="s">
        <v>13191</v>
      </c>
    </row>
    <row r="13642" spans="5:5" x14ac:dyDescent="0.25">
      <c r="E13642" t="s">
        <v>13192</v>
      </c>
    </row>
    <row r="13643" spans="5:5" x14ac:dyDescent="0.25">
      <c r="E13643" t="s">
        <v>119</v>
      </c>
    </row>
    <row r="13644" spans="5:5" x14ac:dyDescent="0.25">
      <c r="E13644" t="s">
        <v>13193</v>
      </c>
    </row>
    <row r="13645" spans="5:5" x14ac:dyDescent="0.25">
      <c r="E13645" t="s">
        <v>13194</v>
      </c>
    </row>
    <row r="13646" spans="5:5" x14ac:dyDescent="0.25">
      <c r="E13646" t="s">
        <v>13195</v>
      </c>
    </row>
    <row r="13647" spans="5:5" x14ac:dyDescent="0.25">
      <c r="E13647" t="s">
        <v>13196</v>
      </c>
    </row>
    <row r="13648" spans="5:5" x14ac:dyDescent="0.25">
      <c r="E13648" t="s">
        <v>13197</v>
      </c>
    </row>
    <row r="13649" spans="5:5" x14ac:dyDescent="0.25">
      <c r="E13649" t="s">
        <v>13198</v>
      </c>
    </row>
    <row r="13650" spans="5:5" x14ac:dyDescent="0.25">
      <c r="E13650" t="s">
        <v>13199</v>
      </c>
    </row>
    <row r="13651" spans="5:5" x14ac:dyDescent="0.25">
      <c r="E13651" t="s">
        <v>13200</v>
      </c>
    </row>
    <row r="13652" spans="5:5" x14ac:dyDescent="0.25">
      <c r="E13652" t="s">
        <v>13201</v>
      </c>
    </row>
    <row r="13653" spans="5:5" x14ac:dyDescent="0.25">
      <c r="E13653" t="s">
        <v>13202</v>
      </c>
    </row>
    <row r="13654" spans="5:5" x14ac:dyDescent="0.25">
      <c r="E13654" t="s">
        <v>13203</v>
      </c>
    </row>
    <row r="13655" spans="5:5" x14ac:dyDescent="0.25">
      <c r="E13655" t="s">
        <v>13204</v>
      </c>
    </row>
    <row r="13656" spans="5:5" x14ac:dyDescent="0.25">
      <c r="E13656" t="s">
        <v>13205</v>
      </c>
    </row>
    <row r="13657" spans="5:5" x14ac:dyDescent="0.25">
      <c r="E13657" t="s">
        <v>13206</v>
      </c>
    </row>
    <row r="13658" spans="5:5" x14ac:dyDescent="0.25">
      <c r="E13658" t="s">
        <v>13207</v>
      </c>
    </row>
    <row r="13659" spans="5:5" x14ac:dyDescent="0.25">
      <c r="E13659" t="s">
        <v>13208</v>
      </c>
    </row>
    <row r="13660" spans="5:5" x14ac:dyDescent="0.25">
      <c r="E13660" t="s">
        <v>13209</v>
      </c>
    </row>
    <row r="13661" spans="5:5" x14ac:dyDescent="0.25">
      <c r="E13661" t="s">
        <v>13210</v>
      </c>
    </row>
    <row r="13662" spans="5:5" x14ac:dyDescent="0.25">
      <c r="E13662" t="s">
        <v>13211</v>
      </c>
    </row>
    <row r="13663" spans="5:5" x14ac:dyDescent="0.25">
      <c r="E13663" t="s">
        <v>13212</v>
      </c>
    </row>
    <row r="13664" spans="5:5" x14ac:dyDescent="0.25">
      <c r="E13664" t="s">
        <v>13213</v>
      </c>
    </row>
    <row r="13665" spans="5:5" x14ac:dyDescent="0.25">
      <c r="E13665" t="s">
        <v>13214</v>
      </c>
    </row>
    <row r="13666" spans="5:5" x14ac:dyDescent="0.25">
      <c r="E13666" t="s">
        <v>13215</v>
      </c>
    </row>
    <row r="13667" spans="5:5" x14ac:dyDescent="0.25">
      <c r="E13667" t="s">
        <v>13216</v>
      </c>
    </row>
    <row r="13668" spans="5:5" x14ac:dyDescent="0.25">
      <c r="E13668" t="s">
        <v>13217</v>
      </c>
    </row>
    <row r="13669" spans="5:5" x14ac:dyDescent="0.25">
      <c r="E13669" t="s">
        <v>13218</v>
      </c>
    </row>
    <row r="13670" spans="5:5" x14ac:dyDescent="0.25">
      <c r="E13670" t="s">
        <v>13219</v>
      </c>
    </row>
    <row r="13671" spans="5:5" x14ac:dyDescent="0.25">
      <c r="E13671" t="s">
        <v>13220</v>
      </c>
    </row>
    <row r="13672" spans="5:5" x14ac:dyDescent="0.25">
      <c r="E13672" t="s">
        <v>13221</v>
      </c>
    </row>
    <row r="13673" spans="5:5" x14ac:dyDescent="0.25">
      <c r="E13673" t="s">
        <v>13222</v>
      </c>
    </row>
    <row r="13674" spans="5:5" x14ac:dyDescent="0.25">
      <c r="E13674" t="s">
        <v>13223</v>
      </c>
    </row>
    <row r="13675" spans="5:5" x14ac:dyDescent="0.25">
      <c r="E13675" t="s">
        <v>13224</v>
      </c>
    </row>
    <row r="13676" spans="5:5" x14ac:dyDescent="0.25">
      <c r="E13676" t="s">
        <v>13225</v>
      </c>
    </row>
    <row r="13677" spans="5:5" x14ac:dyDescent="0.25">
      <c r="E13677" t="s">
        <v>13226</v>
      </c>
    </row>
    <row r="13678" spans="5:5" x14ac:dyDescent="0.25">
      <c r="E13678" t="s">
        <v>13227</v>
      </c>
    </row>
    <row r="13679" spans="5:5" x14ac:dyDescent="0.25">
      <c r="E13679" t="s">
        <v>13228</v>
      </c>
    </row>
    <row r="13680" spans="5:5" x14ac:dyDescent="0.25">
      <c r="E13680" t="s">
        <v>13229</v>
      </c>
    </row>
    <row r="13681" spans="5:5" x14ac:dyDescent="0.25">
      <c r="E13681" t="s">
        <v>13230</v>
      </c>
    </row>
    <row r="13683" spans="5:5" x14ac:dyDescent="0.25">
      <c r="E13683" t="s">
        <v>13231</v>
      </c>
    </row>
    <row r="13685" spans="5:5" x14ac:dyDescent="0.25">
      <c r="E13685" t="s">
        <v>13232</v>
      </c>
    </row>
    <row r="13686" spans="5:5" x14ac:dyDescent="0.25">
      <c r="E13686" t="s">
        <v>13233</v>
      </c>
    </row>
    <row r="13687" spans="5:5" x14ac:dyDescent="0.25">
      <c r="E13687" t="s">
        <v>13234</v>
      </c>
    </row>
    <row r="13688" spans="5:5" x14ac:dyDescent="0.25">
      <c r="E13688" t="s">
        <v>13235</v>
      </c>
    </row>
    <row r="13689" spans="5:5" x14ac:dyDescent="0.25">
      <c r="E13689" t="s">
        <v>13236</v>
      </c>
    </row>
    <row r="13690" spans="5:5" x14ac:dyDescent="0.25">
      <c r="E13690" t="s">
        <v>13237</v>
      </c>
    </row>
    <row r="13691" spans="5:5" x14ac:dyDescent="0.25">
      <c r="E13691" t="s">
        <v>13238</v>
      </c>
    </row>
    <row r="13692" spans="5:5" x14ac:dyDescent="0.25">
      <c r="E13692" t="s">
        <v>13239</v>
      </c>
    </row>
    <row r="13693" spans="5:5" x14ac:dyDescent="0.25">
      <c r="E13693" t="s">
        <v>13240</v>
      </c>
    </row>
    <row r="13694" spans="5:5" x14ac:dyDescent="0.25">
      <c r="E13694" t="s">
        <v>13241</v>
      </c>
    </row>
    <row r="13695" spans="5:5" x14ac:dyDescent="0.25">
      <c r="E13695" t="s">
        <v>13242</v>
      </c>
    </row>
    <row r="13696" spans="5:5" x14ac:dyDescent="0.25">
      <c r="E13696" t="s">
        <v>13243</v>
      </c>
    </row>
    <row r="13697" spans="5:5" x14ac:dyDescent="0.25">
      <c r="E13697" t="s">
        <v>13244</v>
      </c>
    </row>
    <row r="13698" spans="5:5" x14ac:dyDescent="0.25">
      <c r="E13698" t="s">
        <v>13245</v>
      </c>
    </row>
    <row r="13699" spans="5:5" x14ac:dyDescent="0.25">
      <c r="E13699" t="s">
        <v>13246</v>
      </c>
    </row>
    <row r="13700" spans="5:5" x14ac:dyDescent="0.25">
      <c r="E13700" t="s">
        <v>13247</v>
      </c>
    </row>
    <row r="13701" spans="5:5" x14ac:dyDescent="0.25">
      <c r="E13701" t="s">
        <v>13248</v>
      </c>
    </row>
    <row r="13702" spans="5:5" x14ac:dyDescent="0.25">
      <c r="E13702" t="s">
        <v>13249</v>
      </c>
    </row>
    <row r="13703" spans="5:5" x14ac:dyDescent="0.25">
      <c r="E13703" t="s">
        <v>13250</v>
      </c>
    </row>
    <row r="13704" spans="5:5" x14ac:dyDescent="0.25">
      <c r="E13704" t="s">
        <v>13251</v>
      </c>
    </row>
    <row r="13705" spans="5:5" x14ac:dyDescent="0.25">
      <c r="E13705" t="s">
        <v>13252</v>
      </c>
    </row>
    <row r="13706" spans="5:5" x14ac:dyDescent="0.25">
      <c r="E13706" t="s">
        <v>13253</v>
      </c>
    </row>
    <row r="13707" spans="5:5" x14ac:dyDescent="0.25">
      <c r="E13707" t="s">
        <v>13254</v>
      </c>
    </row>
    <row r="13708" spans="5:5" x14ac:dyDescent="0.25">
      <c r="E13708" t="s">
        <v>13255</v>
      </c>
    </row>
    <row r="13709" spans="5:5" x14ac:dyDescent="0.25">
      <c r="E13709" t="s">
        <v>13256</v>
      </c>
    </row>
    <row r="13710" spans="5:5" x14ac:dyDescent="0.25">
      <c r="E13710" t="s">
        <v>13257</v>
      </c>
    </row>
    <row r="13711" spans="5:5" x14ac:dyDescent="0.25">
      <c r="E13711" t="s">
        <v>13258</v>
      </c>
    </row>
    <row r="13712" spans="5:5" x14ac:dyDescent="0.25">
      <c r="E13712" t="s">
        <v>13259</v>
      </c>
    </row>
    <row r="13713" spans="5:5" x14ac:dyDescent="0.25">
      <c r="E13713" t="s">
        <v>13260</v>
      </c>
    </row>
    <row r="13714" spans="5:5" x14ac:dyDescent="0.25">
      <c r="E13714" t="s">
        <v>13261</v>
      </c>
    </row>
    <row r="13715" spans="5:5" x14ac:dyDescent="0.25">
      <c r="E13715" t="s">
        <v>13262</v>
      </c>
    </row>
    <row r="13716" spans="5:5" x14ac:dyDescent="0.25">
      <c r="E13716" t="s">
        <v>13263</v>
      </c>
    </row>
    <row r="13717" spans="5:5" x14ac:dyDescent="0.25">
      <c r="E13717" t="s">
        <v>13264</v>
      </c>
    </row>
    <row r="13718" spans="5:5" x14ac:dyDescent="0.25">
      <c r="E13718" t="s">
        <v>13265</v>
      </c>
    </row>
    <row r="13719" spans="5:5" x14ac:dyDescent="0.25">
      <c r="E13719" t="s">
        <v>13266</v>
      </c>
    </row>
    <row r="13720" spans="5:5" x14ac:dyDescent="0.25">
      <c r="E13720" t="s">
        <v>13267</v>
      </c>
    </row>
    <row r="13721" spans="5:5" x14ac:dyDescent="0.25">
      <c r="E13721" t="s">
        <v>13268</v>
      </c>
    </row>
    <row r="13722" spans="5:5" x14ac:dyDescent="0.25">
      <c r="E13722" t="s">
        <v>13269</v>
      </c>
    </row>
    <row r="13723" spans="5:5" x14ac:dyDescent="0.25">
      <c r="E13723" t="s">
        <v>13270</v>
      </c>
    </row>
    <row r="13724" spans="5:5" x14ac:dyDescent="0.25">
      <c r="E13724" t="s">
        <v>13271</v>
      </c>
    </row>
    <row r="13725" spans="5:5" x14ac:dyDescent="0.25">
      <c r="E13725" t="s">
        <v>13272</v>
      </c>
    </row>
    <row r="13726" spans="5:5" x14ac:dyDescent="0.25">
      <c r="E13726" t="s">
        <v>13273</v>
      </c>
    </row>
    <row r="13727" spans="5:5" x14ac:dyDescent="0.25">
      <c r="E13727" t="s">
        <v>13274</v>
      </c>
    </row>
    <row r="13728" spans="5:5" x14ac:dyDescent="0.25">
      <c r="E13728" t="s">
        <v>13275</v>
      </c>
    </row>
    <row r="13729" spans="5:5" x14ac:dyDescent="0.25">
      <c r="E13729" t="s">
        <v>13276</v>
      </c>
    </row>
    <row r="13730" spans="5:5" x14ac:dyDescent="0.25">
      <c r="E13730" t="s">
        <v>13277</v>
      </c>
    </row>
    <row r="13731" spans="5:5" x14ac:dyDescent="0.25">
      <c r="E13731" t="s">
        <v>13278</v>
      </c>
    </row>
    <row r="13732" spans="5:5" x14ac:dyDescent="0.25">
      <c r="E13732" t="s">
        <v>13279</v>
      </c>
    </row>
    <row r="13733" spans="5:5" x14ac:dyDescent="0.25">
      <c r="E13733" t="s">
        <v>13280</v>
      </c>
    </row>
    <row r="13734" spans="5:5" x14ac:dyDescent="0.25">
      <c r="E13734" t="s">
        <v>13281</v>
      </c>
    </row>
    <row r="13735" spans="5:5" x14ac:dyDescent="0.25">
      <c r="E13735" t="s">
        <v>13282</v>
      </c>
    </row>
    <row r="13736" spans="5:5" x14ac:dyDescent="0.25">
      <c r="E13736" t="s">
        <v>13283</v>
      </c>
    </row>
    <row r="13737" spans="5:5" x14ac:dyDescent="0.25">
      <c r="E13737" t="s">
        <v>13284</v>
      </c>
    </row>
    <row r="13738" spans="5:5" x14ac:dyDescent="0.25">
      <c r="E13738" t="s">
        <v>13285</v>
      </c>
    </row>
    <row r="13739" spans="5:5" x14ac:dyDescent="0.25">
      <c r="E13739" t="s">
        <v>13286</v>
      </c>
    </row>
    <row r="13740" spans="5:5" x14ac:dyDescent="0.25">
      <c r="E13740" t="s">
        <v>13287</v>
      </c>
    </row>
    <row r="13741" spans="5:5" x14ac:dyDescent="0.25">
      <c r="E13741" t="s">
        <v>13288</v>
      </c>
    </row>
    <row r="13742" spans="5:5" x14ac:dyDescent="0.25">
      <c r="E13742" t="s">
        <v>13289</v>
      </c>
    </row>
    <row r="13743" spans="5:5" x14ac:dyDescent="0.25">
      <c r="E13743" t="s">
        <v>13290</v>
      </c>
    </row>
    <row r="13744" spans="5:5" x14ac:dyDescent="0.25">
      <c r="E13744" t="s">
        <v>13291</v>
      </c>
    </row>
    <row r="13745" spans="5:5" x14ac:dyDescent="0.25">
      <c r="E13745" t="s">
        <v>13292</v>
      </c>
    </row>
    <row r="13746" spans="5:5" x14ac:dyDescent="0.25">
      <c r="E13746" t="s">
        <v>13293</v>
      </c>
    </row>
    <row r="13747" spans="5:5" x14ac:dyDescent="0.25">
      <c r="E13747" t="s">
        <v>13294</v>
      </c>
    </row>
    <row r="13748" spans="5:5" x14ac:dyDescent="0.25">
      <c r="E13748" t="s">
        <v>13295</v>
      </c>
    </row>
    <row r="13749" spans="5:5" x14ac:dyDescent="0.25">
      <c r="E13749" t="s">
        <v>13296</v>
      </c>
    </row>
    <row r="13750" spans="5:5" x14ac:dyDescent="0.25">
      <c r="E13750" t="s">
        <v>13297</v>
      </c>
    </row>
    <row r="13751" spans="5:5" x14ac:dyDescent="0.25">
      <c r="E13751" t="s">
        <v>13298</v>
      </c>
    </row>
    <row r="13752" spans="5:5" x14ac:dyDescent="0.25">
      <c r="E13752" t="s">
        <v>13299</v>
      </c>
    </row>
    <row r="13753" spans="5:5" x14ac:dyDescent="0.25">
      <c r="E13753" t="s">
        <v>13300</v>
      </c>
    </row>
    <row r="13754" spans="5:5" x14ac:dyDescent="0.25">
      <c r="E13754" t="s">
        <v>13301</v>
      </c>
    </row>
    <row r="13755" spans="5:5" x14ac:dyDescent="0.25">
      <c r="E13755" t="s">
        <v>13302</v>
      </c>
    </row>
    <row r="13756" spans="5:5" x14ac:dyDescent="0.25">
      <c r="E13756" t="s">
        <v>13303</v>
      </c>
    </row>
    <row r="13757" spans="5:5" x14ac:dyDescent="0.25">
      <c r="E13757" t="s">
        <v>13304</v>
      </c>
    </row>
    <row r="13758" spans="5:5" x14ac:dyDescent="0.25">
      <c r="E13758" t="s">
        <v>13305</v>
      </c>
    </row>
    <row r="13759" spans="5:5" x14ac:dyDescent="0.25">
      <c r="E13759" t="s">
        <v>13306</v>
      </c>
    </row>
    <row r="13760" spans="5:5" x14ac:dyDescent="0.25">
      <c r="E13760" t="s">
        <v>13307</v>
      </c>
    </row>
    <row r="13761" spans="5:5" x14ac:dyDescent="0.25">
      <c r="E13761" t="s">
        <v>13308</v>
      </c>
    </row>
    <row r="13762" spans="5:5" x14ac:dyDescent="0.25">
      <c r="E13762" t="s">
        <v>13309</v>
      </c>
    </row>
    <row r="13763" spans="5:5" x14ac:dyDescent="0.25">
      <c r="E13763" t="s">
        <v>13310</v>
      </c>
    </row>
    <row r="13764" spans="5:5" x14ac:dyDescent="0.25">
      <c r="E13764" t="s">
        <v>13311</v>
      </c>
    </row>
    <row r="13765" spans="5:5" x14ac:dyDescent="0.25">
      <c r="E13765" t="s">
        <v>13312</v>
      </c>
    </row>
    <row r="13766" spans="5:5" x14ac:dyDescent="0.25">
      <c r="E13766" t="s">
        <v>13313</v>
      </c>
    </row>
    <row r="13767" spans="5:5" x14ac:dyDescent="0.25">
      <c r="E13767" t="s">
        <v>13314</v>
      </c>
    </row>
    <row r="13768" spans="5:5" x14ac:dyDescent="0.25">
      <c r="E13768" t="s">
        <v>13315</v>
      </c>
    </row>
    <row r="13769" spans="5:5" x14ac:dyDescent="0.25">
      <c r="E13769" t="s">
        <v>13316</v>
      </c>
    </row>
    <row r="13770" spans="5:5" x14ac:dyDescent="0.25">
      <c r="E13770" t="s">
        <v>13317</v>
      </c>
    </row>
    <row r="13771" spans="5:5" x14ac:dyDescent="0.25">
      <c r="E13771" t="s">
        <v>13318</v>
      </c>
    </row>
    <row r="13772" spans="5:5" x14ac:dyDescent="0.25">
      <c r="E13772" t="s">
        <v>13319</v>
      </c>
    </row>
    <row r="13773" spans="5:5" x14ac:dyDescent="0.25">
      <c r="E13773" t="s">
        <v>13320</v>
      </c>
    </row>
    <row r="13774" spans="5:5" x14ac:dyDescent="0.25">
      <c r="E13774" t="s">
        <v>13321</v>
      </c>
    </row>
    <row r="13775" spans="5:5" x14ac:dyDescent="0.25">
      <c r="E13775" t="s">
        <v>13322</v>
      </c>
    </row>
    <row r="13776" spans="5:5" x14ac:dyDescent="0.25">
      <c r="E13776" t="s">
        <v>13323</v>
      </c>
    </row>
    <row r="13777" spans="5:5" x14ac:dyDescent="0.25">
      <c r="E13777" t="s">
        <v>13324</v>
      </c>
    </row>
    <row r="13778" spans="5:5" x14ac:dyDescent="0.25">
      <c r="E13778" t="s">
        <v>13325</v>
      </c>
    </row>
    <row r="13779" spans="5:5" x14ac:dyDescent="0.25">
      <c r="E13779" t="s">
        <v>13326</v>
      </c>
    </row>
    <row r="13780" spans="5:5" x14ac:dyDescent="0.25">
      <c r="E13780" t="s">
        <v>13327</v>
      </c>
    </row>
    <row r="13781" spans="5:5" x14ac:dyDescent="0.25">
      <c r="E13781" t="s">
        <v>13328</v>
      </c>
    </row>
    <row r="13782" spans="5:5" x14ac:dyDescent="0.25">
      <c r="E13782" t="s">
        <v>13329</v>
      </c>
    </row>
    <row r="13783" spans="5:5" x14ac:dyDescent="0.25">
      <c r="E13783" t="s">
        <v>13330</v>
      </c>
    </row>
    <row r="13784" spans="5:5" x14ac:dyDescent="0.25">
      <c r="E13784" t="s">
        <v>13331</v>
      </c>
    </row>
    <row r="13785" spans="5:5" x14ac:dyDescent="0.25">
      <c r="E13785" t="s">
        <v>13332</v>
      </c>
    </row>
    <row r="13786" spans="5:5" x14ac:dyDescent="0.25">
      <c r="E13786" t="s">
        <v>13333</v>
      </c>
    </row>
    <row r="13787" spans="5:5" x14ac:dyDescent="0.25">
      <c r="E13787" t="s">
        <v>13334</v>
      </c>
    </row>
    <row r="13788" spans="5:5" x14ac:dyDescent="0.25">
      <c r="E13788" t="s">
        <v>13335</v>
      </c>
    </row>
    <row r="13789" spans="5:5" x14ac:dyDescent="0.25">
      <c r="E13789" t="s">
        <v>13336</v>
      </c>
    </row>
    <row r="13790" spans="5:5" x14ac:dyDescent="0.25">
      <c r="E13790" t="s">
        <v>13337</v>
      </c>
    </row>
    <row r="13791" spans="5:5" x14ac:dyDescent="0.25">
      <c r="E13791" t="s">
        <v>13338</v>
      </c>
    </row>
    <row r="13792" spans="5:5" x14ac:dyDescent="0.25">
      <c r="E13792" t="s">
        <v>13339</v>
      </c>
    </row>
    <row r="13793" spans="5:5" x14ac:dyDescent="0.25">
      <c r="E13793" t="s">
        <v>13340</v>
      </c>
    </row>
    <row r="13794" spans="5:5" x14ac:dyDescent="0.25">
      <c r="E13794" t="s">
        <v>13341</v>
      </c>
    </row>
    <row r="13795" spans="5:5" x14ac:dyDescent="0.25">
      <c r="E13795" t="s">
        <v>13342</v>
      </c>
    </row>
    <row r="13796" spans="5:5" x14ac:dyDescent="0.25">
      <c r="E13796" t="s">
        <v>13343</v>
      </c>
    </row>
    <row r="13797" spans="5:5" x14ac:dyDescent="0.25">
      <c r="E13797" t="s">
        <v>13344</v>
      </c>
    </row>
    <row r="13798" spans="5:5" x14ac:dyDescent="0.25">
      <c r="E13798" t="s">
        <v>13345</v>
      </c>
    </row>
    <row r="13799" spans="5:5" x14ac:dyDescent="0.25">
      <c r="E13799" t="s">
        <v>13346</v>
      </c>
    </row>
    <row r="13800" spans="5:5" x14ac:dyDescent="0.25">
      <c r="E13800" t="s">
        <v>13347</v>
      </c>
    </row>
    <row r="13801" spans="5:5" x14ac:dyDescent="0.25">
      <c r="E13801" t="s">
        <v>13348</v>
      </c>
    </row>
    <row r="13802" spans="5:5" x14ac:dyDescent="0.25">
      <c r="E13802" t="s">
        <v>13349</v>
      </c>
    </row>
    <row r="13803" spans="5:5" x14ac:dyDescent="0.25">
      <c r="E13803" t="s">
        <v>13350</v>
      </c>
    </row>
    <row r="13804" spans="5:5" x14ac:dyDescent="0.25">
      <c r="E13804" t="s">
        <v>13351</v>
      </c>
    </row>
    <row r="13805" spans="5:5" x14ac:dyDescent="0.25">
      <c r="E13805" t="s">
        <v>13352</v>
      </c>
    </row>
    <row r="13806" spans="5:5" x14ac:dyDescent="0.25">
      <c r="E13806" t="s">
        <v>13353</v>
      </c>
    </row>
    <row r="13807" spans="5:5" x14ac:dyDescent="0.25">
      <c r="E13807" t="s">
        <v>13354</v>
      </c>
    </row>
    <row r="13808" spans="5:5" x14ac:dyDescent="0.25">
      <c r="E13808" t="s">
        <v>13355</v>
      </c>
    </row>
    <row r="13809" spans="5:5" x14ac:dyDescent="0.25">
      <c r="E13809" t="s">
        <v>13356</v>
      </c>
    </row>
    <row r="13810" spans="5:5" x14ac:dyDescent="0.25">
      <c r="E13810" t="s">
        <v>13357</v>
      </c>
    </row>
    <row r="13811" spans="5:5" x14ac:dyDescent="0.25">
      <c r="E13811" t="s">
        <v>13358</v>
      </c>
    </row>
    <row r="13812" spans="5:5" x14ac:dyDescent="0.25">
      <c r="E13812" t="s">
        <v>13359</v>
      </c>
    </row>
    <row r="13813" spans="5:5" x14ac:dyDescent="0.25">
      <c r="E13813" t="s">
        <v>13360</v>
      </c>
    </row>
    <row r="13814" spans="5:5" x14ac:dyDescent="0.25">
      <c r="E13814" t="s">
        <v>13361</v>
      </c>
    </row>
    <row r="13815" spans="5:5" x14ac:dyDescent="0.25">
      <c r="E13815" t="s">
        <v>13362</v>
      </c>
    </row>
    <row r="13816" spans="5:5" x14ac:dyDescent="0.25">
      <c r="E13816" t="s">
        <v>13363</v>
      </c>
    </row>
    <row r="13817" spans="5:5" x14ac:dyDescent="0.25">
      <c r="E13817" t="s">
        <v>13364</v>
      </c>
    </row>
    <row r="13818" spans="5:5" x14ac:dyDescent="0.25">
      <c r="E13818" t="s">
        <v>13365</v>
      </c>
    </row>
    <row r="13819" spans="5:5" x14ac:dyDescent="0.25">
      <c r="E13819" t="s">
        <v>13366</v>
      </c>
    </row>
    <row r="13820" spans="5:5" x14ac:dyDescent="0.25">
      <c r="E13820" t="s">
        <v>13367</v>
      </c>
    </row>
    <row r="13821" spans="5:5" x14ac:dyDescent="0.25">
      <c r="E13821" t="s">
        <v>13368</v>
      </c>
    </row>
    <row r="13822" spans="5:5" x14ac:dyDescent="0.25">
      <c r="E13822" t="s">
        <v>13369</v>
      </c>
    </row>
    <row r="13823" spans="5:5" x14ac:dyDescent="0.25">
      <c r="E13823" t="s">
        <v>13370</v>
      </c>
    </row>
    <row r="13824" spans="5:5" x14ac:dyDescent="0.25">
      <c r="E13824" t="s">
        <v>13371</v>
      </c>
    </row>
    <row r="13825" spans="5:5" x14ac:dyDescent="0.25">
      <c r="E13825" t="s">
        <v>13372</v>
      </c>
    </row>
    <row r="13826" spans="5:5" x14ac:dyDescent="0.25">
      <c r="E13826" t="s">
        <v>13373</v>
      </c>
    </row>
    <row r="13827" spans="5:5" x14ac:dyDescent="0.25">
      <c r="E13827" t="s">
        <v>13374</v>
      </c>
    </row>
    <row r="13828" spans="5:5" x14ac:dyDescent="0.25">
      <c r="E13828" t="s">
        <v>13375</v>
      </c>
    </row>
    <row r="13829" spans="5:5" x14ac:dyDescent="0.25">
      <c r="E13829" t="s">
        <v>13376</v>
      </c>
    </row>
    <row r="13830" spans="5:5" x14ac:dyDescent="0.25">
      <c r="E13830" t="s">
        <v>13377</v>
      </c>
    </row>
    <row r="13831" spans="5:5" x14ac:dyDescent="0.25">
      <c r="E13831" t="s">
        <v>13378</v>
      </c>
    </row>
    <row r="13832" spans="5:5" x14ac:dyDescent="0.25">
      <c r="E13832" t="s">
        <v>13379</v>
      </c>
    </row>
    <row r="13833" spans="5:5" x14ac:dyDescent="0.25">
      <c r="E13833" t="s">
        <v>13380</v>
      </c>
    </row>
    <row r="13834" spans="5:5" x14ac:dyDescent="0.25">
      <c r="E13834" t="s">
        <v>13381</v>
      </c>
    </row>
    <row r="13835" spans="5:5" x14ac:dyDescent="0.25">
      <c r="E13835" t="s">
        <v>13382</v>
      </c>
    </row>
    <row r="13836" spans="5:5" x14ac:dyDescent="0.25">
      <c r="E13836" t="s">
        <v>13383</v>
      </c>
    </row>
    <row r="13837" spans="5:5" x14ac:dyDescent="0.25">
      <c r="E13837" t="s">
        <v>13384</v>
      </c>
    </row>
    <row r="13838" spans="5:5" x14ac:dyDescent="0.25">
      <c r="E13838" t="s">
        <v>13385</v>
      </c>
    </row>
    <row r="13839" spans="5:5" x14ac:dyDescent="0.25">
      <c r="E13839" t="s">
        <v>13386</v>
      </c>
    </row>
    <row r="13840" spans="5:5" x14ac:dyDescent="0.25">
      <c r="E13840" t="s">
        <v>13387</v>
      </c>
    </row>
    <row r="13841" spans="5:5" x14ac:dyDescent="0.25">
      <c r="E13841" t="s">
        <v>13388</v>
      </c>
    </row>
    <row r="13842" spans="5:5" x14ac:dyDescent="0.25">
      <c r="E13842" t="s">
        <v>13389</v>
      </c>
    </row>
    <row r="13843" spans="5:5" x14ac:dyDescent="0.25">
      <c r="E13843" t="s">
        <v>13390</v>
      </c>
    </row>
    <row r="13844" spans="5:5" x14ac:dyDescent="0.25">
      <c r="E13844" t="s">
        <v>13391</v>
      </c>
    </row>
    <row r="13845" spans="5:5" x14ac:dyDescent="0.25">
      <c r="E13845" t="s">
        <v>13392</v>
      </c>
    </row>
    <row r="13846" spans="5:5" x14ac:dyDescent="0.25">
      <c r="E13846" t="s">
        <v>13393</v>
      </c>
    </row>
    <row r="13847" spans="5:5" x14ac:dyDescent="0.25">
      <c r="E13847" t="s">
        <v>13394</v>
      </c>
    </row>
    <row r="13848" spans="5:5" x14ac:dyDescent="0.25">
      <c r="E13848" t="s">
        <v>13395</v>
      </c>
    </row>
    <row r="13849" spans="5:5" x14ac:dyDescent="0.25">
      <c r="E13849" t="s">
        <v>13396</v>
      </c>
    </row>
    <row r="13850" spans="5:5" x14ac:dyDescent="0.25">
      <c r="E13850" t="s">
        <v>13397</v>
      </c>
    </row>
    <row r="13851" spans="5:5" x14ac:dyDescent="0.25">
      <c r="E13851" t="s">
        <v>13398</v>
      </c>
    </row>
    <row r="13852" spans="5:5" x14ac:dyDescent="0.25">
      <c r="E13852" t="s">
        <v>13399</v>
      </c>
    </row>
    <row r="13853" spans="5:5" x14ac:dyDescent="0.25">
      <c r="E13853" t="s">
        <v>13400</v>
      </c>
    </row>
    <row r="13854" spans="5:5" x14ac:dyDescent="0.25">
      <c r="E13854" t="s">
        <v>13401</v>
      </c>
    </row>
    <row r="13855" spans="5:5" x14ac:dyDescent="0.25">
      <c r="E13855" t="s">
        <v>13402</v>
      </c>
    </row>
    <row r="13856" spans="5:5" x14ac:dyDescent="0.25">
      <c r="E13856" t="s">
        <v>13403</v>
      </c>
    </row>
    <row r="13857" spans="5:5" x14ac:dyDescent="0.25">
      <c r="E13857" t="s">
        <v>13404</v>
      </c>
    </row>
    <row r="13858" spans="5:5" x14ac:dyDescent="0.25">
      <c r="E13858" t="s">
        <v>13405</v>
      </c>
    </row>
    <row r="13859" spans="5:5" x14ac:dyDescent="0.25">
      <c r="E13859" t="s">
        <v>13406</v>
      </c>
    </row>
    <row r="13860" spans="5:5" x14ac:dyDescent="0.25">
      <c r="E13860" t="s">
        <v>13407</v>
      </c>
    </row>
    <row r="13861" spans="5:5" x14ac:dyDescent="0.25">
      <c r="E13861" t="s">
        <v>13408</v>
      </c>
    </row>
    <row r="13862" spans="5:5" x14ac:dyDescent="0.25">
      <c r="E13862" t="s">
        <v>13409</v>
      </c>
    </row>
    <row r="13863" spans="5:5" x14ac:dyDescent="0.25">
      <c r="E13863" t="s">
        <v>13410</v>
      </c>
    </row>
    <row r="13864" spans="5:5" x14ac:dyDescent="0.25">
      <c r="E13864" t="s">
        <v>13411</v>
      </c>
    </row>
    <row r="13865" spans="5:5" x14ac:dyDescent="0.25">
      <c r="E13865" t="s">
        <v>13412</v>
      </c>
    </row>
    <row r="13866" spans="5:5" x14ac:dyDescent="0.25">
      <c r="E13866" t="s">
        <v>13413</v>
      </c>
    </row>
    <row r="13867" spans="5:5" x14ac:dyDescent="0.25">
      <c r="E13867" t="s">
        <v>13414</v>
      </c>
    </row>
    <row r="13868" spans="5:5" x14ac:dyDescent="0.25">
      <c r="E13868" t="s">
        <v>13415</v>
      </c>
    </row>
    <row r="13869" spans="5:5" x14ac:dyDescent="0.25">
      <c r="E13869" t="s">
        <v>13416</v>
      </c>
    </row>
    <row r="13876" spans="5:5" x14ac:dyDescent="0.25">
      <c r="E13876" t="s">
        <v>13417</v>
      </c>
    </row>
    <row r="13877" spans="5:5" x14ac:dyDescent="0.25">
      <c r="E13877" t="s">
        <v>13418</v>
      </c>
    </row>
    <row r="13878" spans="5:5" x14ac:dyDescent="0.25">
      <c r="E13878" t="s">
        <v>13419</v>
      </c>
    </row>
    <row r="13879" spans="5:5" x14ac:dyDescent="0.25">
      <c r="E13879" t="s">
        <v>13420</v>
      </c>
    </row>
    <row r="13880" spans="5:5" x14ac:dyDescent="0.25">
      <c r="E13880" t="s">
        <v>13421</v>
      </c>
    </row>
    <row r="13881" spans="5:5" x14ac:dyDescent="0.25">
      <c r="E13881" t="s">
        <v>13422</v>
      </c>
    </row>
    <row r="13882" spans="5:5" x14ac:dyDescent="0.25">
      <c r="E13882" t="s">
        <v>13423</v>
      </c>
    </row>
    <row r="13883" spans="5:5" x14ac:dyDescent="0.25">
      <c r="E13883" t="s">
        <v>13424</v>
      </c>
    </row>
    <row r="13884" spans="5:5" x14ac:dyDescent="0.25">
      <c r="E13884" t="s">
        <v>13425</v>
      </c>
    </row>
    <row r="13885" spans="5:5" x14ac:dyDescent="0.25">
      <c r="E13885" t="s">
        <v>13426</v>
      </c>
    </row>
    <row r="13886" spans="5:5" x14ac:dyDescent="0.25">
      <c r="E13886" t="s">
        <v>13427</v>
      </c>
    </row>
    <row r="13887" spans="5:5" x14ac:dyDescent="0.25">
      <c r="E13887" t="s">
        <v>13428</v>
      </c>
    </row>
    <row r="13888" spans="5:5" x14ac:dyDescent="0.25">
      <c r="E13888" t="s">
        <v>13429</v>
      </c>
    </row>
    <row r="13889" spans="5:5" x14ac:dyDescent="0.25">
      <c r="E13889" t="s">
        <v>13430</v>
      </c>
    </row>
    <row r="13890" spans="5:5" x14ac:dyDescent="0.25">
      <c r="E13890" t="s">
        <v>13431</v>
      </c>
    </row>
    <row r="13891" spans="5:5" x14ac:dyDescent="0.25">
      <c r="E13891" t="s">
        <v>13432</v>
      </c>
    </row>
    <row r="13892" spans="5:5" x14ac:dyDescent="0.25">
      <c r="E13892" t="s">
        <v>13433</v>
      </c>
    </row>
    <row r="13893" spans="5:5" x14ac:dyDescent="0.25">
      <c r="E13893" t="s">
        <v>13434</v>
      </c>
    </row>
    <row r="13894" spans="5:5" x14ac:dyDescent="0.25">
      <c r="E13894" t="s">
        <v>13435</v>
      </c>
    </row>
    <row r="13895" spans="5:5" x14ac:dyDescent="0.25">
      <c r="E13895" t="s">
        <v>13436</v>
      </c>
    </row>
    <row r="13896" spans="5:5" x14ac:dyDescent="0.25">
      <c r="E13896" t="s">
        <v>13437</v>
      </c>
    </row>
    <row r="13897" spans="5:5" x14ac:dyDescent="0.25">
      <c r="E13897" t="s">
        <v>13438</v>
      </c>
    </row>
    <row r="13898" spans="5:5" x14ac:dyDescent="0.25">
      <c r="E13898" t="s">
        <v>13439</v>
      </c>
    </row>
    <row r="13899" spans="5:5" x14ac:dyDescent="0.25">
      <c r="E13899" t="s">
        <v>13440</v>
      </c>
    </row>
    <row r="13900" spans="5:5" x14ac:dyDescent="0.25">
      <c r="E13900" t="s">
        <v>13441</v>
      </c>
    </row>
    <row r="13901" spans="5:5" x14ac:dyDescent="0.25">
      <c r="E13901" t="s">
        <v>13442</v>
      </c>
    </row>
    <row r="13902" spans="5:5" x14ac:dyDescent="0.25">
      <c r="E13902" t="s">
        <v>13443</v>
      </c>
    </row>
    <row r="13903" spans="5:5" x14ac:dyDescent="0.25">
      <c r="E13903" t="s">
        <v>13444</v>
      </c>
    </row>
    <row r="13904" spans="5:5" x14ac:dyDescent="0.25">
      <c r="E13904" t="s">
        <v>13445</v>
      </c>
    </row>
    <row r="13905" spans="5:5" x14ac:dyDescent="0.25">
      <c r="E13905" t="s">
        <v>13446</v>
      </c>
    </row>
    <row r="13906" spans="5:5" x14ac:dyDescent="0.25">
      <c r="E13906" t="s">
        <v>13447</v>
      </c>
    </row>
    <row r="13907" spans="5:5" x14ac:dyDescent="0.25">
      <c r="E13907" t="s">
        <v>13448</v>
      </c>
    </row>
    <row r="13908" spans="5:5" x14ac:dyDescent="0.25">
      <c r="E13908" t="s">
        <v>13449</v>
      </c>
    </row>
    <row r="13909" spans="5:5" x14ac:dyDescent="0.25">
      <c r="E13909" t="s">
        <v>13450</v>
      </c>
    </row>
    <row r="13910" spans="5:5" x14ac:dyDescent="0.25">
      <c r="E13910" t="s">
        <v>13451</v>
      </c>
    </row>
    <row r="13911" spans="5:5" x14ac:dyDescent="0.25">
      <c r="E13911" t="s">
        <v>13452</v>
      </c>
    </row>
    <row r="13912" spans="5:5" x14ac:dyDescent="0.25">
      <c r="E13912" t="s">
        <v>13453</v>
      </c>
    </row>
    <row r="13913" spans="5:5" x14ac:dyDescent="0.25">
      <c r="E13913" t="s">
        <v>13454</v>
      </c>
    </row>
    <row r="13914" spans="5:5" x14ac:dyDescent="0.25">
      <c r="E13914" t="s">
        <v>13455</v>
      </c>
    </row>
    <row r="13915" spans="5:5" x14ac:dyDescent="0.25">
      <c r="E13915" t="s">
        <v>13456</v>
      </c>
    </row>
    <row r="13916" spans="5:5" x14ac:dyDescent="0.25">
      <c r="E13916" t="s">
        <v>13457</v>
      </c>
    </row>
    <row r="13917" spans="5:5" x14ac:dyDescent="0.25">
      <c r="E13917" t="s">
        <v>13458</v>
      </c>
    </row>
    <row r="13918" spans="5:5" x14ac:dyDescent="0.25">
      <c r="E13918" t="s">
        <v>13459</v>
      </c>
    </row>
    <row r="13919" spans="5:5" x14ac:dyDescent="0.25">
      <c r="E13919" t="s">
        <v>13460</v>
      </c>
    </row>
    <row r="13920" spans="5:5" x14ac:dyDescent="0.25">
      <c r="E13920" t="s">
        <v>13461</v>
      </c>
    </row>
    <row r="13921" spans="5:5" x14ac:dyDescent="0.25">
      <c r="E13921" t="s">
        <v>13462</v>
      </c>
    </row>
    <row r="13922" spans="5:5" x14ac:dyDescent="0.25">
      <c r="E13922" t="s">
        <v>13463</v>
      </c>
    </row>
    <row r="13923" spans="5:5" x14ac:dyDescent="0.25">
      <c r="E13923" t="s">
        <v>13464</v>
      </c>
    </row>
    <row r="13924" spans="5:5" x14ac:dyDescent="0.25">
      <c r="E13924" t="s">
        <v>13465</v>
      </c>
    </row>
    <row r="13925" spans="5:5" x14ac:dyDescent="0.25">
      <c r="E13925" t="s">
        <v>13466</v>
      </c>
    </row>
    <row r="13926" spans="5:5" x14ac:dyDescent="0.25">
      <c r="E13926" t="s">
        <v>13467</v>
      </c>
    </row>
    <row r="13927" spans="5:5" x14ac:dyDescent="0.25">
      <c r="E13927" t="s">
        <v>13468</v>
      </c>
    </row>
    <row r="13928" spans="5:5" x14ac:dyDescent="0.25">
      <c r="E13928" t="s">
        <v>13469</v>
      </c>
    </row>
    <row r="13929" spans="5:5" x14ac:dyDescent="0.25">
      <c r="E13929" t="s">
        <v>13470</v>
      </c>
    </row>
    <row r="13930" spans="5:5" x14ac:dyDescent="0.25">
      <c r="E13930" t="s">
        <v>13471</v>
      </c>
    </row>
    <row r="13931" spans="5:5" x14ac:dyDescent="0.25">
      <c r="E13931" t="s">
        <v>13472</v>
      </c>
    </row>
    <row r="13932" spans="5:5" x14ac:dyDescent="0.25">
      <c r="E13932" t="s">
        <v>13473</v>
      </c>
    </row>
    <row r="13933" spans="5:5" x14ac:dyDescent="0.25">
      <c r="E13933" t="s">
        <v>13474</v>
      </c>
    </row>
    <row r="13934" spans="5:5" x14ac:dyDescent="0.25">
      <c r="E13934" t="s">
        <v>13475</v>
      </c>
    </row>
    <row r="13935" spans="5:5" x14ac:dyDescent="0.25">
      <c r="E13935" t="s">
        <v>13476</v>
      </c>
    </row>
    <row r="13936" spans="5:5" x14ac:dyDescent="0.25">
      <c r="E13936" t="s">
        <v>13477</v>
      </c>
    </row>
    <row r="13937" spans="5:5" x14ac:dyDescent="0.25">
      <c r="E13937" t="s">
        <v>13478</v>
      </c>
    </row>
    <row r="13938" spans="5:5" x14ac:dyDescent="0.25">
      <c r="E13938" t="s">
        <v>13479</v>
      </c>
    </row>
    <row r="13939" spans="5:5" x14ac:dyDescent="0.25">
      <c r="E13939" t="s">
        <v>13480</v>
      </c>
    </row>
    <row r="13940" spans="5:5" x14ac:dyDescent="0.25">
      <c r="E13940" t="s">
        <v>13481</v>
      </c>
    </row>
    <row r="13941" spans="5:5" x14ac:dyDescent="0.25">
      <c r="E13941" t="s">
        <v>13482</v>
      </c>
    </row>
    <row r="13942" spans="5:5" x14ac:dyDescent="0.25">
      <c r="E13942" t="s">
        <v>13483</v>
      </c>
    </row>
    <row r="13943" spans="5:5" x14ac:dyDescent="0.25">
      <c r="E13943" t="s">
        <v>13484</v>
      </c>
    </row>
    <row r="13944" spans="5:5" x14ac:dyDescent="0.25">
      <c r="E13944" t="s">
        <v>13485</v>
      </c>
    </row>
    <row r="13945" spans="5:5" x14ac:dyDescent="0.25">
      <c r="E13945" t="s">
        <v>13486</v>
      </c>
    </row>
    <row r="13946" spans="5:5" x14ac:dyDescent="0.25">
      <c r="E13946" t="s">
        <v>13487</v>
      </c>
    </row>
    <row r="13947" spans="5:5" x14ac:dyDescent="0.25">
      <c r="E13947" t="s">
        <v>13488</v>
      </c>
    </row>
    <row r="13948" spans="5:5" x14ac:dyDescent="0.25">
      <c r="E13948" t="s">
        <v>13489</v>
      </c>
    </row>
    <row r="13949" spans="5:5" x14ac:dyDescent="0.25">
      <c r="E13949" t="s">
        <v>13490</v>
      </c>
    </row>
    <row r="13950" spans="5:5" x14ac:dyDescent="0.25">
      <c r="E13950" t="s">
        <v>13491</v>
      </c>
    </row>
    <row r="13951" spans="5:5" x14ac:dyDescent="0.25">
      <c r="E13951" t="s">
        <v>13492</v>
      </c>
    </row>
    <row r="13952" spans="5:5" x14ac:dyDescent="0.25">
      <c r="E13952" t="s">
        <v>13493</v>
      </c>
    </row>
    <row r="13953" spans="5:5" x14ac:dyDescent="0.25">
      <c r="E13953" t="s">
        <v>13494</v>
      </c>
    </row>
    <row r="13954" spans="5:5" x14ac:dyDescent="0.25">
      <c r="E13954" t="s">
        <v>13495</v>
      </c>
    </row>
    <row r="13955" spans="5:5" x14ac:dyDescent="0.25">
      <c r="E13955" t="s">
        <v>13496</v>
      </c>
    </row>
    <row r="13956" spans="5:5" x14ac:dyDescent="0.25">
      <c r="E13956" t="s">
        <v>13497</v>
      </c>
    </row>
    <row r="13957" spans="5:5" x14ac:dyDescent="0.25">
      <c r="E13957" t="s">
        <v>13498</v>
      </c>
    </row>
    <row r="13958" spans="5:5" x14ac:dyDescent="0.25">
      <c r="E13958" t="s">
        <v>13499</v>
      </c>
    </row>
    <row r="13959" spans="5:5" x14ac:dyDescent="0.25">
      <c r="E13959" t="s">
        <v>13500</v>
      </c>
    </row>
    <row r="13960" spans="5:5" x14ac:dyDescent="0.25">
      <c r="E13960" t="s">
        <v>13501</v>
      </c>
    </row>
    <row r="13961" spans="5:5" x14ac:dyDescent="0.25">
      <c r="E13961" t="s">
        <v>13502</v>
      </c>
    </row>
    <row r="13962" spans="5:5" x14ac:dyDescent="0.25">
      <c r="E13962" t="s">
        <v>13503</v>
      </c>
    </row>
    <row r="13963" spans="5:5" x14ac:dyDescent="0.25">
      <c r="E13963" t="s">
        <v>13504</v>
      </c>
    </row>
    <row r="13964" spans="5:5" x14ac:dyDescent="0.25">
      <c r="E13964" t="s">
        <v>13505</v>
      </c>
    </row>
    <row r="13965" spans="5:5" x14ac:dyDescent="0.25">
      <c r="E13965" t="s">
        <v>13506</v>
      </c>
    </row>
    <row r="13966" spans="5:5" x14ac:dyDescent="0.25">
      <c r="E13966" t="s">
        <v>13507</v>
      </c>
    </row>
    <row r="13967" spans="5:5" x14ac:dyDescent="0.25">
      <c r="E13967" t="s">
        <v>13508</v>
      </c>
    </row>
    <row r="13968" spans="5:5" x14ac:dyDescent="0.25">
      <c r="E13968" t="s">
        <v>13509</v>
      </c>
    </row>
    <row r="13969" spans="5:5" x14ac:dyDescent="0.25">
      <c r="E13969" t="s">
        <v>13510</v>
      </c>
    </row>
    <row r="13970" spans="5:5" x14ac:dyDescent="0.25">
      <c r="E13970" t="s">
        <v>13511</v>
      </c>
    </row>
    <row r="13971" spans="5:5" x14ac:dyDescent="0.25">
      <c r="E13971" t="s">
        <v>13512</v>
      </c>
    </row>
    <row r="13972" spans="5:5" x14ac:dyDescent="0.25">
      <c r="E13972" t="s">
        <v>13513</v>
      </c>
    </row>
    <row r="13973" spans="5:5" x14ac:dyDescent="0.25">
      <c r="E13973" t="s">
        <v>13514</v>
      </c>
    </row>
    <row r="13974" spans="5:5" x14ac:dyDescent="0.25">
      <c r="E13974" t="s">
        <v>13515</v>
      </c>
    </row>
    <row r="13975" spans="5:5" x14ac:dyDescent="0.25">
      <c r="E13975" t="s">
        <v>13516</v>
      </c>
    </row>
    <row r="13976" spans="5:5" x14ac:dyDescent="0.25">
      <c r="E13976" t="s">
        <v>13517</v>
      </c>
    </row>
    <row r="13977" spans="5:5" x14ac:dyDescent="0.25">
      <c r="E13977" t="s">
        <v>13518</v>
      </c>
    </row>
    <row r="13978" spans="5:5" x14ac:dyDescent="0.25">
      <c r="E13978" t="s">
        <v>13519</v>
      </c>
    </row>
    <row r="13979" spans="5:5" x14ac:dyDescent="0.25">
      <c r="E13979" t="s">
        <v>13520</v>
      </c>
    </row>
    <row r="13980" spans="5:5" x14ac:dyDescent="0.25">
      <c r="E13980" t="s">
        <v>13521</v>
      </c>
    </row>
    <row r="13981" spans="5:5" x14ac:dyDescent="0.25">
      <c r="E13981" t="s">
        <v>13522</v>
      </c>
    </row>
    <row r="13982" spans="5:5" x14ac:dyDescent="0.25">
      <c r="E13982" t="s">
        <v>13523</v>
      </c>
    </row>
    <row r="13983" spans="5:5" x14ac:dyDescent="0.25">
      <c r="E13983" t="s">
        <v>13524</v>
      </c>
    </row>
    <row r="13984" spans="5:5" x14ac:dyDescent="0.25">
      <c r="E13984" t="s">
        <v>13525</v>
      </c>
    </row>
    <row r="13985" spans="5:5" x14ac:dyDescent="0.25">
      <c r="E13985" t="s">
        <v>13526</v>
      </c>
    </row>
    <row r="13986" spans="5:5" x14ac:dyDescent="0.25">
      <c r="E13986" t="s">
        <v>13527</v>
      </c>
    </row>
    <row r="13987" spans="5:5" x14ac:dyDescent="0.25">
      <c r="E13987" t="s">
        <v>13528</v>
      </c>
    </row>
    <row r="13988" spans="5:5" x14ac:dyDescent="0.25">
      <c r="E13988" t="s">
        <v>13529</v>
      </c>
    </row>
    <row r="13989" spans="5:5" x14ac:dyDescent="0.25">
      <c r="E13989" t="s">
        <v>13530</v>
      </c>
    </row>
    <row r="13990" spans="5:5" x14ac:dyDescent="0.25">
      <c r="E13990" t="s">
        <v>13531</v>
      </c>
    </row>
    <row r="13991" spans="5:5" x14ac:dyDescent="0.25">
      <c r="E13991" t="s">
        <v>13532</v>
      </c>
    </row>
    <row r="13992" spans="5:5" x14ac:dyDescent="0.25">
      <c r="E13992" t="s">
        <v>13533</v>
      </c>
    </row>
    <row r="13993" spans="5:5" x14ac:dyDescent="0.25">
      <c r="E13993" t="s">
        <v>13534</v>
      </c>
    </row>
    <row r="13994" spans="5:5" x14ac:dyDescent="0.25">
      <c r="E13994" t="s">
        <v>13535</v>
      </c>
    </row>
    <row r="13995" spans="5:5" x14ac:dyDescent="0.25">
      <c r="E13995" t="s">
        <v>13536</v>
      </c>
    </row>
    <row r="13996" spans="5:5" x14ac:dyDescent="0.25">
      <c r="E13996" t="s">
        <v>13537</v>
      </c>
    </row>
    <row r="13997" spans="5:5" x14ac:dyDescent="0.25">
      <c r="E13997" t="s">
        <v>13538</v>
      </c>
    </row>
    <row r="13998" spans="5:5" x14ac:dyDescent="0.25">
      <c r="E13998" t="s">
        <v>13539</v>
      </c>
    </row>
    <row r="13999" spans="5:5" x14ac:dyDescent="0.25">
      <c r="E13999" t="s">
        <v>13540</v>
      </c>
    </row>
    <row r="14000" spans="5:5" x14ac:dyDescent="0.25">
      <c r="E14000" t="s">
        <v>13541</v>
      </c>
    </row>
    <row r="14001" spans="5:5" x14ac:dyDescent="0.25">
      <c r="E14001" t="s">
        <v>13542</v>
      </c>
    </row>
    <row r="14002" spans="5:5" x14ac:dyDescent="0.25">
      <c r="E14002" t="s">
        <v>13543</v>
      </c>
    </row>
    <row r="14003" spans="5:5" x14ac:dyDescent="0.25">
      <c r="E14003" t="s">
        <v>13544</v>
      </c>
    </row>
    <row r="14004" spans="5:5" x14ac:dyDescent="0.25">
      <c r="E14004" t="s">
        <v>13545</v>
      </c>
    </row>
    <row r="14005" spans="5:5" x14ac:dyDescent="0.25">
      <c r="E14005" t="s">
        <v>13546</v>
      </c>
    </row>
    <row r="14006" spans="5:5" x14ac:dyDescent="0.25">
      <c r="E14006" t="s">
        <v>13547</v>
      </c>
    </row>
    <row r="14007" spans="5:5" x14ac:dyDescent="0.25">
      <c r="E14007" t="s">
        <v>13548</v>
      </c>
    </row>
    <row r="14008" spans="5:5" x14ac:dyDescent="0.25">
      <c r="E14008" t="s">
        <v>13549</v>
      </c>
    </row>
    <row r="14009" spans="5:5" x14ac:dyDescent="0.25">
      <c r="E14009" t="s">
        <v>13550</v>
      </c>
    </row>
    <row r="14010" spans="5:5" x14ac:dyDescent="0.25">
      <c r="E14010" t="s">
        <v>13551</v>
      </c>
    </row>
    <row r="14011" spans="5:5" x14ac:dyDescent="0.25">
      <c r="E14011" t="s">
        <v>13552</v>
      </c>
    </row>
    <row r="14012" spans="5:5" x14ac:dyDescent="0.25">
      <c r="E14012" t="s">
        <v>13553</v>
      </c>
    </row>
    <row r="14013" spans="5:5" x14ac:dyDescent="0.25">
      <c r="E14013" t="s">
        <v>13554</v>
      </c>
    </row>
    <row r="14014" spans="5:5" x14ac:dyDescent="0.25">
      <c r="E14014" t="s">
        <v>13555</v>
      </c>
    </row>
    <row r="14015" spans="5:5" x14ac:dyDescent="0.25">
      <c r="E14015" t="s">
        <v>13556</v>
      </c>
    </row>
    <row r="14016" spans="5:5" x14ac:dyDescent="0.25">
      <c r="E14016" t="s">
        <v>13557</v>
      </c>
    </row>
    <row r="14017" spans="5:5" x14ac:dyDescent="0.25">
      <c r="E14017" t="s">
        <v>13558</v>
      </c>
    </row>
    <row r="14018" spans="5:5" x14ac:dyDescent="0.25">
      <c r="E14018" t="s">
        <v>13559</v>
      </c>
    </row>
    <row r="14019" spans="5:5" x14ac:dyDescent="0.25">
      <c r="E14019" t="s">
        <v>13560</v>
      </c>
    </row>
    <row r="14020" spans="5:5" x14ac:dyDescent="0.25">
      <c r="E14020" t="s">
        <v>13561</v>
      </c>
    </row>
    <row r="14021" spans="5:5" x14ac:dyDescent="0.25">
      <c r="E14021" t="s">
        <v>13562</v>
      </c>
    </row>
    <row r="14022" spans="5:5" x14ac:dyDescent="0.25">
      <c r="E14022" t="s">
        <v>13563</v>
      </c>
    </row>
    <row r="14023" spans="5:5" x14ac:dyDescent="0.25">
      <c r="E14023" t="s">
        <v>13564</v>
      </c>
    </row>
    <row r="14024" spans="5:5" x14ac:dyDescent="0.25">
      <c r="E14024" t="s">
        <v>13565</v>
      </c>
    </row>
    <row r="14025" spans="5:5" x14ac:dyDescent="0.25">
      <c r="E14025" t="s">
        <v>13566</v>
      </c>
    </row>
    <row r="14026" spans="5:5" x14ac:dyDescent="0.25">
      <c r="E14026" t="s">
        <v>13567</v>
      </c>
    </row>
    <row r="14027" spans="5:5" x14ac:dyDescent="0.25">
      <c r="E14027" t="s">
        <v>13568</v>
      </c>
    </row>
    <row r="14028" spans="5:5" x14ac:dyDescent="0.25">
      <c r="E14028" t="s">
        <v>13569</v>
      </c>
    </row>
    <row r="14029" spans="5:5" x14ac:dyDescent="0.25">
      <c r="E14029" t="s">
        <v>13570</v>
      </c>
    </row>
    <row r="14030" spans="5:5" x14ac:dyDescent="0.25">
      <c r="E14030" t="s">
        <v>13571</v>
      </c>
    </row>
    <row r="14031" spans="5:5" x14ac:dyDescent="0.25">
      <c r="E14031" t="s">
        <v>13572</v>
      </c>
    </row>
    <row r="14032" spans="5:5" x14ac:dyDescent="0.25">
      <c r="E14032" t="s">
        <v>13573</v>
      </c>
    </row>
    <row r="14033" spans="5:5" x14ac:dyDescent="0.25">
      <c r="E14033" t="s">
        <v>13574</v>
      </c>
    </row>
    <row r="14034" spans="5:5" x14ac:dyDescent="0.25">
      <c r="E14034" t="s">
        <v>13575</v>
      </c>
    </row>
    <row r="14035" spans="5:5" x14ac:dyDescent="0.25">
      <c r="E14035" t="s">
        <v>13576</v>
      </c>
    </row>
    <row r="14036" spans="5:5" x14ac:dyDescent="0.25">
      <c r="E14036" t="s">
        <v>13577</v>
      </c>
    </row>
    <row r="14037" spans="5:5" x14ac:dyDescent="0.25">
      <c r="E14037" t="s">
        <v>13578</v>
      </c>
    </row>
    <row r="14038" spans="5:5" x14ac:dyDescent="0.25">
      <c r="E14038" t="s">
        <v>13579</v>
      </c>
    </row>
    <row r="14039" spans="5:5" x14ac:dyDescent="0.25">
      <c r="E14039" t="s">
        <v>13580</v>
      </c>
    </row>
    <row r="14040" spans="5:5" x14ac:dyDescent="0.25">
      <c r="E14040" t="s">
        <v>13581</v>
      </c>
    </row>
    <row r="14041" spans="5:5" x14ac:dyDescent="0.25">
      <c r="E14041" t="s">
        <v>13582</v>
      </c>
    </row>
    <row r="14042" spans="5:5" x14ac:dyDescent="0.25">
      <c r="E14042" t="s">
        <v>13583</v>
      </c>
    </row>
    <row r="14043" spans="5:5" x14ac:dyDescent="0.25">
      <c r="E14043" t="s">
        <v>13584</v>
      </c>
    </row>
    <row r="14044" spans="5:5" x14ac:dyDescent="0.25">
      <c r="E14044" t="s">
        <v>13585</v>
      </c>
    </row>
    <row r="14045" spans="5:5" x14ac:dyDescent="0.25">
      <c r="E14045" t="s">
        <v>13586</v>
      </c>
    </row>
    <row r="14046" spans="5:5" x14ac:dyDescent="0.25">
      <c r="E14046" t="s">
        <v>13587</v>
      </c>
    </row>
    <row r="14047" spans="5:5" x14ac:dyDescent="0.25">
      <c r="E14047" t="s">
        <v>13588</v>
      </c>
    </row>
    <row r="14048" spans="5:5" x14ac:dyDescent="0.25">
      <c r="E14048" t="s">
        <v>13589</v>
      </c>
    </row>
    <row r="14049" spans="5:5" x14ac:dyDescent="0.25">
      <c r="E14049" t="s">
        <v>13590</v>
      </c>
    </row>
    <row r="14050" spans="5:5" x14ac:dyDescent="0.25">
      <c r="E14050" t="s">
        <v>13591</v>
      </c>
    </row>
    <row r="14051" spans="5:5" x14ac:dyDescent="0.25">
      <c r="E14051" t="s">
        <v>13592</v>
      </c>
    </row>
    <row r="14052" spans="5:5" x14ac:dyDescent="0.25">
      <c r="E14052" t="s">
        <v>13593</v>
      </c>
    </row>
    <row r="14053" spans="5:5" x14ac:dyDescent="0.25">
      <c r="E14053" t="s">
        <v>13594</v>
      </c>
    </row>
    <row r="14054" spans="5:5" x14ac:dyDescent="0.25">
      <c r="E14054" t="s">
        <v>13595</v>
      </c>
    </row>
    <row r="14055" spans="5:5" x14ac:dyDescent="0.25">
      <c r="E14055" t="s">
        <v>13596</v>
      </c>
    </row>
    <row r="14056" spans="5:5" x14ac:dyDescent="0.25">
      <c r="E14056" t="s">
        <v>13597</v>
      </c>
    </row>
    <row r="14057" spans="5:5" x14ac:dyDescent="0.25">
      <c r="E14057" t="s">
        <v>13598</v>
      </c>
    </row>
    <row r="14058" spans="5:5" x14ac:dyDescent="0.25">
      <c r="E14058" t="s">
        <v>13599</v>
      </c>
    </row>
    <row r="14059" spans="5:5" x14ac:dyDescent="0.25">
      <c r="E14059" t="s">
        <v>13600</v>
      </c>
    </row>
    <row r="14060" spans="5:5" x14ac:dyDescent="0.25">
      <c r="E14060" t="s">
        <v>13601</v>
      </c>
    </row>
    <row r="14061" spans="5:5" x14ac:dyDescent="0.25">
      <c r="E14061" t="s">
        <v>13602</v>
      </c>
    </row>
    <row r="14062" spans="5:5" x14ac:dyDescent="0.25">
      <c r="E14062" t="s">
        <v>13603</v>
      </c>
    </row>
    <row r="14063" spans="5:5" x14ac:dyDescent="0.25">
      <c r="E14063" t="s">
        <v>13604</v>
      </c>
    </row>
    <row r="14064" spans="5:5" x14ac:dyDescent="0.25">
      <c r="E14064" t="s">
        <v>13605</v>
      </c>
    </row>
    <row r="14065" spans="5:5" x14ac:dyDescent="0.25">
      <c r="E14065" t="s">
        <v>13606</v>
      </c>
    </row>
    <row r="14066" spans="5:5" x14ac:dyDescent="0.25">
      <c r="E14066" t="s">
        <v>13607</v>
      </c>
    </row>
    <row r="14067" spans="5:5" x14ac:dyDescent="0.25">
      <c r="E14067" t="s">
        <v>13608</v>
      </c>
    </row>
    <row r="14068" spans="5:5" x14ac:dyDescent="0.25">
      <c r="E14068" t="s">
        <v>13609</v>
      </c>
    </row>
    <row r="14069" spans="5:5" x14ac:dyDescent="0.25">
      <c r="E14069" t="s">
        <v>13610</v>
      </c>
    </row>
    <row r="14070" spans="5:5" x14ac:dyDescent="0.25">
      <c r="E14070" t="s">
        <v>13611</v>
      </c>
    </row>
    <row r="14071" spans="5:5" x14ac:dyDescent="0.25">
      <c r="E14071" t="s">
        <v>13612</v>
      </c>
    </row>
    <row r="14072" spans="5:5" x14ac:dyDescent="0.25">
      <c r="E14072" t="s">
        <v>13613</v>
      </c>
    </row>
    <row r="14073" spans="5:5" x14ac:dyDescent="0.25">
      <c r="E14073" t="s">
        <v>13614</v>
      </c>
    </row>
    <row r="14074" spans="5:5" x14ac:dyDescent="0.25">
      <c r="E14074" t="s">
        <v>13615</v>
      </c>
    </row>
    <row r="14075" spans="5:5" x14ac:dyDescent="0.25">
      <c r="E14075" t="s">
        <v>13616</v>
      </c>
    </row>
    <row r="14076" spans="5:5" x14ac:dyDescent="0.25">
      <c r="E14076" t="s">
        <v>13617</v>
      </c>
    </row>
    <row r="14077" spans="5:5" x14ac:dyDescent="0.25">
      <c r="E14077" t="s">
        <v>13618</v>
      </c>
    </row>
    <row r="14078" spans="5:5" x14ac:dyDescent="0.25">
      <c r="E14078" t="s">
        <v>13619</v>
      </c>
    </row>
    <row r="14079" spans="5:5" x14ac:dyDescent="0.25">
      <c r="E14079" t="s">
        <v>13620</v>
      </c>
    </row>
    <row r="14080" spans="5:5" x14ac:dyDescent="0.25">
      <c r="E14080" t="s">
        <v>13621</v>
      </c>
    </row>
    <row r="14081" spans="5:5" x14ac:dyDescent="0.25">
      <c r="E14081" t="s">
        <v>13622</v>
      </c>
    </row>
    <row r="14082" spans="5:5" x14ac:dyDescent="0.25">
      <c r="E14082" t="s">
        <v>13623</v>
      </c>
    </row>
    <row r="14083" spans="5:5" x14ac:dyDescent="0.25">
      <c r="E14083" t="s">
        <v>13624</v>
      </c>
    </row>
    <row r="14084" spans="5:5" x14ac:dyDescent="0.25">
      <c r="E14084" t="s">
        <v>13625</v>
      </c>
    </row>
    <row r="14085" spans="5:5" x14ac:dyDescent="0.25">
      <c r="E14085" t="s">
        <v>13626</v>
      </c>
    </row>
    <row r="14086" spans="5:5" x14ac:dyDescent="0.25">
      <c r="E14086" t="s">
        <v>13627</v>
      </c>
    </row>
    <row r="14087" spans="5:5" x14ac:dyDescent="0.25">
      <c r="E14087" t="s">
        <v>13628</v>
      </c>
    </row>
    <row r="14088" spans="5:5" x14ac:dyDescent="0.25">
      <c r="E14088" t="s">
        <v>13629</v>
      </c>
    </row>
    <row r="14089" spans="5:5" x14ac:dyDescent="0.25">
      <c r="E14089" t="s">
        <v>13630</v>
      </c>
    </row>
    <row r="14090" spans="5:5" x14ac:dyDescent="0.25">
      <c r="E14090" t="s">
        <v>13631</v>
      </c>
    </row>
    <row r="14091" spans="5:5" x14ac:dyDescent="0.25">
      <c r="E14091" t="s">
        <v>13632</v>
      </c>
    </row>
    <row r="14092" spans="5:5" x14ac:dyDescent="0.25">
      <c r="E14092" t="s">
        <v>13633</v>
      </c>
    </row>
    <row r="14093" spans="5:5" x14ac:dyDescent="0.25">
      <c r="E14093" t="s">
        <v>13634</v>
      </c>
    </row>
    <row r="14094" spans="5:5" x14ac:dyDescent="0.25">
      <c r="E14094" t="s">
        <v>13635</v>
      </c>
    </row>
    <row r="14095" spans="5:5" x14ac:dyDescent="0.25">
      <c r="E14095" t="s">
        <v>13636</v>
      </c>
    </row>
    <row r="14096" spans="5:5" x14ac:dyDescent="0.25">
      <c r="E14096" t="s">
        <v>13637</v>
      </c>
    </row>
    <row r="14097" spans="5:5" x14ac:dyDescent="0.25">
      <c r="E14097" t="s">
        <v>13638</v>
      </c>
    </row>
    <row r="14098" spans="5:5" x14ac:dyDescent="0.25">
      <c r="E14098" t="s">
        <v>13639</v>
      </c>
    </row>
    <row r="14099" spans="5:5" x14ac:dyDescent="0.25">
      <c r="E14099" t="s">
        <v>13640</v>
      </c>
    </row>
    <row r="14100" spans="5:5" x14ac:dyDescent="0.25">
      <c r="E14100" t="s">
        <v>13641</v>
      </c>
    </row>
    <row r="14101" spans="5:5" x14ac:dyDescent="0.25">
      <c r="E14101" t="s">
        <v>13642</v>
      </c>
    </row>
    <row r="14102" spans="5:5" x14ac:dyDescent="0.25">
      <c r="E14102" t="s">
        <v>13643</v>
      </c>
    </row>
    <row r="14103" spans="5:5" x14ac:dyDescent="0.25">
      <c r="E14103" t="s">
        <v>13644</v>
      </c>
    </row>
    <row r="14104" spans="5:5" x14ac:dyDescent="0.25">
      <c r="E14104" t="s">
        <v>13645</v>
      </c>
    </row>
    <row r="14105" spans="5:5" x14ac:dyDescent="0.25">
      <c r="E14105" t="s">
        <v>13646</v>
      </c>
    </row>
    <row r="14106" spans="5:5" x14ac:dyDescent="0.25">
      <c r="E14106" t="s">
        <v>13647</v>
      </c>
    </row>
    <row r="14107" spans="5:5" x14ac:dyDescent="0.25">
      <c r="E14107" t="s">
        <v>13648</v>
      </c>
    </row>
    <row r="14108" spans="5:5" x14ac:dyDescent="0.25">
      <c r="E14108" t="s">
        <v>13649</v>
      </c>
    </row>
    <row r="14109" spans="5:5" x14ac:dyDescent="0.25">
      <c r="E14109" t="s">
        <v>13650</v>
      </c>
    </row>
    <row r="14110" spans="5:5" x14ac:dyDescent="0.25">
      <c r="E14110" t="s">
        <v>13651</v>
      </c>
    </row>
    <row r="14111" spans="5:5" x14ac:dyDescent="0.25">
      <c r="E14111" t="s">
        <v>13652</v>
      </c>
    </row>
    <row r="14112" spans="5:5" x14ac:dyDescent="0.25">
      <c r="E14112" t="s">
        <v>13653</v>
      </c>
    </row>
    <row r="14113" spans="5:5" x14ac:dyDescent="0.25">
      <c r="E14113" t="s">
        <v>13654</v>
      </c>
    </row>
    <row r="14114" spans="5:5" x14ac:dyDescent="0.25">
      <c r="E14114" t="s">
        <v>13655</v>
      </c>
    </row>
    <row r="14115" spans="5:5" x14ac:dyDescent="0.25">
      <c r="E14115" t="s">
        <v>13656</v>
      </c>
    </row>
    <row r="14116" spans="5:5" x14ac:dyDescent="0.25">
      <c r="E14116" t="s">
        <v>13657</v>
      </c>
    </row>
    <row r="14117" spans="5:5" x14ac:dyDescent="0.25">
      <c r="E14117" t="s">
        <v>13658</v>
      </c>
    </row>
    <row r="14118" spans="5:5" x14ac:dyDescent="0.25">
      <c r="E14118" t="s">
        <v>13659</v>
      </c>
    </row>
    <row r="14119" spans="5:5" x14ac:dyDescent="0.25">
      <c r="E14119" t="s">
        <v>13660</v>
      </c>
    </row>
    <row r="14120" spans="5:5" x14ac:dyDescent="0.25">
      <c r="E14120" t="s">
        <v>13661</v>
      </c>
    </row>
    <row r="14121" spans="5:5" x14ac:dyDescent="0.25">
      <c r="E14121" t="s">
        <v>13662</v>
      </c>
    </row>
    <row r="14122" spans="5:5" x14ac:dyDescent="0.25">
      <c r="E14122" t="s">
        <v>13663</v>
      </c>
    </row>
    <row r="14123" spans="5:5" x14ac:dyDescent="0.25">
      <c r="E14123" t="s">
        <v>13664</v>
      </c>
    </row>
    <row r="14124" spans="5:5" x14ac:dyDescent="0.25">
      <c r="E14124" t="s">
        <v>13665</v>
      </c>
    </row>
    <row r="14125" spans="5:5" x14ac:dyDescent="0.25">
      <c r="E14125" t="s">
        <v>13666</v>
      </c>
    </row>
    <row r="14126" spans="5:5" x14ac:dyDescent="0.25">
      <c r="E14126" t="s">
        <v>13667</v>
      </c>
    </row>
    <row r="14127" spans="5:5" x14ac:dyDescent="0.25">
      <c r="E14127" t="s">
        <v>13668</v>
      </c>
    </row>
    <row r="14128" spans="5:5" x14ac:dyDescent="0.25">
      <c r="E14128" t="s">
        <v>13669</v>
      </c>
    </row>
    <row r="14129" spans="5:5" x14ac:dyDescent="0.25">
      <c r="E14129" t="s">
        <v>13670</v>
      </c>
    </row>
    <row r="14130" spans="5:5" x14ac:dyDescent="0.25">
      <c r="E14130" t="s">
        <v>13671</v>
      </c>
    </row>
    <row r="14131" spans="5:5" x14ac:dyDescent="0.25">
      <c r="E14131" t="s">
        <v>13672</v>
      </c>
    </row>
    <row r="14132" spans="5:5" x14ac:dyDescent="0.25">
      <c r="E14132" t="s">
        <v>13673</v>
      </c>
    </row>
    <row r="14133" spans="5:5" x14ac:dyDescent="0.25">
      <c r="E14133" t="s">
        <v>13674</v>
      </c>
    </row>
    <row r="14134" spans="5:5" x14ac:dyDescent="0.25">
      <c r="E14134" t="s">
        <v>13675</v>
      </c>
    </row>
    <row r="14135" spans="5:5" x14ac:dyDescent="0.25">
      <c r="E14135" t="s">
        <v>13676</v>
      </c>
    </row>
    <row r="14136" spans="5:5" x14ac:dyDescent="0.25">
      <c r="E14136" t="s">
        <v>13677</v>
      </c>
    </row>
    <row r="14137" spans="5:5" x14ac:dyDescent="0.25">
      <c r="E14137" t="s">
        <v>13678</v>
      </c>
    </row>
    <row r="14138" spans="5:5" x14ac:dyDescent="0.25">
      <c r="E14138" t="s">
        <v>13679</v>
      </c>
    </row>
    <row r="14139" spans="5:5" x14ac:dyDescent="0.25">
      <c r="E14139" t="s">
        <v>13680</v>
      </c>
    </row>
    <row r="14140" spans="5:5" x14ac:dyDescent="0.25">
      <c r="E14140" t="s">
        <v>13681</v>
      </c>
    </row>
    <row r="14141" spans="5:5" x14ac:dyDescent="0.25">
      <c r="E14141" t="s">
        <v>13682</v>
      </c>
    </row>
    <row r="14142" spans="5:5" x14ac:dyDescent="0.25">
      <c r="E14142" t="s">
        <v>13683</v>
      </c>
    </row>
    <row r="14143" spans="5:5" x14ac:dyDescent="0.25">
      <c r="E14143" t="s">
        <v>13684</v>
      </c>
    </row>
    <row r="14144" spans="5:5" x14ac:dyDescent="0.25">
      <c r="E14144" t="s">
        <v>13685</v>
      </c>
    </row>
    <row r="14145" spans="5:5" x14ac:dyDescent="0.25">
      <c r="E14145" t="s">
        <v>13686</v>
      </c>
    </row>
    <row r="14146" spans="5:5" x14ac:dyDescent="0.25">
      <c r="E14146" t="s">
        <v>13687</v>
      </c>
    </row>
    <row r="14147" spans="5:5" x14ac:dyDescent="0.25">
      <c r="E14147" t="s">
        <v>13688</v>
      </c>
    </row>
    <row r="14148" spans="5:5" x14ac:dyDescent="0.25">
      <c r="E14148" t="s">
        <v>13689</v>
      </c>
    </row>
    <row r="14149" spans="5:5" x14ac:dyDescent="0.25">
      <c r="E14149" t="s">
        <v>13690</v>
      </c>
    </row>
    <row r="14150" spans="5:5" x14ac:dyDescent="0.25">
      <c r="E14150" t="s">
        <v>13691</v>
      </c>
    </row>
    <row r="14151" spans="5:5" x14ac:dyDescent="0.25">
      <c r="E14151" t="s">
        <v>13692</v>
      </c>
    </row>
    <row r="14152" spans="5:5" x14ac:dyDescent="0.25">
      <c r="E14152" t="s">
        <v>13693</v>
      </c>
    </row>
    <row r="14153" spans="5:5" x14ac:dyDescent="0.25">
      <c r="E14153" t="s">
        <v>13694</v>
      </c>
    </row>
    <row r="14154" spans="5:5" x14ac:dyDescent="0.25">
      <c r="E14154" t="s">
        <v>13695</v>
      </c>
    </row>
    <row r="14155" spans="5:5" x14ac:dyDescent="0.25">
      <c r="E14155" t="s">
        <v>13696</v>
      </c>
    </row>
    <row r="14156" spans="5:5" x14ac:dyDescent="0.25">
      <c r="E14156" t="s">
        <v>13697</v>
      </c>
    </row>
    <row r="14157" spans="5:5" x14ac:dyDescent="0.25">
      <c r="E14157" t="s">
        <v>13698</v>
      </c>
    </row>
    <row r="14158" spans="5:5" x14ac:dyDescent="0.25">
      <c r="E14158" t="s">
        <v>13699</v>
      </c>
    </row>
    <row r="14159" spans="5:5" x14ac:dyDescent="0.25">
      <c r="E14159" t="s">
        <v>13700</v>
      </c>
    </row>
    <row r="14160" spans="5:5" x14ac:dyDescent="0.25">
      <c r="E14160" t="s">
        <v>13701</v>
      </c>
    </row>
    <row r="14161" spans="5:5" x14ac:dyDescent="0.25">
      <c r="E14161" t="s">
        <v>13702</v>
      </c>
    </row>
    <row r="14162" spans="5:5" x14ac:dyDescent="0.25">
      <c r="E14162" t="s">
        <v>13703</v>
      </c>
    </row>
    <row r="14163" spans="5:5" x14ac:dyDescent="0.25">
      <c r="E14163" t="s">
        <v>13704</v>
      </c>
    </row>
    <row r="14164" spans="5:5" x14ac:dyDescent="0.25">
      <c r="E14164" t="s">
        <v>13705</v>
      </c>
    </row>
    <row r="14165" spans="5:5" x14ac:dyDescent="0.25">
      <c r="E14165" t="s">
        <v>13706</v>
      </c>
    </row>
    <row r="14166" spans="5:5" x14ac:dyDescent="0.25">
      <c r="E14166" t="s">
        <v>13707</v>
      </c>
    </row>
    <row r="14167" spans="5:5" x14ac:dyDescent="0.25">
      <c r="E14167" t="s">
        <v>13708</v>
      </c>
    </row>
    <row r="14168" spans="5:5" x14ac:dyDescent="0.25">
      <c r="E14168" t="s">
        <v>13709</v>
      </c>
    </row>
    <row r="14169" spans="5:5" x14ac:dyDescent="0.25">
      <c r="E14169" t="s">
        <v>13710</v>
      </c>
    </row>
    <row r="14170" spans="5:5" x14ac:dyDescent="0.25">
      <c r="E14170" t="s">
        <v>13711</v>
      </c>
    </row>
    <row r="14171" spans="5:5" x14ac:dyDescent="0.25">
      <c r="E14171" t="s">
        <v>13712</v>
      </c>
    </row>
    <row r="14172" spans="5:5" x14ac:dyDescent="0.25">
      <c r="E14172" t="s">
        <v>13713</v>
      </c>
    </row>
    <row r="14173" spans="5:5" x14ac:dyDescent="0.25">
      <c r="E14173" t="s">
        <v>13714</v>
      </c>
    </row>
    <row r="14174" spans="5:5" x14ac:dyDescent="0.25">
      <c r="E14174" t="s">
        <v>13715</v>
      </c>
    </row>
    <row r="14175" spans="5:5" x14ac:dyDescent="0.25">
      <c r="E14175" t="s">
        <v>13716</v>
      </c>
    </row>
    <row r="14176" spans="5:5" x14ac:dyDescent="0.25">
      <c r="E14176" t="s">
        <v>13717</v>
      </c>
    </row>
    <row r="14177" spans="5:5" x14ac:dyDescent="0.25">
      <c r="E14177" t="s">
        <v>13718</v>
      </c>
    </row>
    <row r="14178" spans="5:5" x14ac:dyDescent="0.25">
      <c r="E14178" t="s">
        <v>13719</v>
      </c>
    </row>
    <row r="14179" spans="5:5" x14ac:dyDescent="0.25">
      <c r="E14179" t="s">
        <v>13720</v>
      </c>
    </row>
    <row r="14180" spans="5:5" x14ac:dyDescent="0.25">
      <c r="E14180" t="s">
        <v>13721</v>
      </c>
    </row>
    <row r="14181" spans="5:5" x14ac:dyDescent="0.25">
      <c r="E14181" t="s">
        <v>13722</v>
      </c>
    </row>
    <row r="14182" spans="5:5" x14ac:dyDescent="0.25">
      <c r="E14182" t="s">
        <v>13723</v>
      </c>
    </row>
    <row r="14183" spans="5:5" x14ac:dyDescent="0.25">
      <c r="E14183" t="s">
        <v>13724</v>
      </c>
    </row>
    <row r="14184" spans="5:5" x14ac:dyDescent="0.25">
      <c r="E14184" t="s">
        <v>13725</v>
      </c>
    </row>
    <row r="14185" spans="5:5" x14ac:dyDescent="0.25">
      <c r="E14185" t="s">
        <v>13726</v>
      </c>
    </row>
    <row r="14186" spans="5:5" x14ac:dyDescent="0.25">
      <c r="E14186" t="s">
        <v>13727</v>
      </c>
    </row>
    <row r="14187" spans="5:5" x14ac:dyDescent="0.25">
      <c r="E14187" t="s">
        <v>13728</v>
      </c>
    </row>
    <row r="14188" spans="5:5" x14ac:dyDescent="0.25">
      <c r="E14188" t="s">
        <v>13729</v>
      </c>
    </row>
    <row r="14189" spans="5:5" x14ac:dyDescent="0.25">
      <c r="E14189" t="s">
        <v>13730</v>
      </c>
    </row>
    <row r="14190" spans="5:5" x14ac:dyDescent="0.25">
      <c r="E14190" t="s">
        <v>13731</v>
      </c>
    </row>
    <row r="14191" spans="5:5" x14ac:dyDescent="0.25">
      <c r="E14191" t="s">
        <v>13732</v>
      </c>
    </row>
    <row r="14192" spans="5:5" x14ac:dyDescent="0.25">
      <c r="E14192" t="s">
        <v>13733</v>
      </c>
    </row>
    <row r="14193" spans="5:5" x14ac:dyDescent="0.25">
      <c r="E14193" t="s">
        <v>13734</v>
      </c>
    </row>
    <row r="14194" spans="5:5" x14ac:dyDescent="0.25">
      <c r="E14194" t="s">
        <v>13735</v>
      </c>
    </row>
    <row r="14195" spans="5:5" x14ac:dyDescent="0.25">
      <c r="E14195" t="s">
        <v>13736</v>
      </c>
    </row>
    <row r="14196" spans="5:5" x14ac:dyDescent="0.25">
      <c r="E14196" t="s">
        <v>13737</v>
      </c>
    </row>
    <row r="14197" spans="5:5" x14ac:dyDescent="0.25">
      <c r="E14197" t="s">
        <v>13738</v>
      </c>
    </row>
    <row r="14198" spans="5:5" x14ac:dyDescent="0.25">
      <c r="E14198" t="s">
        <v>13739</v>
      </c>
    </row>
    <row r="14199" spans="5:5" x14ac:dyDescent="0.25">
      <c r="E14199" t="s">
        <v>13740</v>
      </c>
    </row>
    <row r="14200" spans="5:5" x14ac:dyDescent="0.25">
      <c r="E14200" t="s">
        <v>13741</v>
      </c>
    </row>
    <row r="14201" spans="5:5" x14ac:dyDescent="0.25">
      <c r="E14201" t="s">
        <v>13742</v>
      </c>
    </row>
    <row r="14202" spans="5:5" x14ac:dyDescent="0.25">
      <c r="E14202" t="s">
        <v>13743</v>
      </c>
    </row>
    <row r="14203" spans="5:5" x14ac:dyDescent="0.25">
      <c r="E14203" t="s">
        <v>13744</v>
      </c>
    </row>
    <row r="14204" spans="5:5" x14ac:dyDescent="0.25">
      <c r="E14204" t="s">
        <v>13745</v>
      </c>
    </row>
    <row r="14205" spans="5:5" x14ac:dyDescent="0.25">
      <c r="E14205" t="s">
        <v>13746</v>
      </c>
    </row>
    <row r="14206" spans="5:5" x14ac:dyDescent="0.25">
      <c r="E14206" t="s">
        <v>13747</v>
      </c>
    </row>
    <row r="14207" spans="5:5" x14ac:dyDescent="0.25">
      <c r="E14207" t="s">
        <v>13748</v>
      </c>
    </row>
    <row r="14208" spans="5:5" x14ac:dyDescent="0.25">
      <c r="E14208" t="s">
        <v>13749</v>
      </c>
    </row>
    <row r="14209" spans="5:5" x14ac:dyDescent="0.25">
      <c r="E14209" t="s">
        <v>13750</v>
      </c>
    </row>
    <row r="14210" spans="5:5" x14ac:dyDescent="0.25">
      <c r="E14210" t="s">
        <v>13751</v>
      </c>
    </row>
    <row r="14211" spans="5:5" x14ac:dyDescent="0.25">
      <c r="E14211" t="s">
        <v>13752</v>
      </c>
    </row>
    <row r="14212" spans="5:5" x14ac:dyDescent="0.25">
      <c r="E14212" t="s">
        <v>13753</v>
      </c>
    </row>
    <row r="14213" spans="5:5" x14ac:dyDescent="0.25">
      <c r="E14213" t="s">
        <v>13754</v>
      </c>
    </row>
    <row r="14214" spans="5:5" x14ac:dyDescent="0.25">
      <c r="E14214" t="s">
        <v>13755</v>
      </c>
    </row>
    <row r="14215" spans="5:5" x14ac:dyDescent="0.25">
      <c r="E14215" t="s">
        <v>13756</v>
      </c>
    </row>
    <row r="14216" spans="5:5" x14ac:dyDescent="0.25">
      <c r="E14216" t="s">
        <v>13757</v>
      </c>
    </row>
    <row r="14217" spans="5:5" x14ac:dyDescent="0.25">
      <c r="E14217" t="s">
        <v>13758</v>
      </c>
    </row>
    <row r="14218" spans="5:5" x14ac:dyDescent="0.25">
      <c r="E14218" t="s">
        <v>13759</v>
      </c>
    </row>
    <row r="14219" spans="5:5" x14ac:dyDescent="0.25">
      <c r="E14219" t="s">
        <v>13760</v>
      </c>
    </row>
    <row r="14220" spans="5:5" x14ac:dyDescent="0.25">
      <c r="E14220" t="s">
        <v>13761</v>
      </c>
    </row>
    <row r="14221" spans="5:5" x14ac:dyDescent="0.25">
      <c r="E14221" t="s">
        <v>13762</v>
      </c>
    </row>
    <row r="14222" spans="5:5" x14ac:dyDescent="0.25">
      <c r="E14222" t="s">
        <v>13763</v>
      </c>
    </row>
    <row r="14223" spans="5:5" x14ac:dyDescent="0.25">
      <c r="E14223" t="s">
        <v>13764</v>
      </c>
    </row>
    <row r="14224" spans="5:5" x14ac:dyDescent="0.25">
      <c r="E14224" t="s">
        <v>13765</v>
      </c>
    </row>
    <row r="14225" spans="5:5" x14ac:dyDescent="0.25">
      <c r="E14225" t="s">
        <v>13766</v>
      </c>
    </row>
    <row r="14226" spans="5:5" x14ac:dyDescent="0.25">
      <c r="E14226" t="s">
        <v>13767</v>
      </c>
    </row>
    <row r="14227" spans="5:5" x14ac:dyDescent="0.25">
      <c r="E14227" t="s">
        <v>13768</v>
      </c>
    </row>
    <row r="14228" spans="5:5" x14ac:dyDescent="0.25">
      <c r="E14228" t="s">
        <v>13769</v>
      </c>
    </row>
    <row r="14229" spans="5:5" x14ac:dyDescent="0.25">
      <c r="E14229" t="s">
        <v>13770</v>
      </c>
    </row>
    <row r="14230" spans="5:5" x14ac:dyDescent="0.25">
      <c r="E14230" t="s">
        <v>13771</v>
      </c>
    </row>
    <row r="14231" spans="5:5" x14ac:dyDescent="0.25">
      <c r="E14231" t="s">
        <v>13772</v>
      </c>
    </row>
    <row r="14232" spans="5:5" x14ac:dyDescent="0.25">
      <c r="E14232" t="s">
        <v>13773</v>
      </c>
    </row>
    <row r="14233" spans="5:5" x14ac:dyDescent="0.25">
      <c r="E14233" t="s">
        <v>13774</v>
      </c>
    </row>
    <row r="14234" spans="5:5" x14ac:dyDescent="0.25">
      <c r="E14234" t="s">
        <v>13775</v>
      </c>
    </row>
    <row r="14235" spans="5:5" x14ac:dyDescent="0.25">
      <c r="E14235" t="s">
        <v>13776</v>
      </c>
    </row>
    <row r="14236" spans="5:5" x14ac:dyDescent="0.25">
      <c r="E14236" t="s">
        <v>13777</v>
      </c>
    </row>
    <row r="14237" spans="5:5" x14ac:dyDescent="0.25">
      <c r="E14237" t="s">
        <v>13778</v>
      </c>
    </row>
    <row r="14238" spans="5:5" x14ac:dyDescent="0.25">
      <c r="E14238" t="s">
        <v>13779</v>
      </c>
    </row>
    <row r="14239" spans="5:5" x14ac:dyDescent="0.25">
      <c r="E14239" t="s">
        <v>13780</v>
      </c>
    </row>
    <row r="14240" spans="5:5" x14ac:dyDescent="0.25">
      <c r="E14240" t="s">
        <v>13781</v>
      </c>
    </row>
    <row r="14241" spans="5:5" x14ac:dyDescent="0.25">
      <c r="E14241" t="s">
        <v>13782</v>
      </c>
    </row>
    <row r="14242" spans="5:5" x14ac:dyDescent="0.25">
      <c r="E14242" t="s">
        <v>13783</v>
      </c>
    </row>
    <row r="14243" spans="5:5" x14ac:dyDescent="0.25">
      <c r="E14243" t="s">
        <v>13784</v>
      </c>
    </row>
    <row r="14244" spans="5:5" x14ac:dyDescent="0.25">
      <c r="E14244" t="s">
        <v>13785</v>
      </c>
    </row>
    <row r="14245" spans="5:5" x14ac:dyDescent="0.25">
      <c r="E14245" t="s">
        <v>13786</v>
      </c>
    </row>
    <row r="14246" spans="5:5" x14ac:dyDescent="0.25">
      <c r="E14246" t="s">
        <v>13787</v>
      </c>
    </row>
    <row r="14247" spans="5:5" x14ac:dyDescent="0.25">
      <c r="E14247" t="s">
        <v>13788</v>
      </c>
    </row>
    <row r="14248" spans="5:5" x14ac:dyDescent="0.25">
      <c r="E14248" t="s">
        <v>13789</v>
      </c>
    </row>
    <row r="14249" spans="5:5" x14ac:dyDescent="0.25">
      <c r="E14249" t="s">
        <v>13790</v>
      </c>
    </row>
    <row r="14250" spans="5:5" x14ac:dyDescent="0.25">
      <c r="E14250" t="s">
        <v>13791</v>
      </c>
    </row>
    <row r="14251" spans="5:5" x14ac:dyDescent="0.25">
      <c r="E14251" t="s">
        <v>13792</v>
      </c>
    </row>
    <row r="14252" spans="5:5" x14ac:dyDescent="0.25">
      <c r="E14252" t="s">
        <v>13793</v>
      </c>
    </row>
    <row r="14253" spans="5:5" x14ac:dyDescent="0.25">
      <c r="E14253" t="s">
        <v>13794</v>
      </c>
    </row>
    <row r="14254" spans="5:5" x14ac:dyDescent="0.25">
      <c r="E14254" t="s">
        <v>13795</v>
      </c>
    </row>
    <row r="14255" spans="5:5" x14ac:dyDescent="0.25">
      <c r="E14255" t="s">
        <v>13796</v>
      </c>
    </row>
    <row r="14256" spans="5:5" x14ac:dyDescent="0.25">
      <c r="E14256" t="s">
        <v>13797</v>
      </c>
    </row>
    <row r="14257" spans="5:5" x14ac:dyDescent="0.25">
      <c r="E14257" t="s">
        <v>13798</v>
      </c>
    </row>
    <row r="14258" spans="5:5" x14ac:dyDescent="0.25">
      <c r="E14258" t="s">
        <v>13799</v>
      </c>
    </row>
    <row r="14259" spans="5:5" x14ac:dyDescent="0.25">
      <c r="E14259" t="s">
        <v>13800</v>
      </c>
    </row>
    <row r="14260" spans="5:5" x14ac:dyDescent="0.25">
      <c r="E14260" t="s">
        <v>13801</v>
      </c>
    </row>
    <row r="14261" spans="5:5" x14ac:dyDescent="0.25">
      <c r="E14261" t="s">
        <v>13802</v>
      </c>
    </row>
    <row r="14262" spans="5:5" x14ac:dyDescent="0.25">
      <c r="E14262" t="s">
        <v>13803</v>
      </c>
    </row>
    <row r="14263" spans="5:5" x14ac:dyDescent="0.25">
      <c r="E14263" t="s">
        <v>13804</v>
      </c>
    </row>
    <row r="14264" spans="5:5" x14ac:dyDescent="0.25">
      <c r="E14264" t="s">
        <v>13805</v>
      </c>
    </row>
    <row r="14265" spans="5:5" x14ac:dyDescent="0.25">
      <c r="E14265" t="s">
        <v>13806</v>
      </c>
    </row>
    <row r="14266" spans="5:5" x14ac:dyDescent="0.25">
      <c r="E14266" t="s">
        <v>13807</v>
      </c>
    </row>
    <row r="14267" spans="5:5" x14ac:dyDescent="0.25">
      <c r="E14267" t="s">
        <v>13808</v>
      </c>
    </row>
    <row r="14268" spans="5:5" x14ac:dyDescent="0.25">
      <c r="E14268" t="s">
        <v>13809</v>
      </c>
    </row>
    <row r="14269" spans="5:5" x14ac:dyDescent="0.25">
      <c r="E14269" t="s">
        <v>13810</v>
      </c>
    </row>
    <row r="14270" spans="5:5" x14ac:dyDescent="0.25">
      <c r="E14270" t="s">
        <v>13811</v>
      </c>
    </row>
    <row r="14271" spans="5:5" x14ac:dyDescent="0.25">
      <c r="E14271" t="s">
        <v>13812</v>
      </c>
    </row>
    <row r="14272" spans="5:5" x14ac:dyDescent="0.25">
      <c r="E14272" t="s">
        <v>13813</v>
      </c>
    </row>
    <row r="14273" spans="5:5" x14ac:dyDescent="0.25">
      <c r="E14273" t="s">
        <v>13814</v>
      </c>
    </row>
    <row r="14274" spans="5:5" x14ac:dyDescent="0.25">
      <c r="E14274" t="s">
        <v>13815</v>
      </c>
    </row>
    <row r="14275" spans="5:5" x14ac:dyDescent="0.25">
      <c r="E14275" t="s">
        <v>13816</v>
      </c>
    </row>
    <row r="14276" spans="5:5" x14ac:dyDescent="0.25">
      <c r="E14276" t="s">
        <v>13817</v>
      </c>
    </row>
    <row r="14277" spans="5:5" x14ac:dyDescent="0.25">
      <c r="E14277" t="s">
        <v>13818</v>
      </c>
    </row>
    <row r="14278" spans="5:5" x14ac:dyDescent="0.25">
      <c r="E14278" t="s">
        <v>13819</v>
      </c>
    </row>
    <row r="14279" spans="5:5" x14ac:dyDescent="0.25">
      <c r="E14279" t="s">
        <v>13820</v>
      </c>
    </row>
    <row r="14280" spans="5:5" x14ac:dyDescent="0.25">
      <c r="E14280" t="s">
        <v>13821</v>
      </c>
    </row>
    <row r="14281" spans="5:5" x14ac:dyDescent="0.25">
      <c r="E14281" t="s">
        <v>13822</v>
      </c>
    </row>
    <row r="14282" spans="5:5" x14ac:dyDescent="0.25">
      <c r="E14282" t="s">
        <v>13823</v>
      </c>
    </row>
    <row r="14283" spans="5:5" x14ac:dyDescent="0.25">
      <c r="E14283" t="s">
        <v>13824</v>
      </c>
    </row>
    <row r="14284" spans="5:5" x14ac:dyDescent="0.25">
      <c r="E14284" t="s">
        <v>13825</v>
      </c>
    </row>
    <row r="14285" spans="5:5" x14ac:dyDescent="0.25">
      <c r="E14285" t="s">
        <v>13826</v>
      </c>
    </row>
    <row r="14286" spans="5:5" x14ac:dyDescent="0.25">
      <c r="E14286" t="s">
        <v>13827</v>
      </c>
    </row>
    <row r="14287" spans="5:5" x14ac:dyDescent="0.25">
      <c r="E14287" t="s">
        <v>13828</v>
      </c>
    </row>
    <row r="14288" spans="5:5" x14ac:dyDescent="0.25">
      <c r="E14288" t="s">
        <v>13829</v>
      </c>
    </row>
    <row r="14289" spans="5:5" x14ac:dyDescent="0.25">
      <c r="E14289" t="s">
        <v>13830</v>
      </c>
    </row>
    <row r="14290" spans="5:5" x14ac:dyDescent="0.25">
      <c r="E14290" t="s">
        <v>13831</v>
      </c>
    </row>
    <row r="14291" spans="5:5" x14ac:dyDescent="0.25">
      <c r="E14291" t="s">
        <v>13832</v>
      </c>
    </row>
    <row r="14292" spans="5:5" x14ac:dyDescent="0.25">
      <c r="E14292" t="s">
        <v>13833</v>
      </c>
    </row>
    <row r="14293" spans="5:5" x14ac:dyDescent="0.25">
      <c r="E14293" t="s">
        <v>13834</v>
      </c>
    </row>
    <row r="14294" spans="5:5" x14ac:dyDescent="0.25">
      <c r="E14294" t="s">
        <v>13835</v>
      </c>
    </row>
    <row r="14295" spans="5:5" x14ac:dyDescent="0.25">
      <c r="E14295" t="s">
        <v>13836</v>
      </c>
    </row>
    <row r="14296" spans="5:5" x14ac:dyDescent="0.25">
      <c r="E14296" t="s">
        <v>13837</v>
      </c>
    </row>
    <row r="14297" spans="5:5" x14ac:dyDescent="0.25">
      <c r="E14297" t="s">
        <v>13838</v>
      </c>
    </row>
    <row r="14298" spans="5:5" x14ac:dyDescent="0.25">
      <c r="E14298" t="s">
        <v>13839</v>
      </c>
    </row>
    <row r="14299" spans="5:5" x14ac:dyDescent="0.25">
      <c r="E14299" t="s">
        <v>13840</v>
      </c>
    </row>
    <row r="14300" spans="5:5" x14ac:dyDescent="0.25">
      <c r="E14300" t="s">
        <v>13841</v>
      </c>
    </row>
    <row r="14301" spans="5:5" x14ac:dyDescent="0.25">
      <c r="E14301" t="s">
        <v>13842</v>
      </c>
    </row>
    <row r="14302" spans="5:5" x14ac:dyDescent="0.25">
      <c r="E14302" t="s">
        <v>13843</v>
      </c>
    </row>
    <row r="14303" spans="5:5" x14ac:dyDescent="0.25">
      <c r="E14303" t="s">
        <v>13844</v>
      </c>
    </row>
    <row r="14304" spans="5:5" x14ac:dyDescent="0.25">
      <c r="E14304" t="s">
        <v>13845</v>
      </c>
    </row>
    <row r="14305" spans="5:5" x14ac:dyDescent="0.25">
      <c r="E14305" t="s">
        <v>13846</v>
      </c>
    </row>
    <row r="14306" spans="5:5" x14ac:dyDescent="0.25">
      <c r="E14306" t="s">
        <v>13847</v>
      </c>
    </row>
    <row r="14307" spans="5:5" x14ac:dyDescent="0.25">
      <c r="E14307" t="s">
        <v>13848</v>
      </c>
    </row>
    <row r="14308" spans="5:5" x14ac:dyDescent="0.25">
      <c r="E14308" t="s">
        <v>13849</v>
      </c>
    </row>
    <row r="14309" spans="5:5" x14ac:dyDescent="0.25">
      <c r="E14309" t="s">
        <v>13850</v>
      </c>
    </row>
    <row r="14310" spans="5:5" x14ac:dyDescent="0.25">
      <c r="E14310" t="s">
        <v>13851</v>
      </c>
    </row>
    <row r="14311" spans="5:5" x14ac:dyDescent="0.25">
      <c r="E14311" t="s">
        <v>13852</v>
      </c>
    </row>
    <row r="14312" spans="5:5" x14ac:dyDescent="0.25">
      <c r="E14312" t="s">
        <v>13853</v>
      </c>
    </row>
    <row r="14313" spans="5:5" x14ac:dyDescent="0.25">
      <c r="E14313" t="s">
        <v>13854</v>
      </c>
    </row>
    <row r="14314" spans="5:5" x14ac:dyDescent="0.25">
      <c r="E14314" t="s">
        <v>13855</v>
      </c>
    </row>
    <row r="14315" spans="5:5" x14ac:dyDescent="0.25">
      <c r="E14315" t="s">
        <v>13856</v>
      </c>
    </row>
    <row r="14316" spans="5:5" x14ac:dyDescent="0.25">
      <c r="E14316" t="s">
        <v>13857</v>
      </c>
    </row>
    <row r="14317" spans="5:5" x14ac:dyDescent="0.25">
      <c r="E14317" t="s">
        <v>13858</v>
      </c>
    </row>
    <row r="14318" spans="5:5" x14ac:dyDescent="0.25">
      <c r="E14318" t="s">
        <v>13859</v>
      </c>
    </row>
    <row r="14319" spans="5:5" x14ac:dyDescent="0.25">
      <c r="E14319" t="s">
        <v>13860</v>
      </c>
    </row>
    <row r="14320" spans="5:5" x14ac:dyDescent="0.25">
      <c r="E14320" t="s">
        <v>13861</v>
      </c>
    </row>
    <row r="14321" spans="5:5" x14ac:dyDescent="0.25">
      <c r="E14321" t="s">
        <v>13862</v>
      </c>
    </row>
    <row r="14322" spans="5:5" x14ac:dyDescent="0.25">
      <c r="E14322" t="s">
        <v>13863</v>
      </c>
    </row>
    <row r="14323" spans="5:5" x14ac:dyDescent="0.25">
      <c r="E14323" t="s">
        <v>13864</v>
      </c>
    </row>
    <row r="14324" spans="5:5" x14ac:dyDescent="0.25">
      <c r="E14324" t="s">
        <v>13865</v>
      </c>
    </row>
    <row r="14325" spans="5:5" x14ac:dyDescent="0.25">
      <c r="E14325" t="s">
        <v>13866</v>
      </c>
    </row>
    <row r="14326" spans="5:5" x14ac:dyDescent="0.25">
      <c r="E14326" t="s">
        <v>13867</v>
      </c>
    </row>
    <row r="14327" spans="5:5" x14ac:dyDescent="0.25">
      <c r="E14327" t="s">
        <v>13868</v>
      </c>
    </row>
    <row r="14328" spans="5:5" x14ac:dyDescent="0.25">
      <c r="E14328" t="s">
        <v>13869</v>
      </c>
    </row>
    <row r="14329" spans="5:5" x14ac:dyDescent="0.25">
      <c r="E14329" t="s">
        <v>13870</v>
      </c>
    </row>
    <row r="14330" spans="5:5" x14ac:dyDescent="0.25">
      <c r="E14330" t="s">
        <v>13871</v>
      </c>
    </row>
    <row r="14331" spans="5:5" x14ac:dyDescent="0.25">
      <c r="E14331" t="s">
        <v>13872</v>
      </c>
    </row>
    <row r="14332" spans="5:5" x14ac:dyDescent="0.25">
      <c r="E14332" t="s">
        <v>13873</v>
      </c>
    </row>
    <row r="14333" spans="5:5" x14ac:dyDescent="0.25">
      <c r="E14333" t="s">
        <v>13874</v>
      </c>
    </row>
    <row r="14334" spans="5:5" x14ac:dyDescent="0.25">
      <c r="E14334" t="s">
        <v>13875</v>
      </c>
    </row>
    <row r="14335" spans="5:5" x14ac:dyDescent="0.25">
      <c r="E14335" t="s">
        <v>13876</v>
      </c>
    </row>
    <row r="14336" spans="5:5" x14ac:dyDescent="0.25">
      <c r="E14336" t="s">
        <v>13877</v>
      </c>
    </row>
    <row r="14337" spans="5:5" x14ac:dyDescent="0.25">
      <c r="E14337" t="s">
        <v>13878</v>
      </c>
    </row>
    <row r="14338" spans="5:5" x14ac:dyDescent="0.25">
      <c r="E14338" t="s">
        <v>13879</v>
      </c>
    </row>
    <row r="14339" spans="5:5" x14ac:dyDescent="0.25">
      <c r="E14339" t="s">
        <v>13880</v>
      </c>
    </row>
    <row r="14340" spans="5:5" x14ac:dyDescent="0.25">
      <c r="E14340" t="s">
        <v>13881</v>
      </c>
    </row>
    <row r="14341" spans="5:5" x14ac:dyDescent="0.25">
      <c r="E14341" t="s">
        <v>13882</v>
      </c>
    </row>
    <row r="14342" spans="5:5" x14ac:dyDescent="0.25">
      <c r="E14342" t="s">
        <v>13883</v>
      </c>
    </row>
    <row r="14343" spans="5:5" x14ac:dyDescent="0.25">
      <c r="E14343" t="s">
        <v>13884</v>
      </c>
    </row>
    <row r="14344" spans="5:5" x14ac:dyDescent="0.25">
      <c r="E14344" t="s">
        <v>13885</v>
      </c>
    </row>
    <row r="14345" spans="5:5" x14ac:dyDescent="0.25">
      <c r="E14345" t="s">
        <v>13886</v>
      </c>
    </row>
    <row r="14346" spans="5:5" x14ac:dyDescent="0.25">
      <c r="E14346" t="s">
        <v>13887</v>
      </c>
    </row>
    <row r="14347" spans="5:5" x14ac:dyDescent="0.25">
      <c r="E14347" t="s">
        <v>13888</v>
      </c>
    </row>
    <row r="14348" spans="5:5" x14ac:dyDescent="0.25">
      <c r="E14348" t="s">
        <v>13889</v>
      </c>
    </row>
    <row r="14349" spans="5:5" x14ac:dyDescent="0.25">
      <c r="E14349" t="s">
        <v>13890</v>
      </c>
    </row>
    <row r="14350" spans="5:5" x14ac:dyDescent="0.25">
      <c r="E14350" t="s">
        <v>13891</v>
      </c>
    </row>
    <row r="14351" spans="5:5" x14ac:dyDescent="0.25">
      <c r="E14351" t="s">
        <v>13892</v>
      </c>
    </row>
    <row r="14352" spans="5:5" x14ac:dyDescent="0.25">
      <c r="E14352" t="s">
        <v>13893</v>
      </c>
    </row>
    <row r="14353" spans="5:5" x14ac:dyDescent="0.25">
      <c r="E14353" t="s">
        <v>13894</v>
      </c>
    </row>
    <row r="14354" spans="5:5" x14ac:dyDescent="0.25">
      <c r="E14354" t="s">
        <v>13895</v>
      </c>
    </row>
    <row r="14355" spans="5:5" x14ac:dyDescent="0.25">
      <c r="E14355" t="s">
        <v>13896</v>
      </c>
    </row>
    <row r="14356" spans="5:5" x14ac:dyDescent="0.25">
      <c r="E14356" t="s">
        <v>13897</v>
      </c>
    </row>
    <row r="14357" spans="5:5" x14ac:dyDescent="0.25">
      <c r="E14357" t="s">
        <v>13898</v>
      </c>
    </row>
    <row r="14358" spans="5:5" x14ac:dyDescent="0.25">
      <c r="E14358" t="s">
        <v>13899</v>
      </c>
    </row>
    <row r="14359" spans="5:5" x14ac:dyDescent="0.25">
      <c r="E14359" t="s">
        <v>13900</v>
      </c>
    </row>
    <row r="14360" spans="5:5" x14ac:dyDescent="0.25">
      <c r="E14360" t="s">
        <v>13901</v>
      </c>
    </row>
    <row r="14361" spans="5:5" x14ac:dyDescent="0.25">
      <c r="E14361" t="s">
        <v>13902</v>
      </c>
    </row>
    <row r="14362" spans="5:5" x14ac:dyDescent="0.25">
      <c r="E14362" t="s">
        <v>13903</v>
      </c>
    </row>
    <row r="14363" spans="5:5" x14ac:dyDescent="0.25">
      <c r="E14363" t="s">
        <v>13904</v>
      </c>
    </row>
    <row r="14364" spans="5:5" x14ac:dyDescent="0.25">
      <c r="E14364" t="s">
        <v>13905</v>
      </c>
    </row>
    <row r="14365" spans="5:5" x14ac:dyDescent="0.25">
      <c r="E14365" t="s">
        <v>13906</v>
      </c>
    </row>
    <row r="14366" spans="5:5" x14ac:dyDescent="0.25">
      <c r="E14366" t="s">
        <v>13907</v>
      </c>
    </row>
    <row r="14367" spans="5:5" x14ac:dyDescent="0.25">
      <c r="E14367" t="s">
        <v>13908</v>
      </c>
    </row>
    <row r="14368" spans="5:5" x14ac:dyDescent="0.25">
      <c r="E14368" t="s">
        <v>13909</v>
      </c>
    </row>
    <row r="14369" spans="5:5" x14ac:dyDescent="0.25">
      <c r="E14369" t="s">
        <v>13910</v>
      </c>
    </row>
    <row r="14370" spans="5:5" x14ac:dyDescent="0.25">
      <c r="E14370" t="s">
        <v>13911</v>
      </c>
    </row>
    <row r="14371" spans="5:5" x14ac:dyDescent="0.25">
      <c r="E14371" t="s">
        <v>13912</v>
      </c>
    </row>
    <row r="14372" spans="5:5" x14ac:dyDescent="0.25">
      <c r="E14372" t="s">
        <v>13913</v>
      </c>
    </row>
    <row r="14373" spans="5:5" x14ac:dyDescent="0.25">
      <c r="E14373" t="s">
        <v>13914</v>
      </c>
    </row>
    <row r="14374" spans="5:5" x14ac:dyDescent="0.25">
      <c r="E14374" t="s">
        <v>13915</v>
      </c>
    </row>
    <row r="14375" spans="5:5" x14ac:dyDescent="0.25">
      <c r="E14375" t="s">
        <v>13916</v>
      </c>
    </row>
    <row r="14376" spans="5:5" x14ac:dyDescent="0.25">
      <c r="E14376" t="s">
        <v>13917</v>
      </c>
    </row>
    <row r="14377" spans="5:5" x14ac:dyDescent="0.25">
      <c r="E14377" t="s">
        <v>13918</v>
      </c>
    </row>
    <row r="14378" spans="5:5" x14ac:dyDescent="0.25">
      <c r="E14378" t="s">
        <v>13919</v>
      </c>
    </row>
    <row r="14379" spans="5:5" x14ac:dyDescent="0.25">
      <c r="E14379" t="s">
        <v>13920</v>
      </c>
    </row>
    <row r="14380" spans="5:5" x14ac:dyDescent="0.25">
      <c r="E14380" t="s">
        <v>13921</v>
      </c>
    </row>
    <row r="14381" spans="5:5" x14ac:dyDescent="0.25">
      <c r="E14381" t="s">
        <v>13922</v>
      </c>
    </row>
    <row r="14382" spans="5:5" x14ac:dyDescent="0.25">
      <c r="E14382" t="s">
        <v>13923</v>
      </c>
    </row>
    <row r="14383" spans="5:5" x14ac:dyDescent="0.25">
      <c r="E14383" t="s">
        <v>13924</v>
      </c>
    </row>
    <row r="14384" spans="5:5" x14ac:dyDescent="0.25">
      <c r="E14384" t="s">
        <v>13925</v>
      </c>
    </row>
    <row r="14385" spans="5:5" x14ac:dyDescent="0.25">
      <c r="E14385" t="s">
        <v>13926</v>
      </c>
    </row>
    <row r="14386" spans="5:5" x14ac:dyDescent="0.25">
      <c r="E14386" t="s">
        <v>13927</v>
      </c>
    </row>
    <row r="14387" spans="5:5" x14ac:dyDescent="0.25">
      <c r="E14387" t="s">
        <v>13928</v>
      </c>
    </row>
    <row r="14388" spans="5:5" x14ac:dyDescent="0.25">
      <c r="E14388" t="s">
        <v>13929</v>
      </c>
    </row>
    <row r="14389" spans="5:5" x14ac:dyDescent="0.25">
      <c r="E14389" t="s">
        <v>13930</v>
      </c>
    </row>
    <row r="14390" spans="5:5" x14ac:dyDescent="0.25">
      <c r="E14390" t="s">
        <v>13931</v>
      </c>
    </row>
    <row r="14391" spans="5:5" x14ac:dyDescent="0.25">
      <c r="E14391" t="s">
        <v>13932</v>
      </c>
    </row>
    <row r="14392" spans="5:5" x14ac:dyDescent="0.25">
      <c r="E14392" t="s">
        <v>13933</v>
      </c>
    </row>
    <row r="14393" spans="5:5" x14ac:dyDescent="0.25">
      <c r="E14393" t="s">
        <v>13934</v>
      </c>
    </row>
    <row r="14394" spans="5:5" x14ac:dyDescent="0.25">
      <c r="E14394" t="s">
        <v>13935</v>
      </c>
    </row>
    <row r="14395" spans="5:5" x14ac:dyDescent="0.25">
      <c r="E14395" t="s">
        <v>13936</v>
      </c>
    </row>
    <row r="14396" spans="5:5" x14ac:dyDescent="0.25">
      <c r="E14396" t="s">
        <v>13937</v>
      </c>
    </row>
    <row r="14397" spans="5:5" x14ac:dyDescent="0.25">
      <c r="E14397" t="s">
        <v>13938</v>
      </c>
    </row>
    <row r="14398" spans="5:5" x14ac:dyDescent="0.25">
      <c r="E14398" t="s">
        <v>13939</v>
      </c>
    </row>
    <row r="14399" spans="5:5" x14ac:dyDescent="0.25">
      <c r="E14399" t="s">
        <v>13940</v>
      </c>
    </row>
    <row r="14400" spans="5:5" x14ac:dyDescent="0.25">
      <c r="E14400" t="s">
        <v>13941</v>
      </c>
    </row>
    <row r="14401" spans="5:5" x14ac:dyDescent="0.25">
      <c r="E14401" t="s">
        <v>13942</v>
      </c>
    </row>
    <row r="14402" spans="5:5" x14ac:dyDescent="0.25">
      <c r="E14402" t="s">
        <v>13943</v>
      </c>
    </row>
    <row r="14403" spans="5:5" x14ac:dyDescent="0.25">
      <c r="E14403" t="s">
        <v>13944</v>
      </c>
    </row>
    <row r="14404" spans="5:5" x14ac:dyDescent="0.25">
      <c r="E14404" t="s">
        <v>13945</v>
      </c>
    </row>
    <row r="14405" spans="5:5" x14ac:dyDescent="0.25">
      <c r="E14405" t="s">
        <v>13946</v>
      </c>
    </row>
    <row r="14406" spans="5:5" x14ac:dyDescent="0.25">
      <c r="E14406" t="s">
        <v>13947</v>
      </c>
    </row>
    <row r="14407" spans="5:5" x14ac:dyDescent="0.25">
      <c r="E14407" t="s">
        <v>13948</v>
      </c>
    </row>
    <row r="14408" spans="5:5" x14ac:dyDescent="0.25">
      <c r="E14408" t="s">
        <v>13949</v>
      </c>
    </row>
    <row r="14409" spans="5:5" x14ac:dyDescent="0.25">
      <c r="E14409" t="s">
        <v>13950</v>
      </c>
    </row>
    <row r="14410" spans="5:5" x14ac:dyDescent="0.25">
      <c r="E14410" t="s">
        <v>13951</v>
      </c>
    </row>
    <row r="14411" spans="5:5" x14ac:dyDescent="0.25">
      <c r="E14411" t="s">
        <v>13952</v>
      </c>
    </row>
    <row r="14412" spans="5:5" x14ac:dyDescent="0.25">
      <c r="E14412" t="s">
        <v>13953</v>
      </c>
    </row>
    <row r="14413" spans="5:5" x14ac:dyDescent="0.25">
      <c r="E14413" t="s">
        <v>13954</v>
      </c>
    </row>
    <row r="14414" spans="5:5" x14ac:dyDescent="0.25">
      <c r="E14414" t="s">
        <v>13955</v>
      </c>
    </row>
    <row r="14415" spans="5:5" x14ac:dyDescent="0.25">
      <c r="E14415" t="s">
        <v>13956</v>
      </c>
    </row>
    <row r="14416" spans="5:5" x14ac:dyDescent="0.25">
      <c r="E14416" t="s">
        <v>13957</v>
      </c>
    </row>
    <row r="14417" spans="5:5" x14ac:dyDescent="0.25">
      <c r="E14417" t="s">
        <v>13958</v>
      </c>
    </row>
    <row r="14418" spans="5:5" x14ac:dyDescent="0.25">
      <c r="E14418" t="s">
        <v>13959</v>
      </c>
    </row>
    <row r="14419" spans="5:5" x14ac:dyDescent="0.25">
      <c r="E14419" t="s">
        <v>13960</v>
      </c>
    </row>
    <row r="14420" spans="5:5" x14ac:dyDescent="0.25">
      <c r="E14420" t="s">
        <v>13961</v>
      </c>
    </row>
    <row r="14425" spans="5:5" x14ac:dyDescent="0.25">
      <c r="E14425" t="s">
        <v>13962</v>
      </c>
    </row>
    <row r="14426" spans="5:5" x14ac:dyDescent="0.25">
      <c r="E14426" t="s">
        <v>13963</v>
      </c>
    </row>
    <row r="14427" spans="5:5" x14ac:dyDescent="0.25">
      <c r="E14427" t="s">
        <v>13964</v>
      </c>
    </row>
    <row r="14428" spans="5:5" x14ac:dyDescent="0.25">
      <c r="E14428" t="s">
        <v>13965</v>
      </c>
    </row>
    <row r="14429" spans="5:5" x14ac:dyDescent="0.25">
      <c r="E14429" t="s">
        <v>13966</v>
      </c>
    </row>
    <row r="14430" spans="5:5" x14ac:dyDescent="0.25">
      <c r="E14430" t="s">
        <v>13967</v>
      </c>
    </row>
    <row r="14431" spans="5:5" x14ac:dyDescent="0.25">
      <c r="E14431" t="s">
        <v>13968</v>
      </c>
    </row>
    <row r="14432" spans="5:5" x14ac:dyDescent="0.25">
      <c r="E14432" t="s">
        <v>13969</v>
      </c>
    </row>
    <row r="14433" spans="5:5" x14ac:dyDescent="0.25">
      <c r="E14433" t="s">
        <v>13970</v>
      </c>
    </row>
    <row r="14434" spans="5:5" x14ac:dyDescent="0.25">
      <c r="E14434" t="s">
        <v>13971</v>
      </c>
    </row>
    <row r="14435" spans="5:5" x14ac:dyDescent="0.25">
      <c r="E14435" t="s">
        <v>13972</v>
      </c>
    </row>
    <row r="14436" spans="5:5" x14ac:dyDescent="0.25">
      <c r="E14436" t="s">
        <v>13973</v>
      </c>
    </row>
    <row r="14437" spans="5:5" x14ac:dyDescent="0.25">
      <c r="E14437" t="s">
        <v>13974</v>
      </c>
    </row>
    <row r="14438" spans="5:5" x14ac:dyDescent="0.25">
      <c r="E14438" t="s">
        <v>13975</v>
      </c>
    </row>
    <row r="14439" spans="5:5" x14ac:dyDescent="0.25">
      <c r="E14439" t="s">
        <v>13976</v>
      </c>
    </row>
    <row r="14440" spans="5:5" x14ac:dyDescent="0.25">
      <c r="E14440" t="s">
        <v>13977</v>
      </c>
    </row>
    <row r="14441" spans="5:5" x14ac:dyDescent="0.25">
      <c r="E14441" t="s">
        <v>13978</v>
      </c>
    </row>
    <row r="14442" spans="5:5" x14ac:dyDescent="0.25">
      <c r="E14442" t="s">
        <v>13979</v>
      </c>
    </row>
    <row r="14443" spans="5:5" x14ac:dyDescent="0.25">
      <c r="E14443" t="s">
        <v>13980</v>
      </c>
    </row>
    <row r="14444" spans="5:5" x14ac:dyDescent="0.25">
      <c r="E14444" t="s">
        <v>13981</v>
      </c>
    </row>
    <row r="14445" spans="5:5" x14ac:dyDescent="0.25">
      <c r="E14445" t="s">
        <v>13982</v>
      </c>
    </row>
    <row r="14446" spans="5:5" x14ac:dyDescent="0.25">
      <c r="E14446" t="s">
        <v>13983</v>
      </c>
    </row>
    <row r="14447" spans="5:5" x14ac:dyDescent="0.25">
      <c r="E14447" t="s">
        <v>13984</v>
      </c>
    </row>
    <row r="14448" spans="5:5" x14ac:dyDescent="0.25">
      <c r="E14448" t="s">
        <v>13985</v>
      </c>
    </row>
    <row r="14449" spans="5:5" x14ac:dyDescent="0.25">
      <c r="E14449" t="s">
        <v>13986</v>
      </c>
    </row>
    <row r="14450" spans="5:5" x14ac:dyDescent="0.25">
      <c r="E14450" t="s">
        <v>13987</v>
      </c>
    </row>
    <row r="14451" spans="5:5" x14ac:dyDescent="0.25">
      <c r="E14451" t="s">
        <v>13988</v>
      </c>
    </row>
    <row r="14452" spans="5:5" x14ac:dyDescent="0.25">
      <c r="E14452" t="s">
        <v>13989</v>
      </c>
    </row>
    <row r="14453" spans="5:5" x14ac:dyDescent="0.25">
      <c r="E14453" t="s">
        <v>13990</v>
      </c>
    </row>
    <row r="14454" spans="5:5" x14ac:dyDescent="0.25">
      <c r="E14454" t="s">
        <v>13991</v>
      </c>
    </row>
    <row r="14455" spans="5:5" x14ac:dyDescent="0.25">
      <c r="E14455" t="s">
        <v>13992</v>
      </c>
    </row>
    <row r="14456" spans="5:5" x14ac:dyDescent="0.25">
      <c r="E14456" t="s">
        <v>13993</v>
      </c>
    </row>
    <row r="14457" spans="5:5" x14ac:dyDescent="0.25">
      <c r="E14457" t="s">
        <v>13994</v>
      </c>
    </row>
    <row r="14458" spans="5:5" x14ac:dyDescent="0.25">
      <c r="E14458" t="s">
        <v>13995</v>
      </c>
    </row>
    <row r="14459" spans="5:5" x14ac:dyDescent="0.25">
      <c r="E14459" t="s">
        <v>13996</v>
      </c>
    </row>
    <row r="14460" spans="5:5" x14ac:dyDescent="0.25">
      <c r="E14460" t="s">
        <v>13997</v>
      </c>
    </row>
    <row r="14461" spans="5:5" x14ac:dyDescent="0.25">
      <c r="E14461" t="s">
        <v>13998</v>
      </c>
    </row>
    <row r="14462" spans="5:5" x14ac:dyDescent="0.25">
      <c r="E14462" t="s">
        <v>13999</v>
      </c>
    </row>
    <row r="14463" spans="5:5" x14ac:dyDescent="0.25">
      <c r="E14463" t="s">
        <v>14000</v>
      </c>
    </row>
    <row r="14464" spans="5:5" x14ac:dyDescent="0.25">
      <c r="E14464" t="s">
        <v>14001</v>
      </c>
    </row>
    <row r="14465" spans="5:5" x14ac:dyDescent="0.25">
      <c r="E14465" t="s">
        <v>14002</v>
      </c>
    </row>
    <row r="14466" spans="5:5" x14ac:dyDescent="0.25">
      <c r="E14466" t="s">
        <v>14003</v>
      </c>
    </row>
    <row r="14467" spans="5:5" x14ac:dyDescent="0.25">
      <c r="E14467" t="s">
        <v>14004</v>
      </c>
    </row>
    <row r="14468" spans="5:5" x14ac:dyDescent="0.25">
      <c r="E14468" t="s">
        <v>14005</v>
      </c>
    </row>
    <row r="14469" spans="5:5" x14ac:dyDescent="0.25">
      <c r="E14469" t="s">
        <v>14006</v>
      </c>
    </row>
    <row r="14470" spans="5:5" x14ac:dyDescent="0.25">
      <c r="E14470" t="s">
        <v>14007</v>
      </c>
    </row>
    <row r="14471" spans="5:5" x14ac:dyDescent="0.25">
      <c r="E14471" t="s">
        <v>14008</v>
      </c>
    </row>
    <row r="14472" spans="5:5" x14ac:dyDescent="0.25">
      <c r="E14472" t="s">
        <v>14009</v>
      </c>
    </row>
    <row r="14473" spans="5:5" x14ac:dyDescent="0.25">
      <c r="E14473" t="s">
        <v>14010</v>
      </c>
    </row>
    <row r="14474" spans="5:5" x14ac:dyDescent="0.25">
      <c r="E14474" t="s">
        <v>14011</v>
      </c>
    </row>
    <row r="14475" spans="5:5" x14ac:dyDescent="0.25">
      <c r="E14475" t="s">
        <v>14012</v>
      </c>
    </row>
    <row r="14476" spans="5:5" x14ac:dyDescent="0.25">
      <c r="E14476" t="s">
        <v>14013</v>
      </c>
    </row>
    <row r="14477" spans="5:5" x14ac:dyDescent="0.25">
      <c r="E14477" t="s">
        <v>14014</v>
      </c>
    </row>
    <row r="14478" spans="5:5" x14ac:dyDescent="0.25">
      <c r="E14478" t="s">
        <v>14015</v>
      </c>
    </row>
    <row r="14480" spans="5:5" x14ac:dyDescent="0.25">
      <c r="E14480" t="s">
        <v>14016</v>
      </c>
    </row>
    <row r="14481" spans="5:5" x14ac:dyDescent="0.25">
      <c r="E14481" t="s">
        <v>14017</v>
      </c>
    </row>
    <row r="14488" spans="5:5" x14ac:dyDescent="0.25">
      <c r="E14488" t="s">
        <v>14018</v>
      </c>
    </row>
    <row r="14489" spans="5:5" x14ac:dyDescent="0.25">
      <c r="E14489" t="s">
        <v>14019</v>
      </c>
    </row>
    <row r="14490" spans="5:5" x14ac:dyDescent="0.25">
      <c r="E14490" t="s">
        <v>14020</v>
      </c>
    </row>
    <row r="14491" spans="5:5" x14ac:dyDescent="0.25">
      <c r="E14491" t="s">
        <v>14021</v>
      </c>
    </row>
    <row r="14492" spans="5:5" x14ac:dyDescent="0.25">
      <c r="E14492" t="s">
        <v>14022</v>
      </c>
    </row>
    <row r="14493" spans="5:5" x14ac:dyDescent="0.25">
      <c r="E14493" t="s">
        <v>14023</v>
      </c>
    </row>
    <row r="14494" spans="5:5" x14ac:dyDescent="0.25">
      <c r="E14494" t="s">
        <v>14024</v>
      </c>
    </row>
    <row r="14495" spans="5:5" x14ac:dyDescent="0.25">
      <c r="E14495" t="s">
        <v>14025</v>
      </c>
    </row>
    <row r="14496" spans="5:5" x14ac:dyDescent="0.25">
      <c r="E14496" t="s">
        <v>14026</v>
      </c>
    </row>
    <row r="14497" spans="5:5" x14ac:dyDescent="0.25">
      <c r="E14497" t="s">
        <v>14027</v>
      </c>
    </row>
    <row r="14498" spans="5:5" x14ac:dyDescent="0.25">
      <c r="E14498" t="s">
        <v>14028</v>
      </c>
    </row>
    <row r="14499" spans="5:5" x14ac:dyDescent="0.25">
      <c r="E14499" t="s">
        <v>14029</v>
      </c>
    </row>
    <row r="14500" spans="5:5" x14ac:dyDescent="0.25">
      <c r="E14500" t="s">
        <v>14030</v>
      </c>
    </row>
    <row r="14501" spans="5:5" x14ac:dyDescent="0.25">
      <c r="E14501" t="s">
        <v>14031</v>
      </c>
    </row>
    <row r="14502" spans="5:5" x14ac:dyDescent="0.25">
      <c r="E14502" t="s">
        <v>14032</v>
      </c>
    </row>
    <row r="14503" spans="5:5" x14ac:dyDescent="0.25">
      <c r="E14503" t="s">
        <v>14033</v>
      </c>
    </row>
    <row r="14504" spans="5:5" x14ac:dyDescent="0.25">
      <c r="E14504" t="s">
        <v>14034</v>
      </c>
    </row>
    <row r="14505" spans="5:5" x14ac:dyDescent="0.25">
      <c r="E14505" t="s">
        <v>14035</v>
      </c>
    </row>
    <row r="14506" spans="5:5" x14ac:dyDescent="0.25">
      <c r="E14506" t="s">
        <v>14036</v>
      </c>
    </row>
    <row r="14507" spans="5:5" x14ac:dyDescent="0.25">
      <c r="E14507" t="s">
        <v>14037</v>
      </c>
    </row>
    <row r="14508" spans="5:5" x14ac:dyDescent="0.25">
      <c r="E14508" t="s">
        <v>14038</v>
      </c>
    </row>
    <row r="14509" spans="5:5" x14ac:dyDescent="0.25">
      <c r="E14509" t="s">
        <v>14039</v>
      </c>
    </row>
    <row r="14510" spans="5:5" x14ac:dyDescent="0.25">
      <c r="E14510" t="s">
        <v>14040</v>
      </c>
    </row>
    <row r="14511" spans="5:5" x14ac:dyDescent="0.25">
      <c r="E14511" t="s">
        <v>14041</v>
      </c>
    </row>
    <row r="14512" spans="5:5" x14ac:dyDescent="0.25">
      <c r="E14512" t="s">
        <v>14042</v>
      </c>
    </row>
    <row r="14513" spans="5:5" x14ac:dyDescent="0.25">
      <c r="E14513" t="s">
        <v>14043</v>
      </c>
    </row>
    <row r="14514" spans="5:5" x14ac:dyDescent="0.25">
      <c r="E14514" t="s">
        <v>14044</v>
      </c>
    </row>
    <row r="14515" spans="5:5" x14ac:dyDescent="0.25">
      <c r="E14515" t="s">
        <v>14045</v>
      </c>
    </row>
    <row r="14516" spans="5:5" x14ac:dyDescent="0.25">
      <c r="E14516" t="s">
        <v>14046</v>
      </c>
    </row>
    <row r="14517" spans="5:5" x14ac:dyDescent="0.25">
      <c r="E14517" t="s">
        <v>14047</v>
      </c>
    </row>
    <row r="14518" spans="5:5" x14ac:dyDescent="0.25">
      <c r="E14518" t="s">
        <v>14048</v>
      </c>
    </row>
    <row r="14519" spans="5:5" x14ac:dyDescent="0.25">
      <c r="E14519" t="s">
        <v>14049</v>
      </c>
    </row>
    <row r="14520" spans="5:5" x14ac:dyDescent="0.25">
      <c r="E14520" t="s">
        <v>14050</v>
      </c>
    </row>
    <row r="14521" spans="5:5" x14ac:dyDescent="0.25">
      <c r="E14521" t="s">
        <v>14051</v>
      </c>
    </row>
    <row r="14522" spans="5:5" x14ac:dyDescent="0.25">
      <c r="E14522" t="s">
        <v>14052</v>
      </c>
    </row>
    <row r="14523" spans="5:5" x14ac:dyDescent="0.25">
      <c r="E14523" t="s">
        <v>14053</v>
      </c>
    </row>
    <row r="14524" spans="5:5" x14ac:dyDescent="0.25">
      <c r="E14524" t="s">
        <v>14054</v>
      </c>
    </row>
    <row r="14525" spans="5:5" x14ac:dyDescent="0.25">
      <c r="E14525" t="s">
        <v>14055</v>
      </c>
    </row>
    <row r="14526" spans="5:5" x14ac:dyDescent="0.25">
      <c r="E14526" t="s">
        <v>14056</v>
      </c>
    </row>
    <row r="14527" spans="5:5" x14ac:dyDescent="0.25">
      <c r="E14527" t="s">
        <v>14057</v>
      </c>
    </row>
    <row r="14528" spans="5:5" x14ac:dyDescent="0.25">
      <c r="E14528" t="s">
        <v>14058</v>
      </c>
    </row>
    <row r="14529" spans="5:5" x14ac:dyDescent="0.25">
      <c r="E14529" t="s">
        <v>14059</v>
      </c>
    </row>
    <row r="14530" spans="5:5" x14ac:dyDescent="0.25">
      <c r="E14530" t="s">
        <v>14060</v>
      </c>
    </row>
    <row r="14531" spans="5:5" x14ac:dyDescent="0.25">
      <c r="E14531" t="s">
        <v>14061</v>
      </c>
    </row>
    <row r="14532" spans="5:5" x14ac:dyDescent="0.25">
      <c r="E14532" t="s">
        <v>14062</v>
      </c>
    </row>
    <row r="14533" spans="5:5" x14ac:dyDescent="0.25">
      <c r="E14533" t="s">
        <v>14063</v>
      </c>
    </row>
    <row r="14534" spans="5:5" x14ac:dyDescent="0.25">
      <c r="E14534" t="s">
        <v>14064</v>
      </c>
    </row>
    <row r="14535" spans="5:5" x14ac:dyDescent="0.25">
      <c r="E14535" t="s">
        <v>14065</v>
      </c>
    </row>
    <row r="14536" spans="5:5" x14ac:dyDescent="0.25">
      <c r="E14536" t="s">
        <v>14066</v>
      </c>
    </row>
    <row r="14537" spans="5:5" x14ac:dyDescent="0.25">
      <c r="E14537" t="s">
        <v>14067</v>
      </c>
    </row>
    <row r="14538" spans="5:5" x14ac:dyDescent="0.25">
      <c r="E14538" t="s">
        <v>14068</v>
      </c>
    </row>
    <row r="14539" spans="5:5" x14ac:dyDescent="0.25">
      <c r="E14539" t="s">
        <v>14069</v>
      </c>
    </row>
    <row r="14540" spans="5:5" x14ac:dyDescent="0.25">
      <c r="E14540" t="s">
        <v>14070</v>
      </c>
    </row>
    <row r="14541" spans="5:5" x14ac:dyDescent="0.25">
      <c r="E14541" t="s">
        <v>14071</v>
      </c>
    </row>
    <row r="14542" spans="5:5" x14ac:dyDescent="0.25">
      <c r="E14542" t="s">
        <v>14072</v>
      </c>
    </row>
    <row r="14543" spans="5:5" x14ac:dyDescent="0.25">
      <c r="E14543" t="s">
        <v>14073</v>
      </c>
    </row>
    <row r="14544" spans="5:5" x14ac:dyDescent="0.25">
      <c r="E14544" t="s">
        <v>14074</v>
      </c>
    </row>
    <row r="14545" spans="5:5" x14ac:dyDescent="0.25">
      <c r="E14545" t="s">
        <v>14075</v>
      </c>
    </row>
    <row r="14546" spans="5:5" x14ac:dyDescent="0.25">
      <c r="E14546" t="s">
        <v>14076</v>
      </c>
    </row>
    <row r="14547" spans="5:5" x14ac:dyDescent="0.25">
      <c r="E14547" t="s">
        <v>14077</v>
      </c>
    </row>
    <row r="14548" spans="5:5" x14ac:dyDescent="0.25">
      <c r="E14548" t="s">
        <v>14078</v>
      </c>
    </row>
    <row r="14549" spans="5:5" x14ac:dyDescent="0.25">
      <c r="E14549" t="s">
        <v>14079</v>
      </c>
    </row>
    <row r="14550" spans="5:5" x14ac:dyDescent="0.25">
      <c r="E14550" t="s">
        <v>14080</v>
      </c>
    </row>
    <row r="14551" spans="5:5" x14ac:dyDescent="0.25">
      <c r="E14551" t="s">
        <v>14081</v>
      </c>
    </row>
    <row r="14552" spans="5:5" x14ac:dyDescent="0.25">
      <c r="E14552" t="s">
        <v>14082</v>
      </c>
    </row>
    <row r="14553" spans="5:5" x14ac:dyDescent="0.25">
      <c r="E14553" t="s">
        <v>14083</v>
      </c>
    </row>
    <row r="14554" spans="5:5" x14ac:dyDescent="0.25">
      <c r="E14554" t="s">
        <v>14084</v>
      </c>
    </row>
    <row r="14555" spans="5:5" x14ac:dyDescent="0.25">
      <c r="E14555" t="s">
        <v>14085</v>
      </c>
    </row>
    <row r="14556" spans="5:5" x14ac:dyDescent="0.25">
      <c r="E14556" t="s">
        <v>14086</v>
      </c>
    </row>
    <row r="14557" spans="5:5" x14ac:dyDescent="0.25">
      <c r="E14557" t="s">
        <v>14087</v>
      </c>
    </row>
    <row r="14558" spans="5:5" x14ac:dyDescent="0.25">
      <c r="E14558" t="s">
        <v>14088</v>
      </c>
    </row>
    <row r="14559" spans="5:5" x14ac:dyDescent="0.25">
      <c r="E14559" t="s">
        <v>14089</v>
      </c>
    </row>
    <row r="14560" spans="5:5" x14ac:dyDescent="0.25">
      <c r="E14560" t="s">
        <v>14090</v>
      </c>
    </row>
    <row r="14561" spans="5:5" x14ac:dyDescent="0.25">
      <c r="E14561" t="s">
        <v>14091</v>
      </c>
    </row>
    <row r="14562" spans="5:5" x14ac:dyDescent="0.25">
      <c r="E14562" t="s">
        <v>14092</v>
      </c>
    </row>
    <row r="14563" spans="5:5" x14ac:dyDescent="0.25">
      <c r="E14563" t="s">
        <v>14093</v>
      </c>
    </row>
    <row r="14564" spans="5:5" x14ac:dyDescent="0.25">
      <c r="E14564" t="s">
        <v>14094</v>
      </c>
    </row>
    <row r="14565" spans="5:5" x14ac:dyDescent="0.25">
      <c r="E14565" t="s">
        <v>14095</v>
      </c>
    </row>
    <row r="14566" spans="5:5" x14ac:dyDescent="0.25">
      <c r="E14566" t="s">
        <v>14096</v>
      </c>
    </row>
    <row r="14567" spans="5:5" x14ac:dyDescent="0.25">
      <c r="E14567" t="s">
        <v>14097</v>
      </c>
    </row>
    <row r="14568" spans="5:5" x14ac:dyDescent="0.25">
      <c r="E14568" t="s">
        <v>14098</v>
      </c>
    </row>
    <row r="14569" spans="5:5" x14ac:dyDescent="0.25">
      <c r="E14569" t="s">
        <v>14099</v>
      </c>
    </row>
    <row r="14570" spans="5:5" x14ac:dyDescent="0.25">
      <c r="E14570" t="s">
        <v>14100</v>
      </c>
    </row>
    <row r="14571" spans="5:5" x14ac:dyDescent="0.25">
      <c r="E14571" t="s">
        <v>14101</v>
      </c>
    </row>
    <row r="14572" spans="5:5" x14ac:dyDescent="0.25">
      <c r="E14572" t="s">
        <v>14102</v>
      </c>
    </row>
    <row r="14573" spans="5:5" x14ac:dyDescent="0.25">
      <c r="E14573" t="s">
        <v>14103</v>
      </c>
    </row>
    <row r="14574" spans="5:5" x14ac:dyDescent="0.25">
      <c r="E14574" t="s">
        <v>14104</v>
      </c>
    </row>
    <row r="14575" spans="5:5" x14ac:dyDescent="0.25">
      <c r="E14575" t="s">
        <v>14105</v>
      </c>
    </row>
    <row r="14576" spans="5:5" x14ac:dyDescent="0.25">
      <c r="E14576" t="s">
        <v>14106</v>
      </c>
    </row>
    <row r="14577" spans="5:5" x14ac:dyDescent="0.25">
      <c r="E14577" t="s">
        <v>14107</v>
      </c>
    </row>
    <row r="14578" spans="5:5" x14ac:dyDescent="0.25">
      <c r="E14578" t="s">
        <v>14108</v>
      </c>
    </row>
    <row r="14579" spans="5:5" x14ac:dyDescent="0.25">
      <c r="E14579" t="s">
        <v>14109</v>
      </c>
    </row>
    <row r="14580" spans="5:5" x14ac:dyDescent="0.25">
      <c r="E14580" t="s">
        <v>14110</v>
      </c>
    </row>
    <row r="14581" spans="5:5" x14ac:dyDescent="0.25">
      <c r="E14581" t="s">
        <v>14111</v>
      </c>
    </row>
    <row r="14582" spans="5:5" x14ac:dyDescent="0.25">
      <c r="E14582" t="s">
        <v>14112</v>
      </c>
    </row>
    <row r="14583" spans="5:5" x14ac:dyDescent="0.25">
      <c r="E14583" t="s">
        <v>14113</v>
      </c>
    </row>
    <row r="14584" spans="5:5" x14ac:dyDescent="0.25">
      <c r="E14584" t="s">
        <v>14114</v>
      </c>
    </row>
    <row r="14585" spans="5:5" x14ac:dyDescent="0.25">
      <c r="E14585" t="s">
        <v>14115</v>
      </c>
    </row>
    <row r="14586" spans="5:5" x14ac:dyDescent="0.25">
      <c r="E14586" t="s">
        <v>14116</v>
      </c>
    </row>
    <row r="14587" spans="5:5" x14ac:dyDescent="0.25">
      <c r="E14587" t="s">
        <v>14117</v>
      </c>
    </row>
    <row r="14588" spans="5:5" x14ac:dyDescent="0.25">
      <c r="E14588" t="s">
        <v>14118</v>
      </c>
    </row>
    <row r="14589" spans="5:5" x14ac:dyDescent="0.25">
      <c r="E14589" t="s">
        <v>14119</v>
      </c>
    </row>
    <row r="14590" spans="5:5" x14ac:dyDescent="0.25">
      <c r="E14590" t="s">
        <v>14120</v>
      </c>
    </row>
    <row r="14591" spans="5:5" x14ac:dyDescent="0.25">
      <c r="E14591" t="s">
        <v>14121</v>
      </c>
    </row>
    <row r="14592" spans="5:5" x14ac:dyDescent="0.25">
      <c r="E14592" t="s">
        <v>14122</v>
      </c>
    </row>
    <row r="14593" spans="5:5" x14ac:dyDescent="0.25">
      <c r="E14593" t="s">
        <v>14123</v>
      </c>
    </row>
    <row r="14594" spans="5:5" x14ac:dyDescent="0.25">
      <c r="E14594" t="s">
        <v>14124</v>
      </c>
    </row>
    <row r="14595" spans="5:5" x14ac:dyDescent="0.25">
      <c r="E14595" t="s">
        <v>14125</v>
      </c>
    </row>
    <row r="14596" spans="5:5" x14ac:dyDescent="0.25">
      <c r="E14596" t="s">
        <v>14126</v>
      </c>
    </row>
    <row r="14597" spans="5:5" x14ac:dyDescent="0.25">
      <c r="E14597" t="s">
        <v>14127</v>
      </c>
    </row>
    <row r="14598" spans="5:5" x14ac:dyDescent="0.25">
      <c r="E14598" t="s">
        <v>14128</v>
      </c>
    </row>
    <row r="14599" spans="5:5" x14ac:dyDescent="0.25">
      <c r="E14599" t="s">
        <v>14129</v>
      </c>
    </row>
    <row r="14600" spans="5:5" x14ac:dyDescent="0.25">
      <c r="E14600" t="s">
        <v>14130</v>
      </c>
    </row>
    <row r="14601" spans="5:5" x14ac:dyDescent="0.25">
      <c r="E14601" t="s">
        <v>14131</v>
      </c>
    </row>
    <row r="14602" spans="5:5" x14ac:dyDescent="0.25">
      <c r="E14602" t="s">
        <v>14132</v>
      </c>
    </row>
    <row r="14603" spans="5:5" x14ac:dyDescent="0.25">
      <c r="E14603" t="s">
        <v>14133</v>
      </c>
    </row>
    <row r="14605" spans="5:5" x14ac:dyDescent="0.25">
      <c r="E14605" t="s">
        <v>14134</v>
      </c>
    </row>
    <row r="14606" spans="5:5" x14ac:dyDescent="0.25">
      <c r="E14606" t="s">
        <v>14135</v>
      </c>
    </row>
    <row r="14607" spans="5:5" x14ac:dyDescent="0.25">
      <c r="E14607" t="s">
        <v>14136</v>
      </c>
    </row>
    <row r="14608" spans="5:5" x14ac:dyDescent="0.25">
      <c r="E14608" t="s">
        <v>14137</v>
      </c>
    </row>
    <row r="14609" spans="5:5" x14ac:dyDescent="0.25">
      <c r="E14609" t="s">
        <v>14138</v>
      </c>
    </row>
    <row r="14610" spans="5:5" x14ac:dyDescent="0.25">
      <c r="E14610" t="s">
        <v>14139</v>
      </c>
    </row>
    <row r="14611" spans="5:5" x14ac:dyDescent="0.25">
      <c r="E14611" t="s">
        <v>14140</v>
      </c>
    </row>
    <row r="14612" spans="5:5" x14ac:dyDescent="0.25">
      <c r="E14612" t="s">
        <v>14141</v>
      </c>
    </row>
    <row r="14613" spans="5:5" x14ac:dyDescent="0.25">
      <c r="E14613" t="s">
        <v>14142</v>
      </c>
    </row>
    <row r="14614" spans="5:5" x14ac:dyDescent="0.25">
      <c r="E14614" t="s">
        <v>14143</v>
      </c>
    </row>
    <row r="14615" spans="5:5" x14ac:dyDescent="0.25">
      <c r="E14615" t="s">
        <v>14144</v>
      </c>
    </row>
    <row r="14616" spans="5:5" x14ac:dyDescent="0.25">
      <c r="E14616" t="s">
        <v>14145</v>
      </c>
    </row>
    <row r="14617" spans="5:5" x14ac:dyDescent="0.25">
      <c r="E14617" t="s">
        <v>14146</v>
      </c>
    </row>
    <row r="14618" spans="5:5" x14ac:dyDescent="0.25">
      <c r="E14618" t="s">
        <v>14147</v>
      </c>
    </row>
    <row r="14619" spans="5:5" x14ac:dyDescent="0.25">
      <c r="E14619" t="s">
        <v>14148</v>
      </c>
    </row>
    <row r="14620" spans="5:5" x14ac:dyDescent="0.25">
      <c r="E14620" t="s">
        <v>14149</v>
      </c>
    </row>
    <row r="14621" spans="5:5" x14ac:dyDescent="0.25">
      <c r="E14621" t="s">
        <v>14150</v>
      </c>
    </row>
    <row r="14622" spans="5:5" x14ac:dyDescent="0.25">
      <c r="E14622" t="s">
        <v>14151</v>
      </c>
    </row>
    <row r="14623" spans="5:5" x14ac:dyDescent="0.25">
      <c r="E14623" t="s">
        <v>14152</v>
      </c>
    </row>
    <row r="14624" spans="5:5" x14ac:dyDescent="0.25">
      <c r="E14624" t="s">
        <v>14153</v>
      </c>
    </row>
    <row r="14625" spans="5:5" x14ac:dyDescent="0.25">
      <c r="E14625" t="s">
        <v>14154</v>
      </c>
    </row>
    <row r="14626" spans="5:5" x14ac:dyDescent="0.25">
      <c r="E14626" t="s">
        <v>14155</v>
      </c>
    </row>
    <row r="14627" spans="5:5" x14ac:dyDescent="0.25">
      <c r="E14627" t="s">
        <v>14156</v>
      </c>
    </row>
    <row r="14628" spans="5:5" x14ac:dyDescent="0.25">
      <c r="E14628" t="s">
        <v>14157</v>
      </c>
    </row>
    <row r="14629" spans="5:5" x14ac:dyDescent="0.25">
      <c r="E14629" t="s">
        <v>14158</v>
      </c>
    </row>
    <row r="14630" spans="5:5" x14ac:dyDescent="0.25">
      <c r="E14630" t="s">
        <v>14159</v>
      </c>
    </row>
    <row r="14631" spans="5:5" x14ac:dyDescent="0.25">
      <c r="E14631" t="s">
        <v>14160</v>
      </c>
    </row>
    <row r="14632" spans="5:5" x14ac:dyDescent="0.25">
      <c r="E14632" t="s">
        <v>14161</v>
      </c>
    </row>
    <row r="14633" spans="5:5" x14ac:dyDescent="0.25">
      <c r="E14633" t="s">
        <v>14162</v>
      </c>
    </row>
    <row r="14634" spans="5:5" x14ac:dyDescent="0.25">
      <c r="E14634" t="s">
        <v>14163</v>
      </c>
    </row>
    <row r="14635" spans="5:5" x14ac:dyDescent="0.25">
      <c r="E14635" t="s">
        <v>14164</v>
      </c>
    </row>
    <row r="14636" spans="5:5" x14ac:dyDescent="0.25">
      <c r="E14636" t="s">
        <v>14165</v>
      </c>
    </row>
    <row r="14637" spans="5:5" x14ac:dyDescent="0.25">
      <c r="E14637" t="s">
        <v>14166</v>
      </c>
    </row>
    <row r="14638" spans="5:5" x14ac:dyDescent="0.25">
      <c r="E14638" t="s">
        <v>14167</v>
      </c>
    </row>
    <row r="14639" spans="5:5" x14ac:dyDescent="0.25">
      <c r="E14639" t="s">
        <v>14168</v>
      </c>
    </row>
    <row r="14640" spans="5:5" x14ac:dyDescent="0.25">
      <c r="E14640" t="s">
        <v>14169</v>
      </c>
    </row>
    <row r="14641" spans="5:5" x14ac:dyDescent="0.25">
      <c r="E14641" t="s">
        <v>14170</v>
      </c>
    </row>
    <row r="14642" spans="5:5" x14ac:dyDescent="0.25">
      <c r="E14642" t="s">
        <v>14171</v>
      </c>
    </row>
    <row r="14643" spans="5:5" x14ac:dyDescent="0.25">
      <c r="E14643" t="s">
        <v>14172</v>
      </c>
    </row>
    <row r="14644" spans="5:5" x14ac:dyDescent="0.25">
      <c r="E14644" t="s">
        <v>14173</v>
      </c>
    </row>
    <row r="14645" spans="5:5" x14ac:dyDescent="0.25">
      <c r="E14645" t="s">
        <v>14174</v>
      </c>
    </row>
    <row r="14646" spans="5:5" x14ac:dyDescent="0.25">
      <c r="E14646" t="s">
        <v>14175</v>
      </c>
    </row>
    <row r="14647" spans="5:5" x14ac:dyDescent="0.25">
      <c r="E14647" t="s">
        <v>14176</v>
      </c>
    </row>
    <row r="14648" spans="5:5" x14ac:dyDescent="0.25">
      <c r="E14648" t="s">
        <v>14177</v>
      </c>
    </row>
    <row r="14649" spans="5:5" x14ac:dyDescent="0.25">
      <c r="E14649" t="s">
        <v>14178</v>
      </c>
    </row>
    <row r="14650" spans="5:5" x14ac:dyDescent="0.25">
      <c r="E14650" t="s">
        <v>14179</v>
      </c>
    </row>
    <row r="14651" spans="5:5" x14ac:dyDescent="0.25">
      <c r="E14651" t="s">
        <v>14180</v>
      </c>
    </row>
    <row r="14652" spans="5:5" x14ac:dyDescent="0.25">
      <c r="E14652" t="s">
        <v>14181</v>
      </c>
    </row>
    <row r="14653" spans="5:5" x14ac:dyDescent="0.25">
      <c r="E14653" t="s">
        <v>14182</v>
      </c>
    </row>
    <row r="14654" spans="5:5" x14ac:dyDescent="0.25">
      <c r="E14654" t="s">
        <v>14183</v>
      </c>
    </row>
    <row r="14655" spans="5:5" x14ac:dyDescent="0.25">
      <c r="E14655" t="s">
        <v>14184</v>
      </c>
    </row>
    <row r="14656" spans="5:5" x14ac:dyDescent="0.25">
      <c r="E14656" t="s">
        <v>14185</v>
      </c>
    </row>
    <row r="14657" spans="5:5" x14ac:dyDescent="0.25">
      <c r="E14657" t="s">
        <v>14186</v>
      </c>
    </row>
    <row r="14658" spans="5:5" x14ac:dyDescent="0.25">
      <c r="E14658" t="s">
        <v>14187</v>
      </c>
    </row>
    <row r="14659" spans="5:5" x14ac:dyDescent="0.25">
      <c r="E14659" t="s">
        <v>14188</v>
      </c>
    </row>
    <row r="14660" spans="5:5" x14ac:dyDescent="0.25">
      <c r="E14660" t="s">
        <v>14189</v>
      </c>
    </row>
    <row r="14661" spans="5:5" x14ac:dyDescent="0.25">
      <c r="E14661" t="s">
        <v>14190</v>
      </c>
    </row>
    <row r="14662" spans="5:5" x14ac:dyDescent="0.25">
      <c r="E14662" t="s">
        <v>14191</v>
      </c>
    </row>
    <row r="14663" spans="5:5" x14ac:dyDescent="0.25">
      <c r="E14663" t="s">
        <v>14192</v>
      </c>
    </row>
    <row r="14664" spans="5:5" x14ac:dyDescent="0.25">
      <c r="E14664" t="s">
        <v>14193</v>
      </c>
    </row>
    <row r="14665" spans="5:5" x14ac:dyDescent="0.25">
      <c r="E14665" t="s">
        <v>14194</v>
      </c>
    </row>
    <row r="14666" spans="5:5" x14ac:dyDescent="0.25">
      <c r="E14666" t="s">
        <v>14195</v>
      </c>
    </row>
    <row r="14667" spans="5:5" x14ac:dyDescent="0.25">
      <c r="E14667" t="s">
        <v>14196</v>
      </c>
    </row>
    <row r="14668" spans="5:5" x14ac:dyDescent="0.25">
      <c r="E14668" t="s">
        <v>14197</v>
      </c>
    </row>
    <row r="14669" spans="5:5" x14ac:dyDescent="0.25">
      <c r="E14669" t="s">
        <v>14198</v>
      </c>
    </row>
    <row r="14670" spans="5:5" x14ac:dyDescent="0.25">
      <c r="E14670" t="s">
        <v>14199</v>
      </c>
    </row>
    <row r="14671" spans="5:5" x14ac:dyDescent="0.25">
      <c r="E14671" t="s">
        <v>14200</v>
      </c>
    </row>
    <row r="14672" spans="5:5" x14ac:dyDescent="0.25">
      <c r="E14672" t="s">
        <v>14201</v>
      </c>
    </row>
    <row r="14673" spans="5:5" x14ac:dyDescent="0.25">
      <c r="E14673" t="s">
        <v>14202</v>
      </c>
    </row>
    <row r="14674" spans="5:5" x14ac:dyDescent="0.25">
      <c r="E14674" t="s">
        <v>14203</v>
      </c>
    </row>
    <row r="14675" spans="5:5" x14ac:dyDescent="0.25">
      <c r="E14675" t="s">
        <v>14204</v>
      </c>
    </row>
    <row r="14676" spans="5:5" x14ac:dyDescent="0.25">
      <c r="E14676" t="s">
        <v>14205</v>
      </c>
    </row>
    <row r="14677" spans="5:5" x14ac:dyDescent="0.25">
      <c r="E14677" t="s">
        <v>14206</v>
      </c>
    </row>
    <row r="14678" spans="5:5" x14ac:dyDescent="0.25">
      <c r="E14678" t="s">
        <v>14207</v>
      </c>
    </row>
    <row r="14679" spans="5:5" x14ac:dyDescent="0.25">
      <c r="E14679" t="s">
        <v>14208</v>
      </c>
    </row>
    <row r="14680" spans="5:5" x14ac:dyDescent="0.25">
      <c r="E14680" t="s">
        <v>14209</v>
      </c>
    </row>
    <row r="14681" spans="5:5" x14ac:dyDescent="0.25">
      <c r="E14681" t="s">
        <v>14210</v>
      </c>
    </row>
    <row r="14682" spans="5:5" x14ac:dyDescent="0.25">
      <c r="E14682" t="s">
        <v>14211</v>
      </c>
    </row>
    <row r="14683" spans="5:5" x14ac:dyDescent="0.25">
      <c r="E14683" t="s">
        <v>14212</v>
      </c>
    </row>
    <row r="14684" spans="5:5" x14ac:dyDescent="0.25">
      <c r="E14684" t="s">
        <v>14213</v>
      </c>
    </row>
    <row r="14685" spans="5:5" x14ac:dyDescent="0.25">
      <c r="E14685" t="s">
        <v>14214</v>
      </c>
    </row>
    <row r="14686" spans="5:5" x14ac:dyDescent="0.25">
      <c r="E14686" t="s">
        <v>14215</v>
      </c>
    </row>
    <row r="14687" spans="5:5" x14ac:dyDescent="0.25">
      <c r="E14687" t="s">
        <v>14216</v>
      </c>
    </row>
    <row r="14688" spans="5:5" x14ac:dyDescent="0.25">
      <c r="E14688" t="s">
        <v>14217</v>
      </c>
    </row>
    <row r="14689" spans="5:5" x14ac:dyDescent="0.25">
      <c r="E14689" t="s">
        <v>14218</v>
      </c>
    </row>
    <row r="14690" spans="5:5" x14ac:dyDescent="0.25">
      <c r="E14690" t="s">
        <v>14219</v>
      </c>
    </row>
    <row r="14691" spans="5:5" x14ac:dyDescent="0.25">
      <c r="E14691" t="s">
        <v>14220</v>
      </c>
    </row>
    <row r="14692" spans="5:5" x14ac:dyDescent="0.25">
      <c r="E14692" t="s">
        <v>14221</v>
      </c>
    </row>
    <row r="14693" spans="5:5" x14ac:dyDescent="0.25">
      <c r="E14693" t="s">
        <v>14222</v>
      </c>
    </row>
    <row r="14694" spans="5:5" x14ac:dyDescent="0.25">
      <c r="E14694" t="s">
        <v>14223</v>
      </c>
    </row>
    <row r="14695" spans="5:5" x14ac:dyDescent="0.25">
      <c r="E14695" t="s">
        <v>14224</v>
      </c>
    </row>
    <row r="14696" spans="5:5" x14ac:dyDescent="0.25">
      <c r="E14696" t="s">
        <v>14225</v>
      </c>
    </row>
    <row r="14697" spans="5:5" x14ac:dyDescent="0.25">
      <c r="E14697" t="s">
        <v>14226</v>
      </c>
    </row>
    <row r="14698" spans="5:5" x14ac:dyDescent="0.25">
      <c r="E14698" t="s">
        <v>14227</v>
      </c>
    </row>
    <row r="14699" spans="5:5" x14ac:dyDescent="0.25">
      <c r="E14699" t="s">
        <v>14228</v>
      </c>
    </row>
    <row r="14700" spans="5:5" x14ac:dyDescent="0.25">
      <c r="E14700" t="s">
        <v>14229</v>
      </c>
    </row>
    <row r="14701" spans="5:5" x14ac:dyDescent="0.25">
      <c r="E14701" t="s">
        <v>14230</v>
      </c>
    </row>
    <row r="14702" spans="5:5" x14ac:dyDescent="0.25">
      <c r="E14702" t="s">
        <v>14231</v>
      </c>
    </row>
    <row r="14703" spans="5:5" x14ac:dyDescent="0.25">
      <c r="E14703" t="s">
        <v>14232</v>
      </c>
    </row>
    <row r="14704" spans="5:5" x14ac:dyDescent="0.25">
      <c r="E14704" t="s">
        <v>14233</v>
      </c>
    </row>
    <row r="14705" spans="5:5" x14ac:dyDescent="0.25">
      <c r="E14705" t="s">
        <v>14234</v>
      </c>
    </row>
    <row r="14706" spans="5:5" x14ac:dyDescent="0.25">
      <c r="E14706" t="s">
        <v>14235</v>
      </c>
    </row>
    <row r="14707" spans="5:5" x14ac:dyDescent="0.25">
      <c r="E14707" t="s">
        <v>14236</v>
      </c>
    </row>
    <row r="14708" spans="5:5" x14ac:dyDescent="0.25">
      <c r="E14708" t="s">
        <v>14237</v>
      </c>
    </row>
    <row r="14709" spans="5:5" x14ac:dyDescent="0.25">
      <c r="E14709" t="s">
        <v>14238</v>
      </c>
    </row>
    <row r="14710" spans="5:5" x14ac:dyDescent="0.25">
      <c r="E14710" t="s">
        <v>14239</v>
      </c>
    </row>
    <row r="14711" spans="5:5" x14ac:dyDescent="0.25">
      <c r="E14711" t="s">
        <v>14240</v>
      </c>
    </row>
    <row r="14712" spans="5:5" x14ac:dyDescent="0.25">
      <c r="E14712" t="s">
        <v>14241</v>
      </c>
    </row>
    <row r="14713" spans="5:5" x14ac:dyDescent="0.25">
      <c r="E14713" t="s">
        <v>14242</v>
      </c>
    </row>
    <row r="14714" spans="5:5" x14ac:dyDescent="0.25">
      <c r="E14714" t="s">
        <v>14243</v>
      </c>
    </row>
    <row r="14715" spans="5:5" x14ac:dyDescent="0.25">
      <c r="E14715" t="s">
        <v>14244</v>
      </c>
    </row>
    <row r="14716" spans="5:5" x14ac:dyDescent="0.25">
      <c r="E14716" t="s">
        <v>14245</v>
      </c>
    </row>
    <row r="14717" spans="5:5" x14ac:dyDescent="0.25">
      <c r="E14717" t="s">
        <v>14246</v>
      </c>
    </row>
    <row r="14718" spans="5:5" x14ac:dyDescent="0.25">
      <c r="E14718" t="s">
        <v>14247</v>
      </c>
    </row>
    <row r="14719" spans="5:5" x14ac:dyDescent="0.25">
      <c r="E14719" t="s">
        <v>14248</v>
      </c>
    </row>
    <row r="14720" spans="5:5" x14ac:dyDescent="0.25">
      <c r="E14720" t="s">
        <v>14249</v>
      </c>
    </row>
    <row r="14721" spans="5:5" x14ac:dyDescent="0.25">
      <c r="E14721" t="s">
        <v>14250</v>
      </c>
    </row>
    <row r="14722" spans="5:5" x14ac:dyDescent="0.25">
      <c r="E14722" t="s">
        <v>14251</v>
      </c>
    </row>
    <row r="14725" spans="5:5" x14ac:dyDescent="0.25">
      <c r="E14725" t="s">
        <v>14252</v>
      </c>
    </row>
    <row r="14726" spans="5:5" x14ac:dyDescent="0.25">
      <c r="E14726" t="s">
        <v>14253</v>
      </c>
    </row>
    <row r="14727" spans="5:5" x14ac:dyDescent="0.25">
      <c r="E14727" t="s">
        <v>14254</v>
      </c>
    </row>
    <row r="14728" spans="5:5" x14ac:dyDescent="0.25">
      <c r="E14728" t="s">
        <v>14255</v>
      </c>
    </row>
    <row r="14729" spans="5:5" x14ac:dyDescent="0.25">
      <c r="E14729" t="s">
        <v>14256</v>
      </c>
    </row>
    <row r="14730" spans="5:5" x14ac:dyDescent="0.25">
      <c r="E14730" t="s">
        <v>14257</v>
      </c>
    </row>
    <row r="14731" spans="5:5" x14ac:dyDescent="0.25">
      <c r="E14731" t="s">
        <v>14258</v>
      </c>
    </row>
    <row r="14732" spans="5:5" x14ac:dyDescent="0.25">
      <c r="E14732" t="s">
        <v>14259</v>
      </c>
    </row>
    <row r="14733" spans="5:5" x14ac:dyDescent="0.25">
      <c r="E14733" t="s">
        <v>14260</v>
      </c>
    </row>
    <row r="14734" spans="5:5" x14ac:dyDescent="0.25">
      <c r="E14734" t="s">
        <v>14261</v>
      </c>
    </row>
    <row r="14735" spans="5:5" x14ac:dyDescent="0.25">
      <c r="E14735" t="s">
        <v>14262</v>
      </c>
    </row>
    <row r="14736" spans="5:5" x14ac:dyDescent="0.25">
      <c r="E14736" t="s">
        <v>14263</v>
      </c>
    </row>
    <row r="14737" spans="5:5" x14ac:dyDescent="0.25">
      <c r="E14737" t="s">
        <v>14264</v>
      </c>
    </row>
    <row r="14738" spans="5:5" x14ac:dyDescent="0.25">
      <c r="E14738" t="s">
        <v>14265</v>
      </c>
    </row>
    <row r="14739" spans="5:5" x14ac:dyDescent="0.25">
      <c r="E14739" t="s">
        <v>14266</v>
      </c>
    </row>
    <row r="14740" spans="5:5" x14ac:dyDescent="0.25">
      <c r="E14740" t="s">
        <v>14267</v>
      </c>
    </row>
    <row r="14741" spans="5:5" x14ac:dyDescent="0.25">
      <c r="E14741" t="s">
        <v>14268</v>
      </c>
    </row>
    <row r="14742" spans="5:5" x14ac:dyDescent="0.25">
      <c r="E14742" t="s">
        <v>14269</v>
      </c>
    </row>
    <row r="14743" spans="5:5" x14ac:dyDescent="0.25">
      <c r="E14743" t="s">
        <v>14270</v>
      </c>
    </row>
    <row r="14744" spans="5:5" x14ac:dyDescent="0.25">
      <c r="E14744" t="s">
        <v>14271</v>
      </c>
    </row>
    <row r="14745" spans="5:5" x14ac:dyDescent="0.25">
      <c r="E14745" t="s">
        <v>14272</v>
      </c>
    </row>
    <row r="14746" spans="5:5" x14ac:dyDescent="0.25">
      <c r="E14746" t="s">
        <v>14273</v>
      </c>
    </row>
    <row r="14747" spans="5:5" x14ac:dyDescent="0.25">
      <c r="E14747" t="s">
        <v>14274</v>
      </c>
    </row>
    <row r="14748" spans="5:5" x14ac:dyDescent="0.25">
      <c r="E14748" t="s">
        <v>14275</v>
      </c>
    </row>
    <row r="14749" spans="5:5" x14ac:dyDescent="0.25">
      <c r="E14749" t="s">
        <v>14276</v>
      </c>
    </row>
    <row r="14750" spans="5:5" x14ac:dyDescent="0.25">
      <c r="E14750" t="s">
        <v>14277</v>
      </c>
    </row>
    <row r="14751" spans="5:5" x14ac:dyDescent="0.25">
      <c r="E14751" t="s">
        <v>14278</v>
      </c>
    </row>
    <row r="14752" spans="5:5" x14ac:dyDescent="0.25">
      <c r="E14752" t="s">
        <v>14279</v>
      </c>
    </row>
    <row r="14753" spans="5:5" x14ac:dyDescent="0.25">
      <c r="E14753" t="s">
        <v>14280</v>
      </c>
    </row>
    <row r="14754" spans="5:5" x14ac:dyDescent="0.25">
      <c r="E14754" t="s">
        <v>14281</v>
      </c>
    </row>
    <row r="14755" spans="5:5" x14ac:dyDescent="0.25">
      <c r="E14755" t="s">
        <v>14282</v>
      </c>
    </row>
    <row r="14756" spans="5:5" x14ac:dyDescent="0.25">
      <c r="E14756" t="s">
        <v>14283</v>
      </c>
    </row>
    <row r="14757" spans="5:5" x14ac:dyDescent="0.25">
      <c r="E14757" t="s">
        <v>14284</v>
      </c>
    </row>
    <row r="14758" spans="5:5" x14ac:dyDescent="0.25">
      <c r="E14758" t="s">
        <v>14285</v>
      </c>
    </row>
    <row r="14759" spans="5:5" x14ac:dyDescent="0.25">
      <c r="E14759" t="s">
        <v>14286</v>
      </c>
    </row>
    <row r="14760" spans="5:5" x14ac:dyDescent="0.25">
      <c r="E14760" t="s">
        <v>14287</v>
      </c>
    </row>
    <row r="14761" spans="5:5" x14ac:dyDescent="0.25">
      <c r="E14761" t="s">
        <v>14288</v>
      </c>
    </row>
    <row r="14762" spans="5:5" x14ac:dyDescent="0.25">
      <c r="E14762" t="s">
        <v>14289</v>
      </c>
    </row>
    <row r="14763" spans="5:5" x14ac:dyDescent="0.25">
      <c r="E14763" t="s">
        <v>14290</v>
      </c>
    </row>
    <row r="14764" spans="5:5" x14ac:dyDescent="0.25">
      <c r="E14764" t="s">
        <v>14291</v>
      </c>
    </row>
    <row r="14765" spans="5:5" x14ac:dyDescent="0.25">
      <c r="E14765" t="s">
        <v>14292</v>
      </c>
    </row>
    <row r="14766" spans="5:5" x14ac:dyDescent="0.25">
      <c r="E14766" t="s">
        <v>14293</v>
      </c>
    </row>
    <row r="14767" spans="5:5" x14ac:dyDescent="0.25">
      <c r="E14767" t="s">
        <v>14294</v>
      </c>
    </row>
    <row r="14768" spans="5:5" x14ac:dyDescent="0.25">
      <c r="E14768" t="s">
        <v>14295</v>
      </c>
    </row>
    <row r="14769" spans="5:5" x14ac:dyDescent="0.25">
      <c r="E14769" t="s">
        <v>14296</v>
      </c>
    </row>
    <row r="14770" spans="5:5" x14ac:dyDescent="0.25">
      <c r="E14770" t="s">
        <v>14297</v>
      </c>
    </row>
    <row r="14771" spans="5:5" x14ac:dyDescent="0.25">
      <c r="E14771" t="s">
        <v>14298</v>
      </c>
    </row>
    <row r="14772" spans="5:5" x14ac:dyDescent="0.25">
      <c r="E14772" t="s">
        <v>14299</v>
      </c>
    </row>
    <row r="14773" spans="5:5" x14ac:dyDescent="0.25">
      <c r="E14773" t="s">
        <v>14300</v>
      </c>
    </row>
    <row r="14774" spans="5:5" x14ac:dyDescent="0.25">
      <c r="E14774" t="s">
        <v>14301</v>
      </c>
    </row>
    <row r="14775" spans="5:5" x14ac:dyDescent="0.25">
      <c r="E14775" t="s">
        <v>14302</v>
      </c>
    </row>
    <row r="14776" spans="5:5" x14ac:dyDescent="0.25">
      <c r="E14776" t="s">
        <v>14303</v>
      </c>
    </row>
    <row r="14777" spans="5:5" x14ac:dyDescent="0.25">
      <c r="E14777" t="s">
        <v>14304</v>
      </c>
    </row>
    <row r="14778" spans="5:5" x14ac:dyDescent="0.25">
      <c r="E14778" t="s">
        <v>14305</v>
      </c>
    </row>
    <row r="14779" spans="5:5" x14ac:dyDescent="0.25">
      <c r="E14779" t="s">
        <v>14306</v>
      </c>
    </row>
    <row r="14780" spans="5:5" x14ac:dyDescent="0.25">
      <c r="E14780" t="s">
        <v>14307</v>
      </c>
    </row>
    <row r="14781" spans="5:5" x14ac:dyDescent="0.25">
      <c r="E14781" t="s">
        <v>14308</v>
      </c>
    </row>
    <row r="14782" spans="5:5" x14ac:dyDescent="0.25">
      <c r="E14782" t="s">
        <v>14309</v>
      </c>
    </row>
    <row r="14783" spans="5:5" x14ac:dyDescent="0.25">
      <c r="E14783" t="s">
        <v>14310</v>
      </c>
    </row>
    <row r="14784" spans="5:5" x14ac:dyDescent="0.25">
      <c r="E14784" t="s">
        <v>14311</v>
      </c>
    </row>
    <row r="14785" spans="5:5" x14ac:dyDescent="0.25">
      <c r="E14785" t="s">
        <v>14312</v>
      </c>
    </row>
    <row r="14786" spans="5:5" x14ac:dyDescent="0.25">
      <c r="E14786" t="s">
        <v>14313</v>
      </c>
    </row>
    <row r="14787" spans="5:5" x14ac:dyDescent="0.25">
      <c r="E14787" t="s">
        <v>14314</v>
      </c>
    </row>
    <row r="14788" spans="5:5" x14ac:dyDescent="0.25">
      <c r="E14788" t="s">
        <v>14315</v>
      </c>
    </row>
    <row r="14789" spans="5:5" x14ac:dyDescent="0.25">
      <c r="E14789" t="s">
        <v>14316</v>
      </c>
    </row>
    <row r="14790" spans="5:5" x14ac:dyDescent="0.25">
      <c r="E14790" t="s">
        <v>14317</v>
      </c>
    </row>
    <row r="14791" spans="5:5" x14ac:dyDescent="0.25">
      <c r="E14791" t="s">
        <v>14318</v>
      </c>
    </row>
    <row r="14792" spans="5:5" x14ac:dyDescent="0.25">
      <c r="E14792" t="s">
        <v>14319</v>
      </c>
    </row>
    <row r="14793" spans="5:5" x14ac:dyDescent="0.25">
      <c r="E14793" t="s">
        <v>14320</v>
      </c>
    </row>
    <row r="14794" spans="5:5" x14ac:dyDescent="0.25">
      <c r="E14794" t="s">
        <v>14321</v>
      </c>
    </row>
    <row r="14795" spans="5:5" x14ac:dyDescent="0.25">
      <c r="E14795" t="s">
        <v>14322</v>
      </c>
    </row>
    <row r="14796" spans="5:5" x14ac:dyDescent="0.25">
      <c r="E14796" t="s">
        <v>14323</v>
      </c>
    </row>
    <row r="14797" spans="5:5" x14ac:dyDescent="0.25">
      <c r="E14797" t="s">
        <v>14324</v>
      </c>
    </row>
    <row r="14798" spans="5:5" x14ac:dyDescent="0.25">
      <c r="E14798" t="s">
        <v>14325</v>
      </c>
    </row>
    <row r="14799" spans="5:5" x14ac:dyDescent="0.25">
      <c r="E14799" t="s">
        <v>14326</v>
      </c>
    </row>
    <row r="14800" spans="5:5" x14ac:dyDescent="0.25">
      <c r="E14800" t="s">
        <v>14327</v>
      </c>
    </row>
    <row r="14801" spans="5:5" x14ac:dyDescent="0.25">
      <c r="E14801" t="s">
        <v>14328</v>
      </c>
    </row>
    <row r="14802" spans="5:5" x14ac:dyDescent="0.25">
      <c r="E14802" t="s">
        <v>14329</v>
      </c>
    </row>
    <row r="14803" spans="5:5" x14ac:dyDescent="0.25">
      <c r="E14803" t="s">
        <v>14330</v>
      </c>
    </row>
    <row r="14804" spans="5:5" x14ac:dyDescent="0.25">
      <c r="E14804" t="s">
        <v>14331</v>
      </c>
    </row>
    <row r="14805" spans="5:5" x14ac:dyDescent="0.25">
      <c r="E14805" t="s">
        <v>14332</v>
      </c>
    </row>
    <row r="14806" spans="5:5" x14ac:dyDescent="0.25">
      <c r="E14806" t="s">
        <v>14333</v>
      </c>
    </row>
    <row r="14807" spans="5:5" x14ac:dyDescent="0.25">
      <c r="E14807" t="s">
        <v>14334</v>
      </c>
    </row>
    <row r="14808" spans="5:5" x14ac:dyDescent="0.25">
      <c r="E14808" t="s">
        <v>14335</v>
      </c>
    </row>
    <row r="14809" spans="5:5" x14ac:dyDescent="0.25">
      <c r="E14809" t="s">
        <v>14336</v>
      </c>
    </row>
    <row r="14810" spans="5:5" x14ac:dyDescent="0.25">
      <c r="E14810" t="s">
        <v>14337</v>
      </c>
    </row>
    <row r="14811" spans="5:5" x14ac:dyDescent="0.25">
      <c r="E14811" t="s">
        <v>14338</v>
      </c>
    </row>
    <row r="14812" spans="5:5" x14ac:dyDescent="0.25">
      <c r="E14812" t="s">
        <v>14339</v>
      </c>
    </row>
    <row r="14813" spans="5:5" x14ac:dyDescent="0.25">
      <c r="E14813" t="s">
        <v>14340</v>
      </c>
    </row>
    <row r="14814" spans="5:5" x14ac:dyDescent="0.25">
      <c r="E14814" t="s">
        <v>14341</v>
      </c>
    </row>
    <row r="14815" spans="5:5" x14ac:dyDescent="0.25">
      <c r="E14815" t="s">
        <v>14342</v>
      </c>
    </row>
    <row r="14816" spans="5:5" x14ac:dyDescent="0.25">
      <c r="E14816" t="s">
        <v>14343</v>
      </c>
    </row>
    <row r="14817" spans="5:5" x14ac:dyDescent="0.25">
      <c r="E14817" t="s">
        <v>14344</v>
      </c>
    </row>
    <row r="14818" spans="5:5" x14ac:dyDescent="0.25">
      <c r="E14818" t="s">
        <v>14345</v>
      </c>
    </row>
    <row r="14819" spans="5:5" x14ac:dyDescent="0.25">
      <c r="E14819" t="s">
        <v>14346</v>
      </c>
    </row>
    <row r="14820" spans="5:5" x14ac:dyDescent="0.25">
      <c r="E14820" t="s">
        <v>14347</v>
      </c>
    </row>
    <row r="14821" spans="5:5" x14ac:dyDescent="0.25">
      <c r="E14821" t="s">
        <v>14348</v>
      </c>
    </row>
    <row r="14822" spans="5:5" x14ac:dyDescent="0.25">
      <c r="E14822" t="s">
        <v>14349</v>
      </c>
    </row>
    <row r="14823" spans="5:5" x14ac:dyDescent="0.25">
      <c r="E14823" t="s">
        <v>14350</v>
      </c>
    </row>
    <row r="14824" spans="5:5" x14ac:dyDescent="0.25">
      <c r="E14824" t="s">
        <v>14351</v>
      </c>
    </row>
    <row r="14825" spans="5:5" x14ac:dyDescent="0.25">
      <c r="E14825" t="s">
        <v>14352</v>
      </c>
    </row>
    <row r="14826" spans="5:5" x14ac:dyDescent="0.25">
      <c r="E14826" t="s">
        <v>14353</v>
      </c>
    </row>
    <row r="14827" spans="5:5" x14ac:dyDescent="0.25">
      <c r="E14827" t="s">
        <v>14354</v>
      </c>
    </row>
    <row r="14828" spans="5:5" x14ac:dyDescent="0.25">
      <c r="E14828" t="s">
        <v>14355</v>
      </c>
    </row>
    <row r="14829" spans="5:5" x14ac:dyDescent="0.25">
      <c r="E14829" t="s">
        <v>14356</v>
      </c>
    </row>
    <row r="14830" spans="5:5" x14ac:dyDescent="0.25">
      <c r="E14830" t="s">
        <v>14357</v>
      </c>
    </row>
    <row r="14831" spans="5:5" x14ac:dyDescent="0.25">
      <c r="E14831" t="s">
        <v>14358</v>
      </c>
    </row>
    <row r="14832" spans="5:5" x14ac:dyDescent="0.25">
      <c r="E14832" t="s">
        <v>14359</v>
      </c>
    </row>
    <row r="14833" spans="5:5" x14ac:dyDescent="0.25">
      <c r="E14833" t="s">
        <v>14360</v>
      </c>
    </row>
    <row r="14834" spans="5:5" x14ac:dyDescent="0.25">
      <c r="E14834" t="s">
        <v>14361</v>
      </c>
    </row>
    <row r="14835" spans="5:5" x14ac:dyDescent="0.25">
      <c r="E14835" t="s">
        <v>14362</v>
      </c>
    </row>
    <row r="14836" spans="5:5" x14ac:dyDescent="0.25">
      <c r="E14836" t="s">
        <v>14363</v>
      </c>
    </row>
    <row r="14837" spans="5:5" x14ac:dyDescent="0.25">
      <c r="E14837" t="s">
        <v>14364</v>
      </c>
    </row>
    <row r="14838" spans="5:5" x14ac:dyDescent="0.25">
      <c r="E14838" t="s">
        <v>14365</v>
      </c>
    </row>
    <row r="14839" spans="5:5" x14ac:dyDescent="0.25">
      <c r="E14839" t="s">
        <v>14366</v>
      </c>
    </row>
    <row r="14840" spans="5:5" x14ac:dyDescent="0.25">
      <c r="E14840" t="s">
        <v>14367</v>
      </c>
    </row>
    <row r="14841" spans="5:5" x14ac:dyDescent="0.25">
      <c r="E14841" t="s">
        <v>14368</v>
      </c>
    </row>
    <row r="14842" spans="5:5" x14ac:dyDescent="0.25">
      <c r="E14842" t="s">
        <v>14369</v>
      </c>
    </row>
    <row r="14843" spans="5:5" x14ac:dyDescent="0.25">
      <c r="E14843" t="s">
        <v>14370</v>
      </c>
    </row>
    <row r="14844" spans="5:5" x14ac:dyDescent="0.25">
      <c r="E14844" t="s">
        <v>14371</v>
      </c>
    </row>
    <row r="14845" spans="5:5" x14ac:dyDescent="0.25">
      <c r="E14845" t="s">
        <v>14372</v>
      </c>
    </row>
    <row r="14846" spans="5:5" x14ac:dyDescent="0.25">
      <c r="E14846" t="s">
        <v>14373</v>
      </c>
    </row>
    <row r="14847" spans="5:5" x14ac:dyDescent="0.25">
      <c r="E14847" t="s">
        <v>14374</v>
      </c>
    </row>
    <row r="14848" spans="5:5" x14ac:dyDescent="0.25">
      <c r="E14848" t="s">
        <v>14375</v>
      </c>
    </row>
    <row r="14849" spans="5:5" x14ac:dyDescent="0.25">
      <c r="E14849" t="s">
        <v>14376</v>
      </c>
    </row>
    <row r="14850" spans="5:5" x14ac:dyDescent="0.25">
      <c r="E14850" t="s">
        <v>14377</v>
      </c>
    </row>
    <row r="14851" spans="5:5" x14ac:dyDescent="0.25">
      <c r="E14851" t="s">
        <v>14378</v>
      </c>
    </row>
    <row r="14852" spans="5:5" x14ac:dyDescent="0.25">
      <c r="E14852" t="s">
        <v>14379</v>
      </c>
    </row>
    <row r="14853" spans="5:5" x14ac:dyDescent="0.25">
      <c r="E14853" t="s">
        <v>14380</v>
      </c>
    </row>
    <row r="14854" spans="5:5" x14ac:dyDescent="0.25">
      <c r="E14854" t="s">
        <v>14381</v>
      </c>
    </row>
    <row r="14855" spans="5:5" x14ac:dyDescent="0.25">
      <c r="E14855" t="s">
        <v>14382</v>
      </c>
    </row>
    <row r="14856" spans="5:5" x14ac:dyDescent="0.25">
      <c r="E14856" t="s">
        <v>14383</v>
      </c>
    </row>
    <row r="14857" spans="5:5" x14ac:dyDescent="0.25">
      <c r="E14857" t="s">
        <v>14384</v>
      </c>
    </row>
    <row r="14858" spans="5:5" x14ac:dyDescent="0.25">
      <c r="E14858" t="s">
        <v>14385</v>
      </c>
    </row>
    <row r="14859" spans="5:5" x14ac:dyDescent="0.25">
      <c r="E14859" t="s">
        <v>14386</v>
      </c>
    </row>
    <row r="14860" spans="5:5" x14ac:dyDescent="0.25">
      <c r="E14860" t="s">
        <v>14387</v>
      </c>
    </row>
    <row r="14861" spans="5:5" x14ac:dyDescent="0.25">
      <c r="E14861" t="s">
        <v>14388</v>
      </c>
    </row>
    <row r="14862" spans="5:5" x14ac:dyDescent="0.25">
      <c r="E14862" t="s">
        <v>14389</v>
      </c>
    </row>
    <row r="14863" spans="5:5" x14ac:dyDescent="0.25">
      <c r="E14863" t="s">
        <v>14390</v>
      </c>
    </row>
    <row r="14864" spans="5:5" x14ac:dyDescent="0.25">
      <c r="E14864" t="s">
        <v>14391</v>
      </c>
    </row>
    <row r="14865" spans="5:5" x14ac:dyDescent="0.25">
      <c r="E14865" t="s">
        <v>14392</v>
      </c>
    </row>
    <row r="14866" spans="5:5" x14ac:dyDescent="0.25">
      <c r="E14866" t="s">
        <v>14393</v>
      </c>
    </row>
    <row r="14867" spans="5:5" x14ac:dyDescent="0.25">
      <c r="E14867" t="s">
        <v>14394</v>
      </c>
    </row>
    <row r="14868" spans="5:5" x14ac:dyDescent="0.25">
      <c r="E14868" t="s">
        <v>14395</v>
      </c>
    </row>
    <row r="14869" spans="5:5" x14ac:dyDescent="0.25">
      <c r="E14869" t="s">
        <v>14396</v>
      </c>
    </row>
    <row r="14870" spans="5:5" x14ac:dyDescent="0.25">
      <c r="E14870" t="s">
        <v>14397</v>
      </c>
    </row>
    <row r="14871" spans="5:5" x14ac:dyDescent="0.25">
      <c r="E14871" t="s">
        <v>14398</v>
      </c>
    </row>
    <row r="14872" spans="5:5" x14ac:dyDescent="0.25">
      <c r="E14872" t="s">
        <v>14399</v>
      </c>
    </row>
    <row r="14873" spans="5:5" x14ac:dyDescent="0.25">
      <c r="E14873" t="s">
        <v>14400</v>
      </c>
    </row>
    <row r="14874" spans="5:5" x14ac:dyDescent="0.25">
      <c r="E14874" t="s">
        <v>14401</v>
      </c>
    </row>
    <row r="14875" spans="5:5" x14ac:dyDescent="0.25">
      <c r="E14875" t="s">
        <v>14402</v>
      </c>
    </row>
    <row r="14876" spans="5:5" x14ac:dyDescent="0.25">
      <c r="E14876" t="s">
        <v>14403</v>
      </c>
    </row>
    <row r="14877" spans="5:5" x14ac:dyDescent="0.25">
      <c r="E14877" t="s">
        <v>14404</v>
      </c>
    </row>
    <row r="14878" spans="5:5" x14ac:dyDescent="0.25">
      <c r="E14878" t="s">
        <v>14405</v>
      </c>
    </row>
    <row r="14879" spans="5:5" x14ac:dyDescent="0.25">
      <c r="E14879" t="s">
        <v>14406</v>
      </c>
    </row>
    <row r="14880" spans="5:5" x14ac:dyDescent="0.25">
      <c r="E14880" t="s">
        <v>14407</v>
      </c>
    </row>
    <row r="14881" spans="5:5" x14ac:dyDescent="0.25">
      <c r="E14881" t="s">
        <v>14408</v>
      </c>
    </row>
    <row r="14882" spans="5:5" x14ac:dyDescent="0.25">
      <c r="E14882" t="s">
        <v>14409</v>
      </c>
    </row>
    <row r="14883" spans="5:5" x14ac:dyDescent="0.25">
      <c r="E14883" t="s">
        <v>14410</v>
      </c>
    </row>
    <row r="14884" spans="5:5" x14ac:dyDescent="0.25">
      <c r="E14884" t="s">
        <v>14411</v>
      </c>
    </row>
    <row r="14885" spans="5:5" x14ac:dyDescent="0.25">
      <c r="E14885" t="s">
        <v>14412</v>
      </c>
    </row>
    <row r="14886" spans="5:5" x14ac:dyDescent="0.25">
      <c r="E14886" t="s">
        <v>14413</v>
      </c>
    </row>
    <row r="14887" spans="5:5" x14ac:dyDescent="0.25">
      <c r="E14887" t="s">
        <v>14414</v>
      </c>
    </row>
    <row r="14888" spans="5:5" x14ac:dyDescent="0.25">
      <c r="E14888" t="s">
        <v>14415</v>
      </c>
    </row>
    <row r="14889" spans="5:5" x14ac:dyDescent="0.25">
      <c r="E14889" t="s">
        <v>14416</v>
      </c>
    </row>
    <row r="14890" spans="5:5" x14ac:dyDescent="0.25">
      <c r="E14890" t="s">
        <v>14417</v>
      </c>
    </row>
    <row r="14891" spans="5:5" x14ac:dyDescent="0.25">
      <c r="E14891" t="s">
        <v>14418</v>
      </c>
    </row>
    <row r="14892" spans="5:5" x14ac:dyDescent="0.25">
      <c r="E14892" t="s">
        <v>14419</v>
      </c>
    </row>
    <row r="14893" spans="5:5" x14ac:dyDescent="0.25">
      <c r="E14893" t="s">
        <v>14420</v>
      </c>
    </row>
    <row r="14894" spans="5:5" x14ac:dyDescent="0.25">
      <c r="E14894" t="s">
        <v>14421</v>
      </c>
    </row>
    <row r="14895" spans="5:5" x14ac:dyDescent="0.25">
      <c r="E14895" t="s">
        <v>14422</v>
      </c>
    </row>
    <row r="14896" spans="5:5" x14ac:dyDescent="0.25">
      <c r="E14896" t="s">
        <v>14423</v>
      </c>
    </row>
    <row r="14897" spans="5:5" x14ac:dyDescent="0.25">
      <c r="E14897" t="s">
        <v>14424</v>
      </c>
    </row>
    <row r="14898" spans="5:5" x14ac:dyDescent="0.25">
      <c r="E14898" t="s">
        <v>14425</v>
      </c>
    </row>
    <row r="14899" spans="5:5" x14ac:dyDescent="0.25">
      <c r="E14899" t="s">
        <v>14426</v>
      </c>
    </row>
    <row r="14900" spans="5:5" x14ac:dyDescent="0.25">
      <c r="E14900" t="s">
        <v>14427</v>
      </c>
    </row>
    <row r="14901" spans="5:5" x14ac:dyDescent="0.25">
      <c r="E14901" t="s">
        <v>14428</v>
      </c>
    </row>
    <row r="14902" spans="5:5" x14ac:dyDescent="0.25">
      <c r="E14902" t="s">
        <v>14429</v>
      </c>
    </row>
    <row r="14903" spans="5:5" x14ac:dyDescent="0.25">
      <c r="E14903" t="s">
        <v>14430</v>
      </c>
    </row>
    <row r="14904" spans="5:5" x14ac:dyDescent="0.25">
      <c r="E14904" t="s">
        <v>14431</v>
      </c>
    </row>
    <row r="14905" spans="5:5" x14ac:dyDescent="0.25">
      <c r="E14905" t="s">
        <v>14432</v>
      </c>
    </row>
    <row r="14906" spans="5:5" x14ac:dyDescent="0.25">
      <c r="E14906" t="s">
        <v>14433</v>
      </c>
    </row>
    <row r="14907" spans="5:5" x14ac:dyDescent="0.25">
      <c r="E14907" t="s">
        <v>14434</v>
      </c>
    </row>
    <row r="14908" spans="5:5" x14ac:dyDescent="0.25">
      <c r="E14908" t="s">
        <v>14435</v>
      </c>
    </row>
    <row r="14909" spans="5:5" x14ac:dyDescent="0.25">
      <c r="E14909" t="s">
        <v>14436</v>
      </c>
    </row>
    <row r="14910" spans="5:5" x14ac:dyDescent="0.25">
      <c r="E14910" t="s">
        <v>14437</v>
      </c>
    </row>
    <row r="14911" spans="5:5" x14ac:dyDescent="0.25">
      <c r="E14911" t="s">
        <v>14438</v>
      </c>
    </row>
    <row r="14912" spans="5:5" x14ac:dyDescent="0.25">
      <c r="E14912" t="s">
        <v>14439</v>
      </c>
    </row>
    <row r="14913" spans="5:5" x14ac:dyDescent="0.25">
      <c r="E14913" t="s">
        <v>14440</v>
      </c>
    </row>
    <row r="14914" spans="5:5" x14ac:dyDescent="0.25">
      <c r="E14914" t="s">
        <v>14441</v>
      </c>
    </row>
    <row r="14915" spans="5:5" x14ac:dyDescent="0.25">
      <c r="E14915" t="s">
        <v>14442</v>
      </c>
    </row>
    <row r="14916" spans="5:5" x14ac:dyDescent="0.25">
      <c r="E14916" t="s">
        <v>14443</v>
      </c>
    </row>
    <row r="14917" spans="5:5" x14ac:dyDescent="0.25">
      <c r="E14917" t="s">
        <v>14444</v>
      </c>
    </row>
    <row r="14918" spans="5:5" x14ac:dyDescent="0.25">
      <c r="E14918" t="s">
        <v>14445</v>
      </c>
    </row>
    <row r="14919" spans="5:5" x14ac:dyDescent="0.25">
      <c r="E14919" t="s">
        <v>14446</v>
      </c>
    </row>
    <row r="14920" spans="5:5" x14ac:dyDescent="0.25">
      <c r="E14920" t="s">
        <v>14447</v>
      </c>
    </row>
    <row r="14921" spans="5:5" x14ac:dyDescent="0.25">
      <c r="E14921" t="s">
        <v>14448</v>
      </c>
    </row>
    <row r="14922" spans="5:5" x14ac:dyDescent="0.25">
      <c r="E14922" t="s">
        <v>14449</v>
      </c>
    </row>
    <row r="14923" spans="5:5" x14ac:dyDescent="0.25">
      <c r="E14923" t="s">
        <v>14450</v>
      </c>
    </row>
    <row r="14924" spans="5:5" x14ac:dyDescent="0.25">
      <c r="E14924" t="s">
        <v>14451</v>
      </c>
    </row>
    <row r="14925" spans="5:5" x14ac:dyDescent="0.25">
      <c r="E14925" t="s">
        <v>14452</v>
      </c>
    </row>
    <row r="14926" spans="5:5" x14ac:dyDescent="0.25">
      <c r="E14926" t="s">
        <v>14453</v>
      </c>
    </row>
    <row r="14927" spans="5:5" x14ac:dyDescent="0.25">
      <c r="E14927" t="s">
        <v>14454</v>
      </c>
    </row>
    <row r="14928" spans="5:5" x14ac:dyDescent="0.25">
      <c r="E14928" t="s">
        <v>14455</v>
      </c>
    </row>
    <row r="14929" spans="5:5" x14ac:dyDescent="0.25">
      <c r="E14929" t="s">
        <v>14456</v>
      </c>
    </row>
    <row r="14930" spans="5:5" x14ac:dyDescent="0.25">
      <c r="E14930" t="s">
        <v>14457</v>
      </c>
    </row>
    <row r="14931" spans="5:5" x14ac:dyDescent="0.25">
      <c r="E14931" t="s">
        <v>14458</v>
      </c>
    </row>
    <row r="14932" spans="5:5" x14ac:dyDescent="0.25">
      <c r="E14932" t="s">
        <v>14459</v>
      </c>
    </row>
    <row r="14933" spans="5:5" x14ac:dyDescent="0.25">
      <c r="E14933" t="s">
        <v>14460</v>
      </c>
    </row>
    <row r="14934" spans="5:5" x14ac:dyDescent="0.25">
      <c r="E14934" t="s">
        <v>14461</v>
      </c>
    </row>
    <row r="14935" spans="5:5" x14ac:dyDescent="0.25">
      <c r="E14935" t="s">
        <v>14462</v>
      </c>
    </row>
    <row r="14936" spans="5:5" x14ac:dyDescent="0.25">
      <c r="E14936" t="s">
        <v>14463</v>
      </c>
    </row>
    <row r="14937" spans="5:5" x14ac:dyDescent="0.25">
      <c r="E14937" t="s">
        <v>14464</v>
      </c>
    </row>
    <row r="14938" spans="5:5" x14ac:dyDescent="0.25">
      <c r="E14938" t="s">
        <v>14465</v>
      </c>
    </row>
    <row r="14939" spans="5:5" x14ac:dyDescent="0.25">
      <c r="E14939" t="s">
        <v>14466</v>
      </c>
    </row>
    <row r="14940" spans="5:5" x14ac:dyDescent="0.25">
      <c r="E14940" t="s">
        <v>14467</v>
      </c>
    </row>
    <row r="14941" spans="5:5" x14ac:dyDescent="0.25">
      <c r="E14941" t="s">
        <v>14468</v>
      </c>
    </row>
    <row r="14942" spans="5:5" x14ac:dyDescent="0.25">
      <c r="E14942" t="s">
        <v>14469</v>
      </c>
    </row>
    <row r="14943" spans="5:5" x14ac:dyDescent="0.25">
      <c r="E14943" t="s">
        <v>14470</v>
      </c>
    </row>
    <row r="14944" spans="5:5" x14ac:dyDescent="0.25">
      <c r="E14944" t="s">
        <v>14471</v>
      </c>
    </row>
    <row r="14945" spans="5:5" x14ac:dyDescent="0.25">
      <c r="E14945" t="s">
        <v>14472</v>
      </c>
    </row>
    <row r="14946" spans="5:5" x14ac:dyDescent="0.25">
      <c r="E14946" t="s">
        <v>14473</v>
      </c>
    </row>
    <row r="14947" spans="5:5" x14ac:dyDescent="0.25">
      <c r="E14947" t="s">
        <v>14474</v>
      </c>
    </row>
    <row r="14948" spans="5:5" x14ac:dyDescent="0.25">
      <c r="E14948" t="s">
        <v>14475</v>
      </c>
    </row>
    <row r="14949" spans="5:5" x14ac:dyDescent="0.25">
      <c r="E14949" t="s">
        <v>14476</v>
      </c>
    </row>
    <row r="14950" spans="5:5" x14ac:dyDescent="0.25">
      <c r="E14950" t="s">
        <v>14477</v>
      </c>
    </row>
    <row r="14951" spans="5:5" x14ac:dyDescent="0.25">
      <c r="E14951" t="s">
        <v>14478</v>
      </c>
    </row>
    <row r="14952" spans="5:5" x14ac:dyDescent="0.25">
      <c r="E14952" t="s">
        <v>14479</v>
      </c>
    </row>
    <row r="14953" spans="5:5" x14ac:dyDescent="0.25">
      <c r="E14953" t="s">
        <v>14480</v>
      </c>
    </row>
    <row r="14954" spans="5:5" x14ac:dyDescent="0.25">
      <c r="E14954" t="s">
        <v>14481</v>
      </c>
    </row>
    <row r="14955" spans="5:5" x14ac:dyDescent="0.25">
      <c r="E14955" t="s">
        <v>14482</v>
      </c>
    </row>
    <row r="14956" spans="5:5" x14ac:dyDescent="0.25">
      <c r="E14956" t="s">
        <v>14483</v>
      </c>
    </row>
    <row r="14957" spans="5:5" x14ac:dyDescent="0.25">
      <c r="E14957" t="s">
        <v>14484</v>
      </c>
    </row>
    <row r="14958" spans="5:5" x14ac:dyDescent="0.25">
      <c r="E14958" t="s">
        <v>14485</v>
      </c>
    </row>
    <row r="14959" spans="5:5" x14ac:dyDescent="0.25">
      <c r="E14959" t="s">
        <v>14486</v>
      </c>
    </row>
    <row r="14960" spans="5:5" x14ac:dyDescent="0.25">
      <c r="E14960" t="s">
        <v>14487</v>
      </c>
    </row>
    <row r="14961" spans="5:5" x14ac:dyDescent="0.25">
      <c r="E14961" t="s">
        <v>14488</v>
      </c>
    </row>
    <row r="14962" spans="5:5" x14ac:dyDescent="0.25">
      <c r="E14962" t="s">
        <v>14489</v>
      </c>
    </row>
    <row r="14963" spans="5:5" x14ac:dyDescent="0.25">
      <c r="E14963" t="s">
        <v>14490</v>
      </c>
    </row>
    <row r="14964" spans="5:5" x14ac:dyDescent="0.25">
      <c r="E14964" t="s">
        <v>14491</v>
      </c>
    </row>
    <row r="14965" spans="5:5" x14ac:dyDescent="0.25">
      <c r="E14965" t="s">
        <v>14492</v>
      </c>
    </row>
    <row r="14966" spans="5:5" x14ac:dyDescent="0.25">
      <c r="E14966" t="s">
        <v>14493</v>
      </c>
    </row>
    <row r="14967" spans="5:5" x14ac:dyDescent="0.25">
      <c r="E14967" t="s">
        <v>14494</v>
      </c>
    </row>
    <row r="14968" spans="5:5" x14ac:dyDescent="0.25">
      <c r="E14968" t="s">
        <v>14495</v>
      </c>
    </row>
    <row r="14969" spans="5:5" x14ac:dyDescent="0.25">
      <c r="E14969" t="s">
        <v>14496</v>
      </c>
    </row>
    <row r="14970" spans="5:5" x14ac:dyDescent="0.25">
      <c r="E14970" t="s">
        <v>14497</v>
      </c>
    </row>
    <row r="14971" spans="5:5" x14ac:dyDescent="0.25">
      <c r="E14971" t="s">
        <v>14498</v>
      </c>
    </row>
    <row r="14972" spans="5:5" x14ac:dyDescent="0.25">
      <c r="E14972" t="s">
        <v>14499</v>
      </c>
    </row>
    <row r="14973" spans="5:5" x14ac:dyDescent="0.25">
      <c r="E14973" t="s">
        <v>14500</v>
      </c>
    </row>
    <row r="14974" spans="5:5" x14ac:dyDescent="0.25">
      <c r="E14974" t="s">
        <v>14501</v>
      </c>
    </row>
    <row r="14975" spans="5:5" x14ac:dyDescent="0.25">
      <c r="E14975" t="s">
        <v>14502</v>
      </c>
    </row>
    <row r="14976" spans="5:5" x14ac:dyDescent="0.25">
      <c r="E14976" t="s">
        <v>14503</v>
      </c>
    </row>
    <row r="14977" spans="5:5" x14ac:dyDescent="0.25">
      <c r="E14977" t="s">
        <v>14504</v>
      </c>
    </row>
    <row r="14978" spans="5:5" x14ac:dyDescent="0.25">
      <c r="E14978" t="s">
        <v>14505</v>
      </c>
    </row>
    <row r="14979" spans="5:5" x14ac:dyDescent="0.25">
      <c r="E14979" t="s">
        <v>14506</v>
      </c>
    </row>
    <row r="14980" spans="5:5" x14ac:dyDescent="0.25">
      <c r="E14980" t="s">
        <v>14507</v>
      </c>
    </row>
    <row r="14983" spans="5:5" x14ac:dyDescent="0.25">
      <c r="E14983" t="s">
        <v>14508</v>
      </c>
    </row>
    <row r="14984" spans="5:5" x14ac:dyDescent="0.25">
      <c r="E14984" t="s">
        <v>14509</v>
      </c>
    </row>
    <row r="14985" spans="5:5" x14ac:dyDescent="0.25">
      <c r="E14985" t="s">
        <v>14510</v>
      </c>
    </row>
    <row r="14986" spans="5:5" x14ac:dyDescent="0.25">
      <c r="E14986" t="s">
        <v>14511</v>
      </c>
    </row>
    <row r="14987" spans="5:5" x14ac:dyDescent="0.25">
      <c r="E14987" t="s">
        <v>14512</v>
      </c>
    </row>
    <row r="14988" spans="5:5" x14ac:dyDescent="0.25">
      <c r="E14988" t="s">
        <v>14513</v>
      </c>
    </row>
    <row r="14989" spans="5:5" x14ac:dyDescent="0.25">
      <c r="E14989" t="s">
        <v>14514</v>
      </c>
    </row>
    <row r="14990" spans="5:5" x14ac:dyDescent="0.25">
      <c r="E14990" t="s">
        <v>14515</v>
      </c>
    </row>
    <row r="14991" spans="5:5" x14ac:dyDescent="0.25">
      <c r="E14991" t="s">
        <v>14516</v>
      </c>
    </row>
    <row r="14992" spans="5:5" x14ac:dyDescent="0.25">
      <c r="E14992" t="s">
        <v>14517</v>
      </c>
    </row>
    <row r="14993" spans="5:5" x14ac:dyDescent="0.25">
      <c r="E14993" t="s">
        <v>14518</v>
      </c>
    </row>
    <row r="14994" spans="5:5" x14ac:dyDescent="0.25">
      <c r="E14994" t="s">
        <v>14519</v>
      </c>
    </row>
    <row r="14995" spans="5:5" x14ac:dyDescent="0.25">
      <c r="E14995" t="s">
        <v>14520</v>
      </c>
    </row>
    <row r="14996" spans="5:5" x14ac:dyDescent="0.25">
      <c r="E14996" t="s">
        <v>14521</v>
      </c>
    </row>
    <row r="14997" spans="5:5" x14ac:dyDescent="0.25">
      <c r="E14997" t="s">
        <v>14522</v>
      </c>
    </row>
    <row r="14998" spans="5:5" x14ac:dyDescent="0.25">
      <c r="E14998" t="s">
        <v>14523</v>
      </c>
    </row>
    <row r="14999" spans="5:5" x14ac:dyDescent="0.25">
      <c r="E14999" t="s">
        <v>14524</v>
      </c>
    </row>
    <row r="15000" spans="5:5" x14ac:dyDescent="0.25">
      <c r="E15000" t="s">
        <v>14525</v>
      </c>
    </row>
    <row r="15001" spans="5:5" x14ac:dyDescent="0.25">
      <c r="E15001" t="s">
        <v>14526</v>
      </c>
    </row>
    <row r="15002" spans="5:5" x14ac:dyDescent="0.25">
      <c r="E15002" t="s">
        <v>14527</v>
      </c>
    </row>
    <row r="15003" spans="5:5" x14ac:dyDescent="0.25">
      <c r="E15003" t="s">
        <v>14528</v>
      </c>
    </row>
    <row r="15004" spans="5:5" x14ac:dyDescent="0.25">
      <c r="E15004" t="s">
        <v>14529</v>
      </c>
    </row>
    <row r="15005" spans="5:5" x14ac:dyDescent="0.25">
      <c r="E15005" t="s">
        <v>14530</v>
      </c>
    </row>
    <row r="15006" spans="5:5" x14ac:dyDescent="0.25">
      <c r="E15006" t="s">
        <v>14531</v>
      </c>
    </row>
    <row r="15007" spans="5:5" x14ac:dyDescent="0.25">
      <c r="E15007" t="s">
        <v>14532</v>
      </c>
    </row>
    <row r="15008" spans="5:5" x14ac:dyDescent="0.25">
      <c r="E15008" t="s">
        <v>14533</v>
      </c>
    </row>
    <row r="15009" spans="5:5" x14ac:dyDescent="0.25">
      <c r="E15009" t="s">
        <v>14534</v>
      </c>
    </row>
    <row r="15010" spans="5:5" x14ac:dyDescent="0.25">
      <c r="E15010" t="s">
        <v>14535</v>
      </c>
    </row>
    <row r="15011" spans="5:5" x14ac:dyDescent="0.25">
      <c r="E15011" t="s">
        <v>14536</v>
      </c>
    </row>
    <row r="15012" spans="5:5" x14ac:dyDescent="0.25">
      <c r="E15012" t="s">
        <v>14537</v>
      </c>
    </row>
    <row r="15013" spans="5:5" x14ac:dyDescent="0.25">
      <c r="E15013" t="s">
        <v>14538</v>
      </c>
    </row>
    <row r="15014" spans="5:5" x14ac:dyDescent="0.25">
      <c r="E15014" t="s">
        <v>14539</v>
      </c>
    </row>
    <row r="15015" spans="5:5" x14ac:dyDescent="0.25">
      <c r="E15015" t="s">
        <v>14540</v>
      </c>
    </row>
    <row r="15016" spans="5:5" x14ac:dyDescent="0.25">
      <c r="E15016" t="s">
        <v>14541</v>
      </c>
    </row>
    <row r="15017" spans="5:5" x14ac:dyDescent="0.25">
      <c r="E15017" t="s">
        <v>14542</v>
      </c>
    </row>
    <row r="15018" spans="5:5" x14ac:dyDescent="0.25">
      <c r="E15018" t="s">
        <v>14543</v>
      </c>
    </row>
    <row r="15019" spans="5:5" x14ac:dyDescent="0.25">
      <c r="E15019" t="s">
        <v>14544</v>
      </c>
    </row>
    <row r="15020" spans="5:5" x14ac:dyDescent="0.25">
      <c r="E15020" t="s">
        <v>14545</v>
      </c>
    </row>
    <row r="15021" spans="5:5" x14ac:dyDescent="0.25">
      <c r="E15021" t="s">
        <v>14546</v>
      </c>
    </row>
    <row r="15022" spans="5:5" x14ac:dyDescent="0.25">
      <c r="E15022" t="s">
        <v>14547</v>
      </c>
    </row>
    <row r="15023" spans="5:5" x14ac:dyDescent="0.25">
      <c r="E15023" t="s">
        <v>14548</v>
      </c>
    </row>
    <row r="15024" spans="5:5" x14ac:dyDescent="0.25">
      <c r="E15024" t="s">
        <v>14549</v>
      </c>
    </row>
    <row r="15025" spans="5:5" x14ac:dyDescent="0.25">
      <c r="E15025" t="s">
        <v>14550</v>
      </c>
    </row>
    <row r="15026" spans="5:5" x14ac:dyDescent="0.25">
      <c r="E15026" t="s">
        <v>14551</v>
      </c>
    </row>
    <row r="15027" spans="5:5" x14ac:dyDescent="0.25">
      <c r="E15027" t="s">
        <v>14552</v>
      </c>
    </row>
    <row r="15028" spans="5:5" x14ac:dyDescent="0.25">
      <c r="E15028" t="s">
        <v>14553</v>
      </c>
    </row>
    <row r="15029" spans="5:5" x14ac:dyDescent="0.25">
      <c r="E15029" t="s">
        <v>14554</v>
      </c>
    </row>
    <row r="15030" spans="5:5" x14ac:dyDescent="0.25">
      <c r="E15030" t="s">
        <v>14555</v>
      </c>
    </row>
    <row r="15031" spans="5:5" x14ac:dyDescent="0.25">
      <c r="E15031" t="s">
        <v>14556</v>
      </c>
    </row>
    <row r="15032" spans="5:5" x14ac:dyDescent="0.25">
      <c r="E15032" t="s">
        <v>14557</v>
      </c>
    </row>
    <row r="15033" spans="5:5" x14ac:dyDescent="0.25">
      <c r="E15033" t="s">
        <v>14558</v>
      </c>
    </row>
    <row r="15034" spans="5:5" x14ac:dyDescent="0.25">
      <c r="E15034" t="s">
        <v>14559</v>
      </c>
    </row>
    <row r="15035" spans="5:5" x14ac:dyDescent="0.25">
      <c r="E15035" t="s">
        <v>14560</v>
      </c>
    </row>
    <row r="15036" spans="5:5" x14ac:dyDescent="0.25">
      <c r="E15036" t="s">
        <v>14561</v>
      </c>
    </row>
    <row r="15037" spans="5:5" x14ac:dyDescent="0.25">
      <c r="E15037" t="s">
        <v>14562</v>
      </c>
    </row>
    <row r="15038" spans="5:5" x14ac:dyDescent="0.25">
      <c r="E15038" t="s">
        <v>14563</v>
      </c>
    </row>
    <row r="15039" spans="5:5" x14ac:dyDescent="0.25">
      <c r="E15039" t="s">
        <v>14564</v>
      </c>
    </row>
    <row r="15040" spans="5:5" x14ac:dyDescent="0.25">
      <c r="E15040" t="s">
        <v>14565</v>
      </c>
    </row>
    <row r="15041" spans="5:5" x14ac:dyDescent="0.25">
      <c r="E15041" t="s">
        <v>14566</v>
      </c>
    </row>
    <row r="15042" spans="5:5" x14ac:dyDescent="0.25">
      <c r="E15042" t="s">
        <v>14567</v>
      </c>
    </row>
    <row r="15043" spans="5:5" x14ac:dyDescent="0.25">
      <c r="E15043" t="s">
        <v>14568</v>
      </c>
    </row>
    <row r="15044" spans="5:5" x14ac:dyDescent="0.25">
      <c r="E15044" t="s">
        <v>14569</v>
      </c>
    </row>
    <row r="15045" spans="5:5" x14ac:dyDescent="0.25">
      <c r="E15045" t="s">
        <v>14570</v>
      </c>
    </row>
    <row r="15046" spans="5:5" x14ac:dyDescent="0.25">
      <c r="E15046" t="s">
        <v>14571</v>
      </c>
    </row>
    <row r="15047" spans="5:5" x14ac:dyDescent="0.25">
      <c r="E15047" t="s">
        <v>14572</v>
      </c>
    </row>
    <row r="15048" spans="5:5" x14ac:dyDescent="0.25">
      <c r="E15048" t="s">
        <v>14573</v>
      </c>
    </row>
    <row r="15049" spans="5:5" x14ac:dyDescent="0.25">
      <c r="E15049" t="s">
        <v>14574</v>
      </c>
    </row>
    <row r="15050" spans="5:5" x14ac:dyDescent="0.25">
      <c r="E15050" t="s">
        <v>14575</v>
      </c>
    </row>
    <row r="15051" spans="5:5" x14ac:dyDescent="0.25">
      <c r="E15051" t="s">
        <v>14576</v>
      </c>
    </row>
    <row r="15052" spans="5:5" x14ac:dyDescent="0.25">
      <c r="E15052" t="s">
        <v>14577</v>
      </c>
    </row>
    <row r="15053" spans="5:5" x14ac:dyDescent="0.25">
      <c r="E15053" t="s">
        <v>14578</v>
      </c>
    </row>
    <row r="15054" spans="5:5" x14ac:dyDescent="0.25">
      <c r="E15054" t="s">
        <v>14579</v>
      </c>
    </row>
    <row r="15055" spans="5:5" x14ac:dyDescent="0.25">
      <c r="E15055" t="s">
        <v>14580</v>
      </c>
    </row>
    <row r="15056" spans="5:5" x14ac:dyDescent="0.25">
      <c r="E15056" t="s">
        <v>14581</v>
      </c>
    </row>
    <row r="15057" spans="5:5" x14ac:dyDescent="0.25">
      <c r="E15057" t="s">
        <v>14582</v>
      </c>
    </row>
    <row r="15058" spans="5:5" x14ac:dyDescent="0.25">
      <c r="E15058" t="s">
        <v>14583</v>
      </c>
    </row>
    <row r="15059" spans="5:5" x14ac:dyDescent="0.25">
      <c r="E15059" t="s">
        <v>14584</v>
      </c>
    </row>
    <row r="15060" spans="5:5" x14ac:dyDescent="0.25">
      <c r="E15060" t="s">
        <v>14585</v>
      </c>
    </row>
    <row r="15061" spans="5:5" x14ac:dyDescent="0.25">
      <c r="E15061" t="s">
        <v>14586</v>
      </c>
    </row>
    <row r="15062" spans="5:5" x14ac:dyDescent="0.25">
      <c r="E15062" t="s">
        <v>14587</v>
      </c>
    </row>
    <row r="15063" spans="5:5" x14ac:dyDescent="0.25">
      <c r="E15063" t="s">
        <v>14588</v>
      </c>
    </row>
    <row r="15064" spans="5:5" x14ac:dyDescent="0.25">
      <c r="E15064" t="s">
        <v>14589</v>
      </c>
    </row>
    <row r="15065" spans="5:5" x14ac:dyDescent="0.25">
      <c r="E15065" t="s">
        <v>14590</v>
      </c>
    </row>
    <row r="15066" spans="5:5" x14ac:dyDescent="0.25">
      <c r="E15066" t="s">
        <v>14591</v>
      </c>
    </row>
    <row r="15067" spans="5:5" x14ac:dyDescent="0.25">
      <c r="E15067" t="s">
        <v>14592</v>
      </c>
    </row>
    <row r="15068" spans="5:5" x14ac:dyDescent="0.25">
      <c r="E15068" t="s">
        <v>14593</v>
      </c>
    </row>
    <row r="15069" spans="5:5" x14ac:dyDescent="0.25">
      <c r="E15069" t="s">
        <v>14594</v>
      </c>
    </row>
    <row r="15070" spans="5:5" x14ac:dyDescent="0.25">
      <c r="E15070" t="s">
        <v>14595</v>
      </c>
    </row>
    <row r="15071" spans="5:5" x14ac:dyDescent="0.25">
      <c r="E15071" t="s">
        <v>14596</v>
      </c>
    </row>
    <row r="15072" spans="5:5" x14ac:dyDescent="0.25">
      <c r="E15072" t="s">
        <v>14597</v>
      </c>
    </row>
    <row r="15073" spans="5:5" x14ac:dyDescent="0.25">
      <c r="E15073" t="s">
        <v>14598</v>
      </c>
    </row>
    <row r="15074" spans="5:5" x14ac:dyDescent="0.25">
      <c r="E15074" t="s">
        <v>14599</v>
      </c>
    </row>
    <row r="15075" spans="5:5" x14ac:dyDescent="0.25">
      <c r="E15075" t="s">
        <v>14600</v>
      </c>
    </row>
    <row r="15076" spans="5:5" x14ac:dyDescent="0.25">
      <c r="E15076" t="s">
        <v>14601</v>
      </c>
    </row>
    <row r="15077" spans="5:5" x14ac:dyDescent="0.25">
      <c r="E15077" t="s">
        <v>14602</v>
      </c>
    </row>
    <row r="15078" spans="5:5" x14ac:dyDescent="0.25">
      <c r="E15078" t="s">
        <v>14603</v>
      </c>
    </row>
    <row r="15079" spans="5:5" x14ac:dyDescent="0.25">
      <c r="E15079" t="s">
        <v>14604</v>
      </c>
    </row>
    <row r="15080" spans="5:5" x14ac:dyDescent="0.25">
      <c r="E15080" t="s">
        <v>14605</v>
      </c>
    </row>
    <row r="15081" spans="5:5" x14ac:dyDescent="0.25">
      <c r="E15081" t="s">
        <v>14606</v>
      </c>
    </row>
    <row r="15082" spans="5:5" x14ac:dyDescent="0.25">
      <c r="E15082" t="s">
        <v>14607</v>
      </c>
    </row>
    <row r="15083" spans="5:5" x14ac:dyDescent="0.25">
      <c r="E15083" t="s">
        <v>14608</v>
      </c>
    </row>
    <row r="15084" spans="5:5" x14ac:dyDescent="0.25">
      <c r="E15084" t="s">
        <v>14609</v>
      </c>
    </row>
    <row r="15085" spans="5:5" x14ac:dyDescent="0.25">
      <c r="E15085" t="s">
        <v>14610</v>
      </c>
    </row>
    <row r="15086" spans="5:5" x14ac:dyDescent="0.25">
      <c r="E15086" t="s">
        <v>14611</v>
      </c>
    </row>
    <row r="15087" spans="5:5" x14ac:dyDescent="0.25">
      <c r="E15087" t="s">
        <v>14612</v>
      </c>
    </row>
    <row r="15088" spans="5:5" x14ac:dyDescent="0.25">
      <c r="E15088" t="s">
        <v>14613</v>
      </c>
    </row>
    <row r="15089" spans="5:5" x14ac:dyDescent="0.25">
      <c r="E15089" t="s">
        <v>14614</v>
      </c>
    </row>
    <row r="15090" spans="5:5" x14ac:dyDescent="0.25">
      <c r="E15090" t="s">
        <v>14615</v>
      </c>
    </row>
    <row r="15091" spans="5:5" x14ac:dyDescent="0.25">
      <c r="E15091" t="s">
        <v>14616</v>
      </c>
    </row>
    <row r="15092" spans="5:5" x14ac:dyDescent="0.25">
      <c r="E15092" t="s">
        <v>14617</v>
      </c>
    </row>
    <row r="15093" spans="5:5" x14ac:dyDescent="0.25">
      <c r="E15093" t="s">
        <v>14618</v>
      </c>
    </row>
    <row r="15094" spans="5:5" x14ac:dyDescent="0.25">
      <c r="E15094" t="s">
        <v>14619</v>
      </c>
    </row>
    <row r="15095" spans="5:5" x14ac:dyDescent="0.25">
      <c r="E15095" t="s">
        <v>14620</v>
      </c>
    </row>
    <row r="15096" spans="5:5" x14ac:dyDescent="0.25">
      <c r="E15096" t="s">
        <v>14621</v>
      </c>
    </row>
    <row r="15097" spans="5:5" x14ac:dyDescent="0.25">
      <c r="E15097" t="s">
        <v>14622</v>
      </c>
    </row>
    <row r="15098" spans="5:5" x14ac:dyDescent="0.25">
      <c r="E15098" t="s">
        <v>14623</v>
      </c>
    </row>
    <row r="15099" spans="5:5" x14ac:dyDescent="0.25">
      <c r="E15099" t="s">
        <v>14624</v>
      </c>
    </row>
    <row r="15100" spans="5:5" x14ac:dyDescent="0.25">
      <c r="E15100" t="s">
        <v>14625</v>
      </c>
    </row>
    <row r="15101" spans="5:5" x14ac:dyDescent="0.25">
      <c r="E15101" t="s">
        <v>14626</v>
      </c>
    </row>
    <row r="15102" spans="5:5" x14ac:dyDescent="0.25">
      <c r="E15102" t="s">
        <v>14627</v>
      </c>
    </row>
    <row r="15103" spans="5:5" x14ac:dyDescent="0.25">
      <c r="E15103" t="s">
        <v>14628</v>
      </c>
    </row>
    <row r="15104" spans="5:5" x14ac:dyDescent="0.25">
      <c r="E15104" t="s">
        <v>14629</v>
      </c>
    </row>
    <row r="15105" spans="5:5" x14ac:dyDescent="0.25">
      <c r="E15105" t="s">
        <v>14630</v>
      </c>
    </row>
    <row r="15106" spans="5:5" x14ac:dyDescent="0.25">
      <c r="E15106" t="s">
        <v>14631</v>
      </c>
    </row>
    <row r="15107" spans="5:5" x14ac:dyDescent="0.25">
      <c r="E15107" t="s">
        <v>14632</v>
      </c>
    </row>
    <row r="15108" spans="5:5" x14ac:dyDescent="0.25">
      <c r="E15108" t="s">
        <v>14633</v>
      </c>
    </row>
    <row r="15109" spans="5:5" x14ac:dyDescent="0.25">
      <c r="E15109" t="s">
        <v>14634</v>
      </c>
    </row>
    <row r="15110" spans="5:5" x14ac:dyDescent="0.25">
      <c r="E15110" t="s">
        <v>14635</v>
      </c>
    </row>
    <row r="15111" spans="5:5" x14ac:dyDescent="0.25">
      <c r="E15111" t="s">
        <v>14636</v>
      </c>
    </row>
    <row r="15112" spans="5:5" x14ac:dyDescent="0.25">
      <c r="E15112" t="s">
        <v>14637</v>
      </c>
    </row>
    <row r="15113" spans="5:5" x14ac:dyDescent="0.25">
      <c r="E15113" t="s">
        <v>14638</v>
      </c>
    </row>
    <row r="15114" spans="5:5" x14ac:dyDescent="0.25">
      <c r="E15114" t="s">
        <v>14639</v>
      </c>
    </row>
    <row r="15115" spans="5:5" x14ac:dyDescent="0.25">
      <c r="E15115" t="s">
        <v>14640</v>
      </c>
    </row>
    <row r="15116" spans="5:5" x14ac:dyDescent="0.25">
      <c r="E15116" t="s">
        <v>14641</v>
      </c>
    </row>
    <row r="15117" spans="5:5" x14ac:dyDescent="0.25">
      <c r="E15117" t="s">
        <v>14642</v>
      </c>
    </row>
    <row r="15118" spans="5:5" x14ac:dyDescent="0.25">
      <c r="E15118" t="s">
        <v>14643</v>
      </c>
    </row>
    <row r="15119" spans="5:5" x14ac:dyDescent="0.25">
      <c r="E15119" t="s">
        <v>14644</v>
      </c>
    </row>
    <row r="15120" spans="5:5" x14ac:dyDescent="0.25">
      <c r="E15120" t="s">
        <v>14645</v>
      </c>
    </row>
    <row r="15121" spans="5:5" x14ac:dyDescent="0.25">
      <c r="E15121" t="s">
        <v>14646</v>
      </c>
    </row>
    <row r="15122" spans="5:5" x14ac:dyDescent="0.25">
      <c r="E15122" t="s">
        <v>14647</v>
      </c>
    </row>
    <row r="15123" spans="5:5" x14ac:dyDescent="0.25">
      <c r="E15123" t="s">
        <v>14648</v>
      </c>
    </row>
    <row r="15124" spans="5:5" x14ac:dyDescent="0.25">
      <c r="E15124" t="s">
        <v>14649</v>
      </c>
    </row>
    <row r="15125" spans="5:5" x14ac:dyDescent="0.25">
      <c r="E15125" t="s">
        <v>14650</v>
      </c>
    </row>
    <row r="15126" spans="5:5" x14ac:dyDescent="0.25">
      <c r="E15126" t="s">
        <v>14651</v>
      </c>
    </row>
    <row r="15127" spans="5:5" x14ac:dyDescent="0.25">
      <c r="E15127" t="s">
        <v>14652</v>
      </c>
    </row>
    <row r="15128" spans="5:5" x14ac:dyDescent="0.25">
      <c r="E15128" t="s">
        <v>14653</v>
      </c>
    </row>
    <row r="15129" spans="5:5" x14ac:dyDescent="0.25">
      <c r="E15129" t="s">
        <v>14654</v>
      </c>
    </row>
    <row r="15130" spans="5:5" x14ac:dyDescent="0.25">
      <c r="E15130" t="s">
        <v>14655</v>
      </c>
    </row>
    <row r="15131" spans="5:5" x14ac:dyDescent="0.25">
      <c r="E15131" t="s">
        <v>14656</v>
      </c>
    </row>
    <row r="15132" spans="5:5" x14ac:dyDescent="0.25">
      <c r="E15132" t="s">
        <v>14657</v>
      </c>
    </row>
    <row r="15133" spans="5:5" x14ac:dyDescent="0.25">
      <c r="E15133" t="s">
        <v>14658</v>
      </c>
    </row>
    <row r="15134" spans="5:5" x14ac:dyDescent="0.25">
      <c r="E15134" t="s">
        <v>14659</v>
      </c>
    </row>
    <row r="15135" spans="5:5" x14ac:dyDescent="0.25">
      <c r="E15135" t="s">
        <v>14660</v>
      </c>
    </row>
    <row r="15136" spans="5:5" x14ac:dyDescent="0.25">
      <c r="E15136" t="s">
        <v>14661</v>
      </c>
    </row>
    <row r="15137" spans="5:5" x14ac:dyDescent="0.25">
      <c r="E15137" t="s">
        <v>14662</v>
      </c>
    </row>
    <row r="15138" spans="5:5" x14ac:dyDescent="0.25">
      <c r="E15138" t="s">
        <v>14663</v>
      </c>
    </row>
    <row r="15139" spans="5:5" x14ac:dyDescent="0.25">
      <c r="E15139" t="s">
        <v>14664</v>
      </c>
    </row>
    <row r="15140" spans="5:5" x14ac:dyDescent="0.25">
      <c r="E15140" t="s">
        <v>14665</v>
      </c>
    </row>
    <row r="15141" spans="5:5" x14ac:dyDescent="0.25">
      <c r="E15141" t="s">
        <v>14666</v>
      </c>
    </row>
    <row r="15142" spans="5:5" x14ac:dyDescent="0.25">
      <c r="E15142" t="s">
        <v>14667</v>
      </c>
    </row>
    <row r="15143" spans="5:5" x14ac:dyDescent="0.25">
      <c r="E15143" t="s">
        <v>14668</v>
      </c>
    </row>
    <row r="15144" spans="5:5" x14ac:dyDescent="0.25">
      <c r="E15144" t="s">
        <v>14669</v>
      </c>
    </row>
    <row r="15145" spans="5:5" x14ac:dyDescent="0.25">
      <c r="E15145" t="s">
        <v>14670</v>
      </c>
    </row>
    <row r="15146" spans="5:5" x14ac:dyDescent="0.25">
      <c r="E15146" t="s">
        <v>14671</v>
      </c>
    </row>
    <row r="15147" spans="5:5" x14ac:dyDescent="0.25">
      <c r="E15147" t="s">
        <v>14672</v>
      </c>
    </row>
    <row r="15148" spans="5:5" x14ac:dyDescent="0.25">
      <c r="E15148" t="s">
        <v>14673</v>
      </c>
    </row>
    <row r="15149" spans="5:5" x14ac:dyDescent="0.25">
      <c r="E15149" t="s">
        <v>14674</v>
      </c>
    </row>
    <row r="15150" spans="5:5" x14ac:dyDescent="0.25">
      <c r="E15150" t="s">
        <v>14675</v>
      </c>
    </row>
    <row r="15151" spans="5:5" x14ac:dyDescent="0.25">
      <c r="E15151" t="s">
        <v>14676</v>
      </c>
    </row>
    <row r="15152" spans="5:5" x14ac:dyDescent="0.25">
      <c r="E15152" t="s">
        <v>14677</v>
      </c>
    </row>
    <row r="15153" spans="5:5" x14ac:dyDescent="0.25">
      <c r="E15153" t="s">
        <v>14678</v>
      </c>
    </row>
    <row r="15154" spans="5:5" x14ac:dyDescent="0.25">
      <c r="E15154" t="s">
        <v>14679</v>
      </c>
    </row>
    <row r="15155" spans="5:5" x14ac:dyDescent="0.25">
      <c r="E15155" t="s">
        <v>14680</v>
      </c>
    </row>
    <row r="15156" spans="5:5" x14ac:dyDescent="0.25">
      <c r="E15156" t="s">
        <v>14681</v>
      </c>
    </row>
    <row r="15157" spans="5:5" x14ac:dyDescent="0.25">
      <c r="E15157" t="s">
        <v>14682</v>
      </c>
    </row>
    <row r="15158" spans="5:5" x14ac:dyDescent="0.25">
      <c r="E15158" t="s">
        <v>14683</v>
      </c>
    </row>
    <row r="15159" spans="5:5" x14ac:dyDescent="0.25">
      <c r="E15159" t="s">
        <v>14684</v>
      </c>
    </row>
    <row r="15160" spans="5:5" x14ac:dyDescent="0.25">
      <c r="E15160" t="s">
        <v>14685</v>
      </c>
    </row>
    <row r="15161" spans="5:5" x14ac:dyDescent="0.25">
      <c r="E15161" t="s">
        <v>14686</v>
      </c>
    </row>
    <row r="15162" spans="5:5" x14ac:dyDescent="0.25">
      <c r="E15162" t="s">
        <v>14687</v>
      </c>
    </row>
    <row r="15163" spans="5:5" x14ac:dyDescent="0.25">
      <c r="E15163" t="s">
        <v>14688</v>
      </c>
    </row>
    <row r="15164" spans="5:5" x14ac:dyDescent="0.25">
      <c r="E15164" t="s">
        <v>14689</v>
      </c>
    </row>
    <row r="15165" spans="5:5" x14ac:dyDescent="0.25">
      <c r="E15165" t="s">
        <v>14690</v>
      </c>
    </row>
    <row r="15166" spans="5:5" x14ac:dyDescent="0.25">
      <c r="E15166" t="s">
        <v>14691</v>
      </c>
    </row>
    <row r="15167" spans="5:5" x14ac:dyDescent="0.25">
      <c r="E15167" t="s">
        <v>14692</v>
      </c>
    </row>
    <row r="15168" spans="5:5" x14ac:dyDescent="0.25">
      <c r="E15168" t="s">
        <v>14693</v>
      </c>
    </row>
    <row r="15169" spans="5:5" x14ac:dyDescent="0.25">
      <c r="E15169" t="s">
        <v>14694</v>
      </c>
    </row>
    <row r="15170" spans="5:5" x14ac:dyDescent="0.25">
      <c r="E15170" t="s">
        <v>14695</v>
      </c>
    </row>
    <row r="15171" spans="5:5" x14ac:dyDescent="0.25">
      <c r="E15171" t="s">
        <v>14696</v>
      </c>
    </row>
    <row r="15172" spans="5:5" x14ac:dyDescent="0.25">
      <c r="E15172" t="s">
        <v>14697</v>
      </c>
    </row>
    <row r="15173" spans="5:5" x14ac:dyDescent="0.25">
      <c r="E15173" t="s">
        <v>14698</v>
      </c>
    </row>
    <row r="15174" spans="5:5" x14ac:dyDescent="0.25">
      <c r="E15174" t="s">
        <v>14699</v>
      </c>
    </row>
    <row r="15175" spans="5:5" x14ac:dyDescent="0.25">
      <c r="E15175" t="s">
        <v>14700</v>
      </c>
    </row>
    <row r="15176" spans="5:5" x14ac:dyDescent="0.25">
      <c r="E15176" t="s">
        <v>14701</v>
      </c>
    </row>
    <row r="15177" spans="5:5" x14ac:dyDescent="0.25">
      <c r="E15177" t="s">
        <v>14702</v>
      </c>
    </row>
    <row r="15178" spans="5:5" x14ac:dyDescent="0.25">
      <c r="E15178" t="s">
        <v>14703</v>
      </c>
    </row>
    <row r="15179" spans="5:5" x14ac:dyDescent="0.25">
      <c r="E15179" t="s">
        <v>14704</v>
      </c>
    </row>
    <row r="15180" spans="5:5" x14ac:dyDescent="0.25">
      <c r="E15180" t="s">
        <v>14705</v>
      </c>
    </row>
    <row r="15181" spans="5:5" x14ac:dyDescent="0.25">
      <c r="E15181" t="s">
        <v>14706</v>
      </c>
    </row>
    <row r="15182" spans="5:5" x14ac:dyDescent="0.25">
      <c r="E15182" t="s">
        <v>14707</v>
      </c>
    </row>
    <row r="15183" spans="5:5" x14ac:dyDescent="0.25">
      <c r="E15183" t="s">
        <v>14708</v>
      </c>
    </row>
    <row r="15184" spans="5:5" x14ac:dyDescent="0.25">
      <c r="E15184" t="s">
        <v>14709</v>
      </c>
    </row>
    <row r="15185" spans="5:5" x14ac:dyDescent="0.25">
      <c r="E15185" t="s">
        <v>14710</v>
      </c>
    </row>
    <row r="15186" spans="5:5" x14ac:dyDescent="0.25">
      <c r="E15186" t="s">
        <v>14711</v>
      </c>
    </row>
    <row r="15187" spans="5:5" x14ac:dyDescent="0.25">
      <c r="E15187" t="s">
        <v>14712</v>
      </c>
    </row>
    <row r="15188" spans="5:5" x14ac:dyDescent="0.25">
      <c r="E15188" t="s">
        <v>14713</v>
      </c>
    </row>
    <row r="15189" spans="5:5" x14ac:dyDescent="0.25">
      <c r="E15189" t="s">
        <v>14714</v>
      </c>
    </row>
    <row r="15190" spans="5:5" x14ac:dyDescent="0.25">
      <c r="E15190" t="s">
        <v>14715</v>
      </c>
    </row>
    <row r="15191" spans="5:5" x14ac:dyDescent="0.25">
      <c r="E15191" t="s">
        <v>14716</v>
      </c>
    </row>
    <row r="15192" spans="5:5" x14ac:dyDescent="0.25">
      <c r="E15192" t="s">
        <v>14717</v>
      </c>
    </row>
    <row r="15193" spans="5:5" x14ac:dyDescent="0.25">
      <c r="E15193" t="s">
        <v>14718</v>
      </c>
    </row>
    <row r="15194" spans="5:5" x14ac:dyDescent="0.25">
      <c r="E15194" t="s">
        <v>14719</v>
      </c>
    </row>
    <row r="15195" spans="5:5" x14ac:dyDescent="0.25">
      <c r="E15195" t="s">
        <v>14720</v>
      </c>
    </row>
    <row r="15196" spans="5:5" x14ac:dyDescent="0.25">
      <c r="E15196" t="s">
        <v>14721</v>
      </c>
    </row>
    <row r="15197" spans="5:5" x14ac:dyDescent="0.25">
      <c r="E15197" t="s">
        <v>14722</v>
      </c>
    </row>
    <row r="15198" spans="5:5" x14ac:dyDescent="0.25">
      <c r="E15198" t="s">
        <v>14723</v>
      </c>
    </row>
    <row r="15199" spans="5:5" x14ac:dyDescent="0.25">
      <c r="E15199" t="s">
        <v>14724</v>
      </c>
    </row>
    <row r="15200" spans="5:5" x14ac:dyDescent="0.25">
      <c r="E15200" t="s">
        <v>14725</v>
      </c>
    </row>
    <row r="15201" spans="5:5" x14ac:dyDescent="0.25">
      <c r="E15201" t="s">
        <v>14726</v>
      </c>
    </row>
    <row r="15202" spans="5:5" x14ac:dyDescent="0.25">
      <c r="E15202" t="s">
        <v>14727</v>
      </c>
    </row>
    <row r="15203" spans="5:5" x14ac:dyDescent="0.25">
      <c r="E15203" t="s">
        <v>14728</v>
      </c>
    </row>
    <row r="15204" spans="5:5" x14ac:dyDescent="0.25">
      <c r="E15204" t="s">
        <v>14729</v>
      </c>
    </row>
    <row r="15205" spans="5:5" x14ac:dyDescent="0.25">
      <c r="E15205" t="s">
        <v>14730</v>
      </c>
    </row>
    <row r="15206" spans="5:5" x14ac:dyDescent="0.25">
      <c r="E15206" t="s">
        <v>14731</v>
      </c>
    </row>
    <row r="15207" spans="5:5" x14ac:dyDescent="0.25">
      <c r="E15207" t="s">
        <v>14732</v>
      </c>
    </row>
    <row r="15208" spans="5:5" x14ac:dyDescent="0.25">
      <c r="E15208" t="s">
        <v>14733</v>
      </c>
    </row>
    <row r="15209" spans="5:5" x14ac:dyDescent="0.25">
      <c r="E15209" t="s">
        <v>14734</v>
      </c>
    </row>
    <row r="15210" spans="5:5" x14ac:dyDescent="0.25">
      <c r="E15210" t="s">
        <v>14735</v>
      </c>
    </row>
    <row r="15211" spans="5:5" x14ac:dyDescent="0.25">
      <c r="E15211" t="s">
        <v>14736</v>
      </c>
    </row>
    <row r="15212" spans="5:5" x14ac:dyDescent="0.25">
      <c r="E15212" t="s">
        <v>14737</v>
      </c>
    </row>
    <row r="15213" spans="5:5" x14ac:dyDescent="0.25">
      <c r="E15213" t="s">
        <v>14738</v>
      </c>
    </row>
    <row r="15214" spans="5:5" x14ac:dyDescent="0.25">
      <c r="E15214" t="s">
        <v>14739</v>
      </c>
    </row>
    <row r="15215" spans="5:5" x14ac:dyDescent="0.25">
      <c r="E15215" t="s">
        <v>14740</v>
      </c>
    </row>
    <row r="15216" spans="5:5" x14ac:dyDescent="0.25">
      <c r="E15216" t="s">
        <v>14741</v>
      </c>
    </row>
    <row r="15217" spans="5:5" x14ac:dyDescent="0.25">
      <c r="E15217" t="s">
        <v>14742</v>
      </c>
    </row>
    <row r="15221" spans="5:5" x14ac:dyDescent="0.25">
      <c r="E15221" t="s">
        <v>14743</v>
      </c>
    </row>
    <row r="15222" spans="5:5" x14ac:dyDescent="0.25">
      <c r="E15222" t="s">
        <v>14744</v>
      </c>
    </row>
    <row r="15223" spans="5:5" x14ac:dyDescent="0.25">
      <c r="E15223" t="s">
        <v>14745</v>
      </c>
    </row>
    <row r="15224" spans="5:5" x14ac:dyDescent="0.25">
      <c r="E15224" t="s">
        <v>14746</v>
      </c>
    </row>
    <row r="15225" spans="5:5" x14ac:dyDescent="0.25">
      <c r="E15225" t="s">
        <v>14747</v>
      </c>
    </row>
    <row r="15226" spans="5:5" x14ac:dyDescent="0.25">
      <c r="E15226" t="s">
        <v>14748</v>
      </c>
    </row>
    <row r="15227" spans="5:5" x14ac:dyDescent="0.25">
      <c r="E15227" t="s">
        <v>14749</v>
      </c>
    </row>
    <row r="15228" spans="5:5" x14ac:dyDescent="0.25">
      <c r="E15228" t="s">
        <v>14750</v>
      </c>
    </row>
    <row r="15229" spans="5:5" x14ac:dyDescent="0.25">
      <c r="E15229" t="s">
        <v>14751</v>
      </c>
    </row>
    <row r="15230" spans="5:5" x14ac:dyDescent="0.25">
      <c r="E15230" t="s">
        <v>14752</v>
      </c>
    </row>
    <row r="15231" spans="5:5" x14ac:dyDescent="0.25">
      <c r="E15231" t="s">
        <v>14753</v>
      </c>
    </row>
    <row r="15232" spans="5:5" x14ac:dyDescent="0.25">
      <c r="E15232" t="s">
        <v>14754</v>
      </c>
    </row>
    <row r="15233" spans="5:5" x14ac:dyDescent="0.25">
      <c r="E15233" t="s">
        <v>14755</v>
      </c>
    </row>
    <row r="15234" spans="5:5" x14ac:dyDescent="0.25">
      <c r="E15234" t="s">
        <v>14756</v>
      </c>
    </row>
    <row r="15235" spans="5:5" x14ac:dyDescent="0.25">
      <c r="E15235" t="s">
        <v>14757</v>
      </c>
    </row>
    <row r="15236" spans="5:5" x14ac:dyDescent="0.25">
      <c r="E15236" t="s">
        <v>14758</v>
      </c>
    </row>
    <row r="15237" spans="5:5" x14ac:dyDescent="0.25">
      <c r="E15237" t="s">
        <v>14759</v>
      </c>
    </row>
    <row r="15238" spans="5:5" x14ac:dyDescent="0.25">
      <c r="E15238" t="s">
        <v>14760</v>
      </c>
    </row>
    <row r="15239" spans="5:5" x14ac:dyDescent="0.25">
      <c r="E15239" t="s">
        <v>14761</v>
      </c>
    </row>
    <row r="15240" spans="5:5" x14ac:dyDescent="0.25">
      <c r="E15240" t="s">
        <v>14762</v>
      </c>
    </row>
    <row r="15241" spans="5:5" x14ac:dyDescent="0.25">
      <c r="E15241" t="s">
        <v>14763</v>
      </c>
    </row>
    <row r="15242" spans="5:5" x14ac:dyDescent="0.25">
      <c r="E15242" t="s">
        <v>14764</v>
      </c>
    </row>
    <row r="15243" spans="5:5" x14ac:dyDescent="0.25">
      <c r="E15243" t="s">
        <v>14765</v>
      </c>
    </row>
    <row r="15244" spans="5:5" x14ac:dyDescent="0.25">
      <c r="E15244" t="s">
        <v>14766</v>
      </c>
    </row>
    <row r="15245" spans="5:5" x14ac:dyDescent="0.25">
      <c r="E15245" t="s">
        <v>14767</v>
      </c>
    </row>
    <row r="15246" spans="5:5" x14ac:dyDescent="0.25">
      <c r="E15246" t="s">
        <v>14768</v>
      </c>
    </row>
    <row r="15247" spans="5:5" x14ac:dyDescent="0.25">
      <c r="E15247" t="s">
        <v>14769</v>
      </c>
    </row>
    <row r="15248" spans="5:5" x14ac:dyDescent="0.25">
      <c r="E15248" t="s">
        <v>14770</v>
      </c>
    </row>
    <row r="15249" spans="5:5" x14ac:dyDescent="0.25">
      <c r="E15249" t="s">
        <v>14771</v>
      </c>
    </row>
    <row r="15250" spans="5:5" x14ac:dyDescent="0.25">
      <c r="E15250" t="s">
        <v>14772</v>
      </c>
    </row>
    <row r="15251" spans="5:5" x14ac:dyDescent="0.25">
      <c r="E15251" t="s">
        <v>14773</v>
      </c>
    </row>
    <row r="15252" spans="5:5" x14ac:dyDescent="0.25">
      <c r="E15252" t="s">
        <v>14774</v>
      </c>
    </row>
    <row r="15253" spans="5:5" x14ac:dyDescent="0.25">
      <c r="E15253" t="s">
        <v>14775</v>
      </c>
    </row>
    <row r="15254" spans="5:5" x14ac:dyDescent="0.25">
      <c r="E15254" t="s">
        <v>14776</v>
      </c>
    </row>
    <row r="15255" spans="5:5" x14ac:dyDescent="0.25">
      <c r="E15255" t="s">
        <v>14777</v>
      </c>
    </row>
    <row r="15256" spans="5:5" x14ac:dyDescent="0.25">
      <c r="E15256" t="s">
        <v>14778</v>
      </c>
    </row>
    <row r="15257" spans="5:5" x14ac:dyDescent="0.25">
      <c r="E15257" t="s">
        <v>14779</v>
      </c>
    </row>
    <row r="15258" spans="5:5" x14ac:dyDescent="0.25">
      <c r="E15258" t="s">
        <v>14780</v>
      </c>
    </row>
    <row r="15259" spans="5:5" x14ac:dyDescent="0.25">
      <c r="E15259" t="s">
        <v>14781</v>
      </c>
    </row>
    <row r="15260" spans="5:5" x14ac:dyDescent="0.25">
      <c r="E15260" t="s">
        <v>14782</v>
      </c>
    </row>
    <row r="15261" spans="5:5" x14ac:dyDescent="0.25">
      <c r="E15261" t="s">
        <v>14783</v>
      </c>
    </row>
    <row r="15262" spans="5:5" x14ac:dyDescent="0.25">
      <c r="E15262" t="s">
        <v>14784</v>
      </c>
    </row>
    <row r="15263" spans="5:5" x14ac:dyDescent="0.25">
      <c r="E15263" t="s">
        <v>14785</v>
      </c>
    </row>
    <row r="15264" spans="5:5" x14ac:dyDescent="0.25">
      <c r="E15264" t="s">
        <v>14786</v>
      </c>
    </row>
    <row r="15265" spans="5:5" x14ac:dyDescent="0.25">
      <c r="E15265" t="s">
        <v>14787</v>
      </c>
    </row>
    <row r="15266" spans="5:5" x14ac:dyDescent="0.25">
      <c r="E15266" t="s">
        <v>14788</v>
      </c>
    </row>
    <row r="15267" spans="5:5" x14ac:dyDescent="0.25">
      <c r="E15267" t="s">
        <v>14789</v>
      </c>
    </row>
    <row r="15268" spans="5:5" x14ac:dyDescent="0.25">
      <c r="E15268" t="s">
        <v>14790</v>
      </c>
    </row>
    <row r="15269" spans="5:5" x14ac:dyDescent="0.25">
      <c r="E15269" t="s">
        <v>14791</v>
      </c>
    </row>
    <row r="15270" spans="5:5" x14ac:dyDescent="0.25">
      <c r="E15270" t="s">
        <v>14792</v>
      </c>
    </row>
    <row r="15271" spans="5:5" x14ac:dyDescent="0.25">
      <c r="E15271" t="s">
        <v>14793</v>
      </c>
    </row>
    <row r="15272" spans="5:5" x14ac:dyDescent="0.25">
      <c r="E15272" t="s">
        <v>14794</v>
      </c>
    </row>
    <row r="15273" spans="5:5" x14ac:dyDescent="0.25">
      <c r="E15273" t="s">
        <v>14795</v>
      </c>
    </row>
    <row r="15274" spans="5:5" x14ac:dyDescent="0.25">
      <c r="E15274" t="s">
        <v>14796</v>
      </c>
    </row>
    <row r="15275" spans="5:5" x14ac:dyDescent="0.25">
      <c r="E15275" t="s">
        <v>14797</v>
      </c>
    </row>
    <row r="15276" spans="5:5" x14ac:dyDescent="0.25">
      <c r="E15276" t="s">
        <v>14798</v>
      </c>
    </row>
    <row r="15277" spans="5:5" x14ac:dyDescent="0.25">
      <c r="E15277" t="s">
        <v>14799</v>
      </c>
    </row>
    <row r="15278" spans="5:5" x14ac:dyDescent="0.25">
      <c r="E15278" t="s">
        <v>14800</v>
      </c>
    </row>
    <row r="15279" spans="5:5" x14ac:dyDescent="0.25">
      <c r="E15279" t="s">
        <v>14801</v>
      </c>
    </row>
    <row r="15280" spans="5:5" x14ac:dyDescent="0.25">
      <c r="E15280" t="s">
        <v>14802</v>
      </c>
    </row>
    <row r="15281" spans="5:5" x14ac:dyDescent="0.25">
      <c r="E15281" t="s">
        <v>14803</v>
      </c>
    </row>
    <row r="15282" spans="5:5" x14ac:dyDescent="0.25">
      <c r="E15282" t="s">
        <v>14804</v>
      </c>
    </row>
    <row r="15283" spans="5:5" x14ac:dyDescent="0.25">
      <c r="E15283" t="s">
        <v>14805</v>
      </c>
    </row>
    <row r="15284" spans="5:5" x14ac:dyDescent="0.25">
      <c r="E15284" t="s">
        <v>14806</v>
      </c>
    </row>
    <row r="15285" spans="5:5" x14ac:dyDescent="0.25">
      <c r="E15285" t="s">
        <v>14807</v>
      </c>
    </row>
    <row r="15286" spans="5:5" x14ac:dyDescent="0.25">
      <c r="E15286" t="s">
        <v>14808</v>
      </c>
    </row>
    <row r="15287" spans="5:5" x14ac:dyDescent="0.25">
      <c r="E15287" t="s">
        <v>14809</v>
      </c>
    </row>
    <row r="15288" spans="5:5" x14ac:dyDescent="0.25">
      <c r="E15288" t="s">
        <v>14810</v>
      </c>
    </row>
    <row r="15289" spans="5:5" x14ac:dyDescent="0.25">
      <c r="E15289" t="s">
        <v>14811</v>
      </c>
    </row>
    <row r="15290" spans="5:5" x14ac:dyDescent="0.25">
      <c r="E15290" t="s">
        <v>14812</v>
      </c>
    </row>
    <row r="15291" spans="5:5" x14ac:dyDescent="0.25">
      <c r="E15291" t="s">
        <v>14813</v>
      </c>
    </row>
    <row r="15292" spans="5:5" x14ac:dyDescent="0.25">
      <c r="E15292" t="s">
        <v>14814</v>
      </c>
    </row>
    <row r="15293" spans="5:5" x14ac:dyDescent="0.25">
      <c r="E15293" t="s">
        <v>14815</v>
      </c>
    </row>
    <row r="15294" spans="5:5" x14ac:dyDescent="0.25">
      <c r="E15294" t="s">
        <v>14816</v>
      </c>
    </row>
    <row r="15295" spans="5:5" x14ac:dyDescent="0.25">
      <c r="E15295" t="s">
        <v>14817</v>
      </c>
    </row>
    <row r="15296" spans="5:5" x14ac:dyDescent="0.25">
      <c r="E15296" t="s">
        <v>14818</v>
      </c>
    </row>
    <row r="15297" spans="5:5" x14ac:dyDescent="0.25">
      <c r="E15297" t="s">
        <v>14819</v>
      </c>
    </row>
    <row r="15298" spans="5:5" x14ac:dyDescent="0.25">
      <c r="E15298" t="s">
        <v>14820</v>
      </c>
    </row>
    <row r="15299" spans="5:5" x14ac:dyDescent="0.25">
      <c r="E15299" t="s">
        <v>14821</v>
      </c>
    </row>
    <row r="15300" spans="5:5" x14ac:dyDescent="0.25">
      <c r="E15300" t="s">
        <v>14822</v>
      </c>
    </row>
    <row r="15301" spans="5:5" x14ac:dyDescent="0.25">
      <c r="E15301" t="s">
        <v>14823</v>
      </c>
    </row>
    <row r="15302" spans="5:5" x14ac:dyDescent="0.25">
      <c r="E15302" t="s">
        <v>14824</v>
      </c>
    </row>
    <row r="15303" spans="5:5" x14ac:dyDescent="0.25">
      <c r="E15303" t="s">
        <v>14825</v>
      </c>
    </row>
    <row r="15304" spans="5:5" x14ac:dyDescent="0.25">
      <c r="E15304" t="s">
        <v>14826</v>
      </c>
    </row>
    <row r="15305" spans="5:5" x14ac:dyDescent="0.25">
      <c r="E15305" t="s">
        <v>14827</v>
      </c>
    </row>
    <row r="15306" spans="5:5" x14ac:dyDescent="0.25">
      <c r="E15306" t="s">
        <v>14828</v>
      </c>
    </row>
    <row r="15307" spans="5:5" x14ac:dyDescent="0.25">
      <c r="E15307" t="s">
        <v>14829</v>
      </c>
    </row>
    <row r="15308" spans="5:5" x14ac:dyDescent="0.25">
      <c r="E15308" t="s">
        <v>14830</v>
      </c>
    </row>
    <row r="15309" spans="5:5" x14ac:dyDescent="0.25">
      <c r="E15309" t="s">
        <v>14831</v>
      </c>
    </row>
    <row r="15310" spans="5:5" x14ac:dyDescent="0.25">
      <c r="E15310" t="s">
        <v>14832</v>
      </c>
    </row>
    <row r="15311" spans="5:5" x14ac:dyDescent="0.25">
      <c r="E15311" t="s">
        <v>14833</v>
      </c>
    </row>
    <row r="15312" spans="5:5" x14ac:dyDescent="0.25">
      <c r="E15312" t="s">
        <v>14834</v>
      </c>
    </row>
    <row r="15313" spans="5:5" x14ac:dyDescent="0.25">
      <c r="E15313" t="s">
        <v>14835</v>
      </c>
    </row>
    <row r="15314" spans="5:5" x14ac:dyDescent="0.25">
      <c r="E15314" t="s">
        <v>14836</v>
      </c>
    </row>
    <row r="15315" spans="5:5" x14ac:dyDescent="0.25">
      <c r="E15315" t="s">
        <v>14837</v>
      </c>
    </row>
    <row r="15316" spans="5:5" x14ac:dyDescent="0.25">
      <c r="E15316" t="s">
        <v>14838</v>
      </c>
    </row>
    <row r="15317" spans="5:5" x14ac:dyDescent="0.25">
      <c r="E15317" t="s">
        <v>14839</v>
      </c>
    </row>
    <row r="15318" spans="5:5" x14ac:dyDescent="0.25">
      <c r="E15318" t="s">
        <v>14840</v>
      </c>
    </row>
    <row r="15319" spans="5:5" x14ac:dyDescent="0.25">
      <c r="E15319" t="s">
        <v>14841</v>
      </c>
    </row>
    <row r="15320" spans="5:5" x14ac:dyDescent="0.25">
      <c r="E15320" t="s">
        <v>14842</v>
      </c>
    </row>
    <row r="15321" spans="5:5" x14ac:dyDescent="0.25">
      <c r="E15321" t="s">
        <v>14843</v>
      </c>
    </row>
    <row r="15322" spans="5:5" x14ac:dyDescent="0.25">
      <c r="E15322" t="s">
        <v>14844</v>
      </c>
    </row>
    <row r="15323" spans="5:5" x14ac:dyDescent="0.25">
      <c r="E15323" t="s">
        <v>14845</v>
      </c>
    </row>
    <row r="15324" spans="5:5" x14ac:dyDescent="0.25">
      <c r="E15324" t="s">
        <v>14846</v>
      </c>
    </row>
    <row r="15325" spans="5:5" x14ac:dyDescent="0.25">
      <c r="E15325" t="s">
        <v>14847</v>
      </c>
    </row>
    <row r="15326" spans="5:5" x14ac:dyDescent="0.25">
      <c r="E15326" t="s">
        <v>14848</v>
      </c>
    </row>
    <row r="15327" spans="5:5" x14ac:dyDescent="0.25">
      <c r="E15327" t="s">
        <v>14849</v>
      </c>
    </row>
    <row r="15328" spans="5:5" x14ac:dyDescent="0.25">
      <c r="E15328" t="s">
        <v>14850</v>
      </c>
    </row>
    <row r="15329" spans="5:5" x14ac:dyDescent="0.25">
      <c r="E15329" t="s">
        <v>14851</v>
      </c>
    </row>
    <row r="15330" spans="5:5" x14ac:dyDescent="0.25">
      <c r="E15330" t="s">
        <v>14852</v>
      </c>
    </row>
    <row r="15331" spans="5:5" x14ac:dyDescent="0.25">
      <c r="E15331" t="s">
        <v>14853</v>
      </c>
    </row>
    <row r="15332" spans="5:5" x14ac:dyDescent="0.25">
      <c r="E15332" t="s">
        <v>14854</v>
      </c>
    </row>
    <row r="15333" spans="5:5" x14ac:dyDescent="0.25">
      <c r="E15333" t="s">
        <v>14855</v>
      </c>
    </row>
    <row r="15334" spans="5:5" x14ac:dyDescent="0.25">
      <c r="E15334" t="s">
        <v>14856</v>
      </c>
    </row>
    <row r="15335" spans="5:5" x14ac:dyDescent="0.25">
      <c r="E15335" t="s">
        <v>14857</v>
      </c>
    </row>
    <row r="15336" spans="5:5" x14ac:dyDescent="0.25">
      <c r="E15336" t="s">
        <v>14858</v>
      </c>
    </row>
    <row r="15337" spans="5:5" x14ac:dyDescent="0.25">
      <c r="E15337" t="s">
        <v>14859</v>
      </c>
    </row>
    <row r="15338" spans="5:5" x14ac:dyDescent="0.25">
      <c r="E15338" t="s">
        <v>14860</v>
      </c>
    </row>
    <row r="15339" spans="5:5" x14ac:dyDescent="0.25">
      <c r="E15339" t="s">
        <v>14861</v>
      </c>
    </row>
    <row r="15340" spans="5:5" x14ac:dyDescent="0.25">
      <c r="E15340" t="s">
        <v>14862</v>
      </c>
    </row>
    <row r="15341" spans="5:5" x14ac:dyDescent="0.25">
      <c r="E15341" t="s">
        <v>14863</v>
      </c>
    </row>
    <row r="15342" spans="5:5" x14ac:dyDescent="0.25">
      <c r="E15342" t="s">
        <v>14864</v>
      </c>
    </row>
    <row r="15343" spans="5:5" x14ac:dyDescent="0.25">
      <c r="E15343" t="s">
        <v>14865</v>
      </c>
    </row>
    <row r="15344" spans="5:5" x14ac:dyDescent="0.25">
      <c r="E15344" t="s">
        <v>14866</v>
      </c>
    </row>
    <row r="15345" spans="5:5" x14ac:dyDescent="0.25">
      <c r="E15345" t="s">
        <v>14867</v>
      </c>
    </row>
    <row r="15346" spans="5:5" x14ac:dyDescent="0.25">
      <c r="E15346" t="s">
        <v>14868</v>
      </c>
    </row>
    <row r="15347" spans="5:5" x14ac:dyDescent="0.25">
      <c r="E15347" t="s">
        <v>14869</v>
      </c>
    </row>
    <row r="15348" spans="5:5" x14ac:dyDescent="0.25">
      <c r="E15348" t="s">
        <v>14870</v>
      </c>
    </row>
    <row r="15349" spans="5:5" x14ac:dyDescent="0.25">
      <c r="E15349" t="s">
        <v>14871</v>
      </c>
    </row>
    <row r="15350" spans="5:5" x14ac:dyDescent="0.25">
      <c r="E15350" t="s">
        <v>14872</v>
      </c>
    </row>
    <row r="15351" spans="5:5" x14ac:dyDescent="0.25">
      <c r="E15351" t="s">
        <v>14873</v>
      </c>
    </row>
    <row r="15352" spans="5:5" x14ac:dyDescent="0.25">
      <c r="E15352" t="s">
        <v>14874</v>
      </c>
    </row>
    <row r="15353" spans="5:5" x14ac:dyDescent="0.25">
      <c r="E15353" t="s">
        <v>14875</v>
      </c>
    </row>
    <row r="15354" spans="5:5" x14ac:dyDescent="0.25">
      <c r="E15354" t="s">
        <v>14876</v>
      </c>
    </row>
    <row r="15355" spans="5:5" x14ac:dyDescent="0.25">
      <c r="E15355" t="s">
        <v>14877</v>
      </c>
    </row>
    <row r="15356" spans="5:5" x14ac:dyDescent="0.25">
      <c r="E15356" t="s">
        <v>14878</v>
      </c>
    </row>
    <row r="15357" spans="5:5" x14ac:dyDescent="0.25">
      <c r="E15357" t="s">
        <v>14879</v>
      </c>
    </row>
    <row r="15358" spans="5:5" x14ac:dyDescent="0.25">
      <c r="E15358" t="s">
        <v>14880</v>
      </c>
    </row>
    <row r="15359" spans="5:5" x14ac:dyDescent="0.25">
      <c r="E15359" t="s">
        <v>14881</v>
      </c>
    </row>
    <row r="15360" spans="5:5" x14ac:dyDescent="0.25">
      <c r="E15360" t="s">
        <v>14882</v>
      </c>
    </row>
    <row r="15361" spans="5:5" x14ac:dyDescent="0.25">
      <c r="E15361" t="s">
        <v>14883</v>
      </c>
    </row>
    <row r="15362" spans="5:5" x14ac:dyDescent="0.25">
      <c r="E15362" t="s">
        <v>14884</v>
      </c>
    </row>
    <row r="15363" spans="5:5" x14ac:dyDescent="0.25">
      <c r="E15363" t="s">
        <v>14885</v>
      </c>
    </row>
    <row r="15364" spans="5:5" x14ac:dyDescent="0.25">
      <c r="E15364" t="s">
        <v>14886</v>
      </c>
    </row>
    <row r="15365" spans="5:5" x14ac:dyDescent="0.25">
      <c r="E15365" t="s">
        <v>14887</v>
      </c>
    </row>
    <row r="15366" spans="5:5" x14ac:dyDescent="0.25">
      <c r="E15366" t="s">
        <v>14888</v>
      </c>
    </row>
    <row r="15367" spans="5:5" x14ac:dyDescent="0.25">
      <c r="E15367" t="s">
        <v>14889</v>
      </c>
    </row>
    <row r="15368" spans="5:5" x14ac:dyDescent="0.25">
      <c r="E15368" t="s">
        <v>14890</v>
      </c>
    </row>
    <row r="15369" spans="5:5" x14ac:dyDescent="0.25">
      <c r="E15369" t="s">
        <v>14891</v>
      </c>
    </row>
    <row r="15370" spans="5:5" x14ac:dyDescent="0.25">
      <c r="E15370" t="s">
        <v>14892</v>
      </c>
    </row>
    <row r="15371" spans="5:5" x14ac:dyDescent="0.25">
      <c r="E15371" t="s">
        <v>14893</v>
      </c>
    </row>
    <row r="15372" spans="5:5" x14ac:dyDescent="0.25">
      <c r="E15372" t="s">
        <v>14894</v>
      </c>
    </row>
    <row r="15373" spans="5:5" x14ac:dyDescent="0.25">
      <c r="E15373" t="s">
        <v>14895</v>
      </c>
    </row>
    <row r="15374" spans="5:5" x14ac:dyDescent="0.25">
      <c r="E15374" t="s">
        <v>14896</v>
      </c>
    </row>
    <row r="15375" spans="5:5" x14ac:dyDescent="0.25">
      <c r="E15375" t="s">
        <v>14897</v>
      </c>
    </row>
    <row r="15376" spans="5:5" x14ac:dyDescent="0.25">
      <c r="E15376" t="s">
        <v>14898</v>
      </c>
    </row>
    <row r="15377" spans="5:5" x14ac:dyDescent="0.25">
      <c r="E15377" t="s">
        <v>14899</v>
      </c>
    </row>
    <row r="15378" spans="5:5" x14ac:dyDescent="0.25">
      <c r="E15378" t="s">
        <v>14900</v>
      </c>
    </row>
    <row r="15379" spans="5:5" x14ac:dyDescent="0.25">
      <c r="E15379" t="s">
        <v>14901</v>
      </c>
    </row>
    <row r="15380" spans="5:5" x14ac:dyDescent="0.25">
      <c r="E15380" t="s">
        <v>14902</v>
      </c>
    </row>
    <row r="15381" spans="5:5" x14ac:dyDescent="0.25">
      <c r="E15381" t="s">
        <v>14903</v>
      </c>
    </row>
    <row r="15382" spans="5:5" x14ac:dyDescent="0.25">
      <c r="E15382" t="s">
        <v>14904</v>
      </c>
    </row>
    <row r="15383" spans="5:5" x14ac:dyDescent="0.25">
      <c r="E15383" t="s">
        <v>14905</v>
      </c>
    </row>
    <row r="15384" spans="5:5" x14ac:dyDescent="0.25">
      <c r="E15384" t="s">
        <v>14906</v>
      </c>
    </row>
    <row r="15385" spans="5:5" x14ac:dyDescent="0.25">
      <c r="E15385" t="s">
        <v>14907</v>
      </c>
    </row>
    <row r="15386" spans="5:5" x14ac:dyDescent="0.25">
      <c r="E15386" t="s">
        <v>14908</v>
      </c>
    </row>
    <row r="15387" spans="5:5" x14ac:dyDescent="0.25">
      <c r="E15387" t="s">
        <v>14909</v>
      </c>
    </row>
    <row r="15388" spans="5:5" x14ac:dyDescent="0.25">
      <c r="E15388" t="s">
        <v>14910</v>
      </c>
    </row>
    <row r="15389" spans="5:5" x14ac:dyDescent="0.25">
      <c r="E15389" t="s">
        <v>14911</v>
      </c>
    </row>
    <row r="15390" spans="5:5" x14ac:dyDescent="0.25">
      <c r="E15390" t="s">
        <v>14912</v>
      </c>
    </row>
    <row r="15391" spans="5:5" x14ac:dyDescent="0.25">
      <c r="E15391" t="s">
        <v>14913</v>
      </c>
    </row>
    <row r="15392" spans="5:5" x14ac:dyDescent="0.25">
      <c r="E15392" t="s">
        <v>14914</v>
      </c>
    </row>
    <row r="15393" spans="5:5" x14ac:dyDescent="0.25">
      <c r="E15393" t="s">
        <v>14915</v>
      </c>
    </row>
    <row r="15394" spans="5:5" x14ac:dyDescent="0.25">
      <c r="E15394" t="s">
        <v>14916</v>
      </c>
    </row>
    <row r="15395" spans="5:5" x14ac:dyDescent="0.25">
      <c r="E15395" t="s">
        <v>14917</v>
      </c>
    </row>
    <row r="15396" spans="5:5" x14ac:dyDescent="0.25">
      <c r="E15396" t="s">
        <v>14918</v>
      </c>
    </row>
    <row r="15397" spans="5:5" x14ac:dyDescent="0.25">
      <c r="E15397" t="s">
        <v>14919</v>
      </c>
    </row>
    <row r="15398" spans="5:5" x14ac:dyDescent="0.25">
      <c r="E15398" t="s">
        <v>14920</v>
      </c>
    </row>
    <row r="15399" spans="5:5" x14ac:dyDescent="0.25">
      <c r="E15399" t="s">
        <v>14921</v>
      </c>
    </row>
    <row r="15400" spans="5:5" x14ac:dyDescent="0.25">
      <c r="E15400" t="s">
        <v>14922</v>
      </c>
    </row>
    <row r="15401" spans="5:5" x14ac:dyDescent="0.25">
      <c r="E15401" t="s">
        <v>14923</v>
      </c>
    </row>
    <row r="15402" spans="5:5" x14ac:dyDescent="0.25">
      <c r="E15402" t="s">
        <v>14924</v>
      </c>
    </row>
    <row r="15403" spans="5:5" x14ac:dyDescent="0.25">
      <c r="E15403" t="s">
        <v>14925</v>
      </c>
    </row>
    <row r="15404" spans="5:5" x14ac:dyDescent="0.25">
      <c r="E15404" t="s">
        <v>14926</v>
      </c>
    </row>
    <row r="15405" spans="5:5" x14ac:dyDescent="0.25">
      <c r="E15405" t="s">
        <v>14927</v>
      </c>
    </row>
    <row r="15406" spans="5:5" x14ac:dyDescent="0.25">
      <c r="E15406" t="s">
        <v>14928</v>
      </c>
    </row>
    <row r="15407" spans="5:5" x14ac:dyDescent="0.25">
      <c r="E15407" t="s">
        <v>14929</v>
      </c>
    </row>
    <row r="15408" spans="5:5" x14ac:dyDescent="0.25">
      <c r="E15408" t="s">
        <v>14930</v>
      </c>
    </row>
    <row r="15409" spans="5:5" x14ac:dyDescent="0.25">
      <c r="E15409" t="s">
        <v>14931</v>
      </c>
    </row>
    <row r="15410" spans="5:5" x14ac:dyDescent="0.25">
      <c r="E15410" t="s">
        <v>14932</v>
      </c>
    </row>
    <row r="15411" spans="5:5" x14ac:dyDescent="0.25">
      <c r="E15411" t="s">
        <v>14933</v>
      </c>
    </row>
    <row r="15412" spans="5:5" x14ac:dyDescent="0.25">
      <c r="E15412" t="s">
        <v>14934</v>
      </c>
    </row>
    <row r="15413" spans="5:5" x14ac:dyDescent="0.25">
      <c r="E15413" t="s">
        <v>14935</v>
      </c>
    </row>
    <row r="15414" spans="5:5" x14ac:dyDescent="0.25">
      <c r="E15414" t="s">
        <v>14936</v>
      </c>
    </row>
    <row r="15415" spans="5:5" x14ac:dyDescent="0.25">
      <c r="E15415" t="s">
        <v>14937</v>
      </c>
    </row>
    <row r="15416" spans="5:5" x14ac:dyDescent="0.25">
      <c r="E15416" t="s">
        <v>14938</v>
      </c>
    </row>
    <row r="15417" spans="5:5" x14ac:dyDescent="0.25">
      <c r="E15417" t="s">
        <v>14939</v>
      </c>
    </row>
    <row r="15418" spans="5:5" x14ac:dyDescent="0.25">
      <c r="E15418" t="s">
        <v>14940</v>
      </c>
    </row>
    <row r="15419" spans="5:5" x14ac:dyDescent="0.25">
      <c r="E15419" t="s">
        <v>14941</v>
      </c>
    </row>
    <row r="15420" spans="5:5" x14ac:dyDescent="0.25">
      <c r="E15420" t="s">
        <v>14942</v>
      </c>
    </row>
    <row r="15421" spans="5:5" x14ac:dyDescent="0.25">
      <c r="E15421" t="s">
        <v>14943</v>
      </c>
    </row>
    <row r="15422" spans="5:5" x14ac:dyDescent="0.25">
      <c r="E15422" t="s">
        <v>14944</v>
      </c>
    </row>
    <row r="15423" spans="5:5" x14ac:dyDescent="0.25">
      <c r="E15423" t="s">
        <v>14945</v>
      </c>
    </row>
    <row r="15424" spans="5:5" x14ac:dyDescent="0.25">
      <c r="E15424" t="s">
        <v>14946</v>
      </c>
    </row>
    <row r="15425" spans="5:5" x14ac:dyDescent="0.25">
      <c r="E15425" t="s">
        <v>14947</v>
      </c>
    </row>
    <row r="15426" spans="5:5" x14ac:dyDescent="0.25">
      <c r="E15426" t="s">
        <v>14948</v>
      </c>
    </row>
    <row r="15427" spans="5:5" x14ac:dyDescent="0.25">
      <c r="E15427" t="s">
        <v>14949</v>
      </c>
    </row>
    <row r="15428" spans="5:5" x14ac:dyDescent="0.25">
      <c r="E15428" t="s">
        <v>14950</v>
      </c>
    </row>
    <row r="15429" spans="5:5" x14ac:dyDescent="0.25">
      <c r="E15429" t="s">
        <v>14951</v>
      </c>
    </row>
    <row r="15430" spans="5:5" x14ac:dyDescent="0.25">
      <c r="E15430" t="s">
        <v>14952</v>
      </c>
    </row>
    <row r="15431" spans="5:5" x14ac:dyDescent="0.25">
      <c r="E15431" t="s">
        <v>14953</v>
      </c>
    </row>
    <row r="15432" spans="5:5" x14ac:dyDescent="0.25">
      <c r="E15432" t="s">
        <v>14954</v>
      </c>
    </row>
    <row r="15433" spans="5:5" x14ac:dyDescent="0.25">
      <c r="E15433" t="s">
        <v>14955</v>
      </c>
    </row>
    <row r="15434" spans="5:5" x14ac:dyDescent="0.25">
      <c r="E15434" t="s">
        <v>14956</v>
      </c>
    </row>
    <row r="15435" spans="5:5" x14ac:dyDescent="0.25">
      <c r="E15435" t="s">
        <v>14957</v>
      </c>
    </row>
    <row r="15436" spans="5:5" x14ac:dyDescent="0.25">
      <c r="E15436" t="s">
        <v>14958</v>
      </c>
    </row>
    <row r="15437" spans="5:5" x14ac:dyDescent="0.25">
      <c r="E15437" t="s">
        <v>14959</v>
      </c>
    </row>
    <row r="15438" spans="5:5" x14ac:dyDescent="0.25">
      <c r="E15438" t="s">
        <v>14960</v>
      </c>
    </row>
    <row r="15439" spans="5:5" x14ac:dyDescent="0.25">
      <c r="E15439" t="s">
        <v>14961</v>
      </c>
    </row>
    <row r="15440" spans="5:5" x14ac:dyDescent="0.25">
      <c r="E15440" t="s">
        <v>14962</v>
      </c>
    </row>
    <row r="15441" spans="5:5" x14ac:dyDescent="0.25">
      <c r="E15441" t="s">
        <v>14963</v>
      </c>
    </row>
    <row r="15442" spans="5:5" x14ac:dyDescent="0.25">
      <c r="E15442" t="s">
        <v>14964</v>
      </c>
    </row>
    <row r="15443" spans="5:5" x14ac:dyDescent="0.25">
      <c r="E15443" t="s">
        <v>14965</v>
      </c>
    </row>
    <row r="15444" spans="5:5" x14ac:dyDescent="0.25">
      <c r="E15444" t="s">
        <v>14966</v>
      </c>
    </row>
    <row r="15445" spans="5:5" x14ac:dyDescent="0.25">
      <c r="E15445" t="s">
        <v>14967</v>
      </c>
    </row>
    <row r="15446" spans="5:5" x14ac:dyDescent="0.25">
      <c r="E15446" t="s">
        <v>14968</v>
      </c>
    </row>
    <row r="15447" spans="5:5" x14ac:dyDescent="0.25">
      <c r="E15447" t="s">
        <v>14969</v>
      </c>
    </row>
    <row r="15448" spans="5:5" x14ac:dyDescent="0.25">
      <c r="E15448" t="s">
        <v>14970</v>
      </c>
    </row>
    <row r="15449" spans="5:5" x14ac:dyDescent="0.25">
      <c r="E15449" t="s">
        <v>14971</v>
      </c>
    </row>
    <row r="15450" spans="5:5" x14ac:dyDescent="0.25">
      <c r="E15450" t="s">
        <v>14972</v>
      </c>
    </row>
    <row r="15451" spans="5:5" x14ac:dyDescent="0.25">
      <c r="E15451" t="s">
        <v>14973</v>
      </c>
    </row>
    <row r="15452" spans="5:5" x14ac:dyDescent="0.25">
      <c r="E15452" t="s">
        <v>14974</v>
      </c>
    </row>
    <row r="15453" spans="5:5" x14ac:dyDescent="0.25">
      <c r="E15453" t="s">
        <v>14975</v>
      </c>
    </row>
    <row r="15454" spans="5:5" x14ac:dyDescent="0.25">
      <c r="E15454" t="s">
        <v>14976</v>
      </c>
    </row>
    <row r="15455" spans="5:5" x14ac:dyDescent="0.25">
      <c r="E15455" t="s">
        <v>14977</v>
      </c>
    </row>
    <row r="15456" spans="5:5" x14ac:dyDescent="0.25">
      <c r="E15456" t="s">
        <v>14978</v>
      </c>
    </row>
    <row r="15457" spans="5:5" x14ac:dyDescent="0.25">
      <c r="E15457" t="s">
        <v>14979</v>
      </c>
    </row>
    <row r="15458" spans="5:5" x14ac:dyDescent="0.25">
      <c r="E15458" t="s">
        <v>14980</v>
      </c>
    </row>
    <row r="15459" spans="5:5" x14ac:dyDescent="0.25">
      <c r="E15459" t="s">
        <v>14981</v>
      </c>
    </row>
    <row r="15460" spans="5:5" x14ac:dyDescent="0.25">
      <c r="E15460" t="s">
        <v>14982</v>
      </c>
    </row>
    <row r="15461" spans="5:5" x14ac:dyDescent="0.25">
      <c r="E15461" t="s">
        <v>14983</v>
      </c>
    </row>
    <row r="15462" spans="5:5" x14ac:dyDescent="0.25">
      <c r="E15462" t="s">
        <v>14984</v>
      </c>
    </row>
    <row r="15463" spans="5:5" x14ac:dyDescent="0.25">
      <c r="E15463" t="s">
        <v>14985</v>
      </c>
    </row>
    <row r="15464" spans="5:5" x14ac:dyDescent="0.25">
      <c r="E15464" t="s">
        <v>14986</v>
      </c>
    </row>
    <row r="15465" spans="5:5" x14ac:dyDescent="0.25">
      <c r="E15465" t="s">
        <v>14987</v>
      </c>
    </row>
    <row r="15466" spans="5:5" x14ac:dyDescent="0.25">
      <c r="E15466" t="s">
        <v>14988</v>
      </c>
    </row>
    <row r="15467" spans="5:5" x14ac:dyDescent="0.25">
      <c r="E15467" t="s">
        <v>14989</v>
      </c>
    </row>
    <row r="15468" spans="5:5" x14ac:dyDescent="0.25">
      <c r="E15468" t="s">
        <v>14990</v>
      </c>
    </row>
    <row r="15469" spans="5:5" x14ac:dyDescent="0.25">
      <c r="E15469" t="s">
        <v>14991</v>
      </c>
    </row>
    <row r="15470" spans="5:5" x14ac:dyDescent="0.25">
      <c r="E15470" t="s">
        <v>14992</v>
      </c>
    </row>
    <row r="15471" spans="5:5" x14ac:dyDescent="0.25">
      <c r="E15471" t="s">
        <v>14993</v>
      </c>
    </row>
    <row r="15472" spans="5:5" x14ac:dyDescent="0.25">
      <c r="E15472" t="s">
        <v>14994</v>
      </c>
    </row>
    <row r="15473" spans="5:5" x14ac:dyDescent="0.25">
      <c r="E15473" t="s">
        <v>14995</v>
      </c>
    </row>
    <row r="15474" spans="5:5" x14ac:dyDescent="0.25">
      <c r="E15474" t="s">
        <v>14996</v>
      </c>
    </row>
    <row r="15475" spans="5:5" x14ac:dyDescent="0.25">
      <c r="E15475" t="s">
        <v>14997</v>
      </c>
    </row>
    <row r="15476" spans="5:5" x14ac:dyDescent="0.25">
      <c r="E15476" t="s">
        <v>14998</v>
      </c>
    </row>
    <row r="15477" spans="5:5" x14ac:dyDescent="0.25">
      <c r="E15477" t="s">
        <v>14999</v>
      </c>
    </row>
    <row r="15478" spans="5:5" x14ac:dyDescent="0.25">
      <c r="E15478" t="s">
        <v>15000</v>
      </c>
    </row>
    <row r="15479" spans="5:5" x14ac:dyDescent="0.25">
      <c r="E15479" t="s">
        <v>15001</v>
      </c>
    </row>
    <row r="15480" spans="5:5" x14ac:dyDescent="0.25">
      <c r="E15480" t="s">
        <v>15002</v>
      </c>
    </row>
    <row r="15481" spans="5:5" x14ac:dyDescent="0.25">
      <c r="E15481" t="s">
        <v>15003</v>
      </c>
    </row>
    <row r="15482" spans="5:5" x14ac:dyDescent="0.25">
      <c r="E15482" t="s">
        <v>15004</v>
      </c>
    </row>
    <row r="15483" spans="5:5" x14ac:dyDescent="0.25">
      <c r="E15483" t="s">
        <v>15005</v>
      </c>
    </row>
    <row r="15484" spans="5:5" x14ac:dyDescent="0.25">
      <c r="E15484" t="s">
        <v>15006</v>
      </c>
    </row>
    <row r="15485" spans="5:5" x14ac:dyDescent="0.25">
      <c r="E15485" t="s">
        <v>15007</v>
      </c>
    </row>
    <row r="15486" spans="5:5" x14ac:dyDescent="0.25">
      <c r="E15486" t="s">
        <v>15008</v>
      </c>
    </row>
    <row r="15487" spans="5:5" x14ac:dyDescent="0.25">
      <c r="E15487" t="s">
        <v>15009</v>
      </c>
    </row>
    <row r="15488" spans="5:5" x14ac:dyDescent="0.25">
      <c r="E15488" t="s">
        <v>15010</v>
      </c>
    </row>
    <row r="15489" spans="5:5" x14ac:dyDescent="0.25">
      <c r="E15489" t="s">
        <v>15011</v>
      </c>
    </row>
    <row r="15490" spans="5:5" x14ac:dyDescent="0.25">
      <c r="E15490" t="s">
        <v>15012</v>
      </c>
    </row>
    <row r="15491" spans="5:5" x14ac:dyDescent="0.25">
      <c r="E15491" t="s">
        <v>15013</v>
      </c>
    </row>
    <row r="15492" spans="5:5" x14ac:dyDescent="0.25">
      <c r="E15492" t="s">
        <v>15014</v>
      </c>
    </row>
    <row r="15493" spans="5:5" x14ac:dyDescent="0.25">
      <c r="E15493" t="s">
        <v>15015</v>
      </c>
    </row>
    <row r="15494" spans="5:5" x14ac:dyDescent="0.25">
      <c r="E15494" t="s">
        <v>15016</v>
      </c>
    </row>
    <row r="15495" spans="5:5" x14ac:dyDescent="0.25">
      <c r="E15495" t="s">
        <v>15017</v>
      </c>
    </row>
    <row r="15496" spans="5:5" x14ac:dyDescent="0.25">
      <c r="E15496" t="s">
        <v>15018</v>
      </c>
    </row>
    <row r="15497" spans="5:5" x14ac:dyDescent="0.25">
      <c r="E15497" t="s">
        <v>15019</v>
      </c>
    </row>
    <row r="15498" spans="5:5" x14ac:dyDescent="0.25">
      <c r="E15498" t="s">
        <v>15020</v>
      </c>
    </row>
    <row r="15499" spans="5:5" x14ac:dyDescent="0.25">
      <c r="E15499" t="s">
        <v>15021</v>
      </c>
    </row>
    <row r="15500" spans="5:5" x14ac:dyDescent="0.25">
      <c r="E15500" t="s">
        <v>15022</v>
      </c>
    </row>
    <row r="15501" spans="5:5" x14ac:dyDescent="0.25">
      <c r="E15501" t="s">
        <v>15023</v>
      </c>
    </row>
    <row r="15502" spans="5:5" x14ac:dyDescent="0.25">
      <c r="E15502" t="s">
        <v>15024</v>
      </c>
    </row>
    <row r="15503" spans="5:5" x14ac:dyDescent="0.25">
      <c r="E15503" t="s">
        <v>15025</v>
      </c>
    </row>
    <row r="15504" spans="5:5" x14ac:dyDescent="0.25">
      <c r="E15504" t="s">
        <v>15026</v>
      </c>
    </row>
    <row r="15505" spans="5:5" x14ac:dyDescent="0.25">
      <c r="E15505" t="s">
        <v>15027</v>
      </c>
    </row>
    <row r="15506" spans="5:5" x14ac:dyDescent="0.25">
      <c r="E15506" t="s">
        <v>15028</v>
      </c>
    </row>
    <row r="15507" spans="5:5" x14ac:dyDescent="0.25">
      <c r="E15507" t="s">
        <v>15029</v>
      </c>
    </row>
    <row r="15508" spans="5:5" x14ac:dyDescent="0.25">
      <c r="E15508" t="s">
        <v>15030</v>
      </c>
    </row>
    <row r="15509" spans="5:5" x14ac:dyDescent="0.25">
      <c r="E15509" t="s">
        <v>15031</v>
      </c>
    </row>
    <row r="15510" spans="5:5" x14ac:dyDescent="0.25">
      <c r="E15510" t="s">
        <v>15032</v>
      </c>
    </row>
    <row r="15511" spans="5:5" x14ac:dyDescent="0.25">
      <c r="E15511" t="s">
        <v>15033</v>
      </c>
    </row>
    <row r="15512" spans="5:5" x14ac:dyDescent="0.25">
      <c r="E15512" t="s">
        <v>15034</v>
      </c>
    </row>
    <row r="15513" spans="5:5" x14ac:dyDescent="0.25">
      <c r="E15513" t="s">
        <v>15035</v>
      </c>
    </row>
    <row r="15514" spans="5:5" x14ac:dyDescent="0.25">
      <c r="E15514" t="s">
        <v>15036</v>
      </c>
    </row>
    <row r="15515" spans="5:5" x14ac:dyDescent="0.25">
      <c r="E15515" t="s">
        <v>15037</v>
      </c>
    </row>
    <row r="15516" spans="5:5" x14ac:dyDescent="0.25">
      <c r="E15516" t="s">
        <v>15038</v>
      </c>
    </row>
    <row r="15517" spans="5:5" x14ac:dyDescent="0.25">
      <c r="E15517" t="s">
        <v>15039</v>
      </c>
    </row>
    <row r="15518" spans="5:5" x14ac:dyDescent="0.25">
      <c r="E15518" t="s">
        <v>15040</v>
      </c>
    </row>
    <row r="15519" spans="5:5" x14ac:dyDescent="0.25">
      <c r="E15519" t="s">
        <v>15041</v>
      </c>
    </row>
    <row r="15520" spans="5:5" x14ac:dyDescent="0.25">
      <c r="E15520" t="s">
        <v>15042</v>
      </c>
    </row>
    <row r="15521" spans="5:5" x14ac:dyDescent="0.25">
      <c r="E15521" t="s">
        <v>15043</v>
      </c>
    </row>
    <row r="15522" spans="5:5" x14ac:dyDescent="0.25">
      <c r="E15522" t="s">
        <v>15044</v>
      </c>
    </row>
    <row r="15523" spans="5:5" x14ac:dyDescent="0.25">
      <c r="E15523" t="s">
        <v>15045</v>
      </c>
    </row>
    <row r="15524" spans="5:5" x14ac:dyDescent="0.25">
      <c r="E15524" t="s">
        <v>15046</v>
      </c>
    </row>
    <row r="15525" spans="5:5" x14ac:dyDescent="0.25">
      <c r="E15525" t="s">
        <v>15047</v>
      </c>
    </row>
    <row r="15526" spans="5:5" x14ac:dyDescent="0.25">
      <c r="E15526" t="s">
        <v>15048</v>
      </c>
    </row>
    <row r="15527" spans="5:5" x14ac:dyDescent="0.25">
      <c r="E15527" t="s">
        <v>15049</v>
      </c>
    </row>
    <row r="15528" spans="5:5" x14ac:dyDescent="0.25">
      <c r="E15528" t="s">
        <v>15050</v>
      </c>
    </row>
    <row r="15529" spans="5:5" x14ac:dyDescent="0.25">
      <c r="E15529" t="s">
        <v>15051</v>
      </c>
    </row>
    <row r="15530" spans="5:5" x14ac:dyDescent="0.25">
      <c r="E15530" t="s">
        <v>15052</v>
      </c>
    </row>
    <row r="15531" spans="5:5" x14ac:dyDescent="0.25">
      <c r="E15531" t="s">
        <v>15053</v>
      </c>
    </row>
    <row r="15533" spans="5:5" x14ac:dyDescent="0.25">
      <c r="E15533" t="s">
        <v>15054</v>
      </c>
    </row>
    <row r="15534" spans="5:5" x14ac:dyDescent="0.25">
      <c r="E15534" t="s">
        <v>15055</v>
      </c>
    </row>
    <row r="15535" spans="5:5" x14ac:dyDescent="0.25">
      <c r="E15535" t="s">
        <v>15056</v>
      </c>
    </row>
    <row r="15536" spans="5:5" x14ac:dyDescent="0.25">
      <c r="E15536" t="s">
        <v>15057</v>
      </c>
    </row>
    <row r="15537" spans="5:5" x14ac:dyDescent="0.25">
      <c r="E15537" t="s">
        <v>15058</v>
      </c>
    </row>
    <row r="15538" spans="5:5" x14ac:dyDescent="0.25">
      <c r="E15538" t="s">
        <v>15059</v>
      </c>
    </row>
    <row r="15539" spans="5:5" x14ac:dyDescent="0.25">
      <c r="E15539" t="s">
        <v>15060</v>
      </c>
    </row>
    <row r="15540" spans="5:5" x14ac:dyDescent="0.25">
      <c r="E15540" t="s">
        <v>15061</v>
      </c>
    </row>
    <row r="15542" spans="5:5" x14ac:dyDescent="0.25">
      <c r="E15542" t="s">
        <v>15062</v>
      </c>
    </row>
    <row r="15544" spans="5:5" x14ac:dyDescent="0.25">
      <c r="E15544" t="s">
        <v>15063</v>
      </c>
    </row>
    <row r="15545" spans="5:5" x14ac:dyDescent="0.25">
      <c r="E15545" t="s">
        <v>15064</v>
      </c>
    </row>
    <row r="15546" spans="5:5" x14ac:dyDescent="0.25">
      <c r="E15546" t="s">
        <v>15065</v>
      </c>
    </row>
    <row r="15547" spans="5:5" x14ac:dyDescent="0.25">
      <c r="E15547" t="s">
        <v>15066</v>
      </c>
    </row>
    <row r="15549" spans="5:5" x14ac:dyDescent="0.25">
      <c r="E15549" t="s">
        <v>15067</v>
      </c>
    </row>
    <row r="15550" spans="5:5" x14ac:dyDescent="0.25">
      <c r="E15550" t="s">
        <v>15068</v>
      </c>
    </row>
    <row r="15551" spans="5:5" x14ac:dyDescent="0.25">
      <c r="E15551" t="s">
        <v>15069</v>
      </c>
    </row>
    <row r="15552" spans="5:5" x14ac:dyDescent="0.25">
      <c r="E15552" t="s">
        <v>15070</v>
      </c>
    </row>
    <row r="15553" spans="5:5" x14ac:dyDescent="0.25">
      <c r="E15553" t="s">
        <v>15071</v>
      </c>
    </row>
    <row r="15554" spans="5:5" x14ac:dyDescent="0.25">
      <c r="E15554" t="s">
        <v>15072</v>
      </c>
    </row>
    <row r="15555" spans="5:5" x14ac:dyDescent="0.25">
      <c r="E15555" t="s">
        <v>15073</v>
      </c>
    </row>
    <row r="15556" spans="5:5" x14ac:dyDescent="0.25">
      <c r="E15556" t="s">
        <v>15074</v>
      </c>
    </row>
    <row r="15557" spans="5:5" x14ac:dyDescent="0.25">
      <c r="E15557" t="s">
        <v>15075</v>
      </c>
    </row>
    <row r="15558" spans="5:5" x14ac:dyDescent="0.25">
      <c r="E15558" t="s">
        <v>15076</v>
      </c>
    </row>
    <row r="15559" spans="5:5" x14ac:dyDescent="0.25">
      <c r="E15559" t="s">
        <v>15077</v>
      </c>
    </row>
    <row r="15560" spans="5:5" x14ac:dyDescent="0.25">
      <c r="E15560" t="s">
        <v>15078</v>
      </c>
    </row>
    <row r="15561" spans="5:5" x14ac:dyDescent="0.25">
      <c r="E15561" t="s">
        <v>15079</v>
      </c>
    </row>
    <row r="15562" spans="5:5" x14ac:dyDescent="0.25">
      <c r="E15562" t="s">
        <v>15080</v>
      </c>
    </row>
    <row r="15563" spans="5:5" x14ac:dyDescent="0.25">
      <c r="E15563" t="s">
        <v>15081</v>
      </c>
    </row>
    <row r="15564" spans="5:5" x14ac:dyDescent="0.25">
      <c r="E15564" t="s">
        <v>15082</v>
      </c>
    </row>
    <row r="15565" spans="5:5" x14ac:dyDescent="0.25">
      <c r="E15565" t="s">
        <v>15083</v>
      </c>
    </row>
    <row r="15566" spans="5:5" x14ac:dyDescent="0.25">
      <c r="E15566" t="s">
        <v>15084</v>
      </c>
    </row>
    <row r="15567" spans="5:5" x14ac:dyDescent="0.25">
      <c r="E15567" t="s">
        <v>15085</v>
      </c>
    </row>
    <row r="15568" spans="5:5" x14ac:dyDescent="0.25">
      <c r="E15568" t="s">
        <v>15086</v>
      </c>
    </row>
    <row r="15569" spans="5:5" x14ac:dyDescent="0.25">
      <c r="E15569" t="s">
        <v>15087</v>
      </c>
    </row>
    <row r="15570" spans="5:5" x14ac:dyDescent="0.25">
      <c r="E15570" t="s">
        <v>15088</v>
      </c>
    </row>
    <row r="15571" spans="5:5" x14ac:dyDescent="0.25">
      <c r="E15571" t="s">
        <v>15089</v>
      </c>
    </row>
    <row r="15572" spans="5:5" x14ac:dyDescent="0.25">
      <c r="E15572" t="s">
        <v>15090</v>
      </c>
    </row>
    <row r="15573" spans="5:5" x14ac:dyDescent="0.25">
      <c r="E15573" t="s">
        <v>15091</v>
      </c>
    </row>
    <row r="15574" spans="5:5" x14ac:dyDescent="0.25">
      <c r="E15574" t="s">
        <v>15092</v>
      </c>
    </row>
    <row r="15575" spans="5:5" x14ac:dyDescent="0.25">
      <c r="E15575" t="s">
        <v>15093</v>
      </c>
    </row>
    <row r="15576" spans="5:5" x14ac:dyDescent="0.25">
      <c r="E15576" t="s">
        <v>15094</v>
      </c>
    </row>
    <row r="15577" spans="5:5" x14ac:dyDescent="0.25">
      <c r="E15577" t="s">
        <v>15095</v>
      </c>
    </row>
    <row r="15578" spans="5:5" x14ac:dyDescent="0.25">
      <c r="E15578" t="s">
        <v>15096</v>
      </c>
    </row>
    <row r="15579" spans="5:5" x14ac:dyDescent="0.25">
      <c r="E15579" t="s">
        <v>15097</v>
      </c>
    </row>
    <row r="15580" spans="5:5" x14ac:dyDescent="0.25">
      <c r="E15580" t="s">
        <v>15098</v>
      </c>
    </row>
    <row r="15581" spans="5:5" x14ac:dyDescent="0.25">
      <c r="E15581" t="s">
        <v>15099</v>
      </c>
    </row>
    <row r="15582" spans="5:5" x14ac:dyDescent="0.25">
      <c r="E15582" t="s">
        <v>15100</v>
      </c>
    </row>
    <row r="15583" spans="5:5" x14ac:dyDescent="0.25">
      <c r="E15583" t="s">
        <v>15101</v>
      </c>
    </row>
    <row r="15584" spans="5:5" x14ac:dyDescent="0.25">
      <c r="E15584" t="s">
        <v>15102</v>
      </c>
    </row>
    <row r="15585" spans="5:5" x14ac:dyDescent="0.25">
      <c r="E15585" t="s">
        <v>15103</v>
      </c>
    </row>
    <row r="15586" spans="5:5" x14ac:dyDescent="0.25">
      <c r="E15586" t="s">
        <v>15104</v>
      </c>
    </row>
    <row r="15587" spans="5:5" x14ac:dyDescent="0.25">
      <c r="E15587" t="s">
        <v>15105</v>
      </c>
    </row>
    <row r="15588" spans="5:5" x14ac:dyDescent="0.25">
      <c r="E15588" t="s">
        <v>15106</v>
      </c>
    </row>
    <row r="15589" spans="5:5" x14ac:dyDescent="0.25">
      <c r="E15589" t="s">
        <v>15107</v>
      </c>
    </row>
    <row r="15590" spans="5:5" x14ac:dyDescent="0.25">
      <c r="E15590" t="s">
        <v>15108</v>
      </c>
    </row>
    <row r="15591" spans="5:5" x14ac:dyDescent="0.25">
      <c r="E15591" t="s">
        <v>15109</v>
      </c>
    </row>
    <row r="15592" spans="5:5" x14ac:dyDescent="0.25">
      <c r="E15592" t="s">
        <v>15110</v>
      </c>
    </row>
    <row r="15593" spans="5:5" x14ac:dyDescent="0.25">
      <c r="E15593" t="s">
        <v>15111</v>
      </c>
    </row>
    <row r="15594" spans="5:5" x14ac:dyDescent="0.25">
      <c r="E15594" t="s">
        <v>15112</v>
      </c>
    </row>
    <row r="15595" spans="5:5" x14ac:dyDescent="0.25">
      <c r="E15595" t="s">
        <v>15113</v>
      </c>
    </row>
    <row r="15598" spans="5:5" x14ac:dyDescent="0.25">
      <c r="E15598" t="s">
        <v>15114</v>
      </c>
    </row>
    <row r="15599" spans="5:5" x14ac:dyDescent="0.25">
      <c r="E15599" t="s">
        <v>15115</v>
      </c>
    </row>
    <row r="15600" spans="5:5" x14ac:dyDescent="0.25">
      <c r="E15600" t="s">
        <v>15116</v>
      </c>
    </row>
    <row r="15602" spans="5:5" x14ac:dyDescent="0.25">
      <c r="E15602" t="s">
        <v>15117</v>
      </c>
    </row>
    <row r="15603" spans="5:5" x14ac:dyDescent="0.25">
      <c r="E15603" t="s">
        <v>15118</v>
      </c>
    </row>
    <row r="15604" spans="5:5" x14ac:dyDescent="0.25">
      <c r="E15604" t="s">
        <v>15119</v>
      </c>
    </row>
    <row r="15605" spans="5:5" x14ac:dyDescent="0.25">
      <c r="E15605" t="s">
        <v>15120</v>
      </c>
    </row>
    <row r="15606" spans="5:5" x14ac:dyDescent="0.25">
      <c r="E15606" t="s">
        <v>15121</v>
      </c>
    </row>
    <row r="15607" spans="5:5" x14ac:dyDescent="0.25">
      <c r="E15607" t="s">
        <v>15122</v>
      </c>
    </row>
    <row r="15608" spans="5:5" x14ac:dyDescent="0.25">
      <c r="E15608" t="s">
        <v>15123</v>
      </c>
    </row>
    <row r="15609" spans="5:5" x14ac:dyDescent="0.25">
      <c r="E15609" t="s">
        <v>15124</v>
      </c>
    </row>
    <row r="15610" spans="5:5" x14ac:dyDescent="0.25">
      <c r="E15610" t="s">
        <v>15125</v>
      </c>
    </row>
    <row r="15611" spans="5:5" x14ac:dyDescent="0.25">
      <c r="E15611" t="s">
        <v>15126</v>
      </c>
    </row>
    <row r="15612" spans="5:5" x14ac:dyDescent="0.25">
      <c r="E15612" t="s">
        <v>15127</v>
      </c>
    </row>
    <row r="15613" spans="5:5" x14ac:dyDescent="0.25">
      <c r="E15613" t="s">
        <v>15128</v>
      </c>
    </row>
    <row r="15614" spans="5:5" x14ac:dyDescent="0.25">
      <c r="E15614" t="s">
        <v>15129</v>
      </c>
    </row>
    <row r="15615" spans="5:5" x14ac:dyDescent="0.25">
      <c r="E15615" t="s">
        <v>15130</v>
      </c>
    </row>
    <row r="15616" spans="5:5" x14ac:dyDescent="0.25">
      <c r="E15616" t="s">
        <v>15131</v>
      </c>
    </row>
    <row r="15617" spans="5:5" x14ac:dyDescent="0.25">
      <c r="E15617" t="s">
        <v>15132</v>
      </c>
    </row>
    <row r="15618" spans="5:5" x14ac:dyDescent="0.25">
      <c r="E15618" t="s">
        <v>15133</v>
      </c>
    </row>
    <row r="15619" spans="5:5" x14ac:dyDescent="0.25">
      <c r="E15619" t="s">
        <v>15134</v>
      </c>
    </row>
    <row r="15620" spans="5:5" x14ac:dyDescent="0.25">
      <c r="E15620" t="s">
        <v>15135</v>
      </c>
    </row>
    <row r="15621" spans="5:5" x14ac:dyDescent="0.25">
      <c r="E15621" t="s">
        <v>15136</v>
      </c>
    </row>
    <row r="15622" spans="5:5" x14ac:dyDescent="0.25">
      <c r="E15622" t="s">
        <v>15137</v>
      </c>
    </row>
    <row r="15623" spans="5:5" x14ac:dyDescent="0.25">
      <c r="E15623" t="s">
        <v>15138</v>
      </c>
    </row>
    <row r="15624" spans="5:5" x14ac:dyDescent="0.25">
      <c r="E15624" t="s">
        <v>15139</v>
      </c>
    </row>
    <row r="15625" spans="5:5" x14ac:dyDescent="0.25">
      <c r="E15625" t="s">
        <v>15140</v>
      </c>
    </row>
    <row r="15626" spans="5:5" x14ac:dyDescent="0.25">
      <c r="E15626" t="s">
        <v>15141</v>
      </c>
    </row>
    <row r="15627" spans="5:5" x14ac:dyDescent="0.25">
      <c r="E15627" t="s">
        <v>15142</v>
      </c>
    </row>
    <row r="15628" spans="5:5" x14ac:dyDescent="0.25">
      <c r="E15628" t="s">
        <v>15143</v>
      </c>
    </row>
    <row r="15629" spans="5:5" x14ac:dyDescent="0.25">
      <c r="E15629" t="s">
        <v>15144</v>
      </c>
    </row>
    <row r="15630" spans="5:5" x14ac:dyDescent="0.25">
      <c r="E15630" t="s">
        <v>15145</v>
      </c>
    </row>
    <row r="15631" spans="5:5" x14ac:dyDescent="0.25">
      <c r="E15631" t="s">
        <v>15146</v>
      </c>
    </row>
    <row r="15632" spans="5:5" x14ac:dyDescent="0.25">
      <c r="E15632" t="s">
        <v>15147</v>
      </c>
    </row>
    <row r="15633" spans="5:5" x14ac:dyDescent="0.25">
      <c r="E15633" t="s">
        <v>15148</v>
      </c>
    </row>
    <row r="15634" spans="5:5" x14ac:dyDescent="0.25">
      <c r="E15634" t="s">
        <v>15149</v>
      </c>
    </row>
    <row r="15635" spans="5:5" x14ac:dyDescent="0.25">
      <c r="E15635" t="s">
        <v>15150</v>
      </c>
    </row>
    <row r="15636" spans="5:5" x14ac:dyDescent="0.25">
      <c r="E15636" t="s">
        <v>15151</v>
      </c>
    </row>
    <row r="15637" spans="5:5" x14ac:dyDescent="0.25">
      <c r="E15637" t="s">
        <v>15152</v>
      </c>
    </row>
    <row r="15638" spans="5:5" x14ac:dyDescent="0.25">
      <c r="E15638" t="s">
        <v>15153</v>
      </c>
    </row>
    <row r="15639" spans="5:5" x14ac:dyDescent="0.25">
      <c r="E15639" t="s">
        <v>15154</v>
      </c>
    </row>
    <row r="15641" spans="5:5" x14ac:dyDescent="0.25">
      <c r="E15641" t="s">
        <v>15155</v>
      </c>
    </row>
    <row r="15642" spans="5:5" x14ac:dyDescent="0.25">
      <c r="E15642" t="s">
        <v>15156</v>
      </c>
    </row>
    <row r="15643" spans="5:5" x14ac:dyDescent="0.25">
      <c r="E15643" t="s">
        <v>15157</v>
      </c>
    </row>
    <row r="15644" spans="5:5" x14ac:dyDescent="0.25">
      <c r="E15644" t="s">
        <v>15158</v>
      </c>
    </row>
    <row r="15645" spans="5:5" x14ac:dyDescent="0.25">
      <c r="E15645" t="s">
        <v>15159</v>
      </c>
    </row>
    <row r="15646" spans="5:5" x14ac:dyDescent="0.25">
      <c r="E15646" t="s">
        <v>15160</v>
      </c>
    </row>
    <row r="15647" spans="5:5" x14ac:dyDescent="0.25">
      <c r="E15647" t="s">
        <v>15161</v>
      </c>
    </row>
    <row r="15648" spans="5:5" x14ac:dyDescent="0.25">
      <c r="E15648" t="s">
        <v>15162</v>
      </c>
    </row>
    <row r="15649" spans="5:5" x14ac:dyDescent="0.25">
      <c r="E15649" t="s">
        <v>15163</v>
      </c>
    </row>
    <row r="15650" spans="5:5" x14ac:dyDescent="0.25">
      <c r="E15650" t="s">
        <v>15164</v>
      </c>
    </row>
    <row r="15651" spans="5:5" x14ac:dyDescent="0.25">
      <c r="E15651" t="s">
        <v>15165</v>
      </c>
    </row>
    <row r="15652" spans="5:5" x14ac:dyDescent="0.25">
      <c r="E15652" t="s">
        <v>15166</v>
      </c>
    </row>
    <row r="15653" spans="5:5" x14ac:dyDescent="0.25">
      <c r="E15653" t="s">
        <v>15167</v>
      </c>
    </row>
    <row r="15654" spans="5:5" x14ac:dyDescent="0.25">
      <c r="E15654" t="s">
        <v>15168</v>
      </c>
    </row>
    <row r="15656" spans="5:5" x14ac:dyDescent="0.25">
      <c r="E15656" t="s">
        <v>15169</v>
      </c>
    </row>
    <row r="15657" spans="5:5" x14ac:dyDescent="0.25">
      <c r="E15657" t="s">
        <v>15170</v>
      </c>
    </row>
    <row r="15658" spans="5:5" x14ac:dyDescent="0.25">
      <c r="E15658" t="s">
        <v>15171</v>
      </c>
    </row>
    <row r="15659" spans="5:5" x14ac:dyDescent="0.25">
      <c r="E15659" t="s">
        <v>15172</v>
      </c>
    </row>
    <row r="15660" spans="5:5" x14ac:dyDescent="0.25">
      <c r="E15660" t="s">
        <v>15173</v>
      </c>
    </row>
    <row r="15661" spans="5:5" x14ac:dyDescent="0.25">
      <c r="E15661" t="s">
        <v>15174</v>
      </c>
    </row>
    <row r="15662" spans="5:5" x14ac:dyDescent="0.25">
      <c r="E15662" t="s">
        <v>15175</v>
      </c>
    </row>
    <row r="15663" spans="5:5" x14ac:dyDescent="0.25">
      <c r="E15663" t="s">
        <v>15176</v>
      </c>
    </row>
    <row r="15664" spans="5:5" x14ac:dyDescent="0.25">
      <c r="E15664" t="s">
        <v>15177</v>
      </c>
    </row>
    <row r="15665" spans="5:5" x14ac:dyDescent="0.25">
      <c r="E15665" t="s">
        <v>15178</v>
      </c>
    </row>
    <row r="15666" spans="5:5" x14ac:dyDescent="0.25">
      <c r="E15666" t="s">
        <v>15179</v>
      </c>
    </row>
    <row r="15667" spans="5:5" x14ac:dyDescent="0.25">
      <c r="E15667" t="s">
        <v>15180</v>
      </c>
    </row>
    <row r="15668" spans="5:5" x14ac:dyDescent="0.25">
      <c r="E15668" t="s">
        <v>15181</v>
      </c>
    </row>
    <row r="15669" spans="5:5" x14ac:dyDescent="0.25">
      <c r="E15669" t="s">
        <v>15182</v>
      </c>
    </row>
    <row r="15670" spans="5:5" x14ac:dyDescent="0.25">
      <c r="E15670" t="s">
        <v>15183</v>
      </c>
    </row>
    <row r="15671" spans="5:5" x14ac:dyDescent="0.25">
      <c r="E15671" t="s">
        <v>15184</v>
      </c>
    </row>
    <row r="15672" spans="5:5" x14ac:dyDescent="0.25">
      <c r="E15672" t="s">
        <v>15185</v>
      </c>
    </row>
    <row r="15673" spans="5:5" x14ac:dyDescent="0.25">
      <c r="E15673" t="s">
        <v>15186</v>
      </c>
    </row>
    <row r="15674" spans="5:5" x14ac:dyDescent="0.25">
      <c r="E15674" t="s">
        <v>15187</v>
      </c>
    </row>
    <row r="15675" spans="5:5" x14ac:dyDescent="0.25">
      <c r="E15675" t="s">
        <v>15188</v>
      </c>
    </row>
    <row r="15676" spans="5:5" x14ac:dyDescent="0.25">
      <c r="E15676" t="s">
        <v>15189</v>
      </c>
    </row>
    <row r="15677" spans="5:5" x14ac:dyDescent="0.25">
      <c r="E15677" t="s">
        <v>15190</v>
      </c>
    </row>
    <row r="15678" spans="5:5" x14ac:dyDescent="0.25">
      <c r="E15678" t="s">
        <v>15191</v>
      </c>
    </row>
    <row r="15679" spans="5:5" x14ac:dyDescent="0.25">
      <c r="E15679" t="s">
        <v>15192</v>
      </c>
    </row>
    <row r="15680" spans="5:5" x14ac:dyDescent="0.25">
      <c r="E15680" t="s">
        <v>15193</v>
      </c>
    </row>
    <row r="15681" spans="5:5" x14ac:dyDescent="0.25">
      <c r="E15681" t="s">
        <v>15194</v>
      </c>
    </row>
    <row r="15682" spans="5:5" x14ac:dyDescent="0.25">
      <c r="E15682" t="s">
        <v>15195</v>
      </c>
    </row>
    <row r="15683" spans="5:5" x14ac:dyDescent="0.25">
      <c r="E15683" t="s">
        <v>15196</v>
      </c>
    </row>
    <row r="15684" spans="5:5" x14ac:dyDescent="0.25">
      <c r="E15684" t="s">
        <v>15197</v>
      </c>
    </row>
    <row r="15685" spans="5:5" x14ac:dyDescent="0.25">
      <c r="E15685" t="s">
        <v>15198</v>
      </c>
    </row>
    <row r="15686" spans="5:5" x14ac:dyDescent="0.25">
      <c r="E15686" t="s">
        <v>15199</v>
      </c>
    </row>
    <row r="15687" spans="5:5" x14ac:dyDescent="0.25">
      <c r="E15687" t="s">
        <v>15200</v>
      </c>
    </row>
    <row r="15688" spans="5:5" x14ac:dyDescent="0.25">
      <c r="E15688" t="s">
        <v>15201</v>
      </c>
    </row>
    <row r="15689" spans="5:5" x14ac:dyDescent="0.25">
      <c r="E15689" t="s">
        <v>15202</v>
      </c>
    </row>
    <row r="15690" spans="5:5" x14ac:dyDescent="0.25">
      <c r="E15690" t="s">
        <v>15203</v>
      </c>
    </row>
    <row r="15691" spans="5:5" x14ac:dyDescent="0.25">
      <c r="E15691" t="s">
        <v>15204</v>
      </c>
    </row>
    <row r="15692" spans="5:5" x14ac:dyDescent="0.25">
      <c r="E15692" t="s">
        <v>15205</v>
      </c>
    </row>
    <row r="15693" spans="5:5" x14ac:dyDescent="0.25">
      <c r="E15693" t="s">
        <v>15206</v>
      </c>
    </row>
    <row r="15694" spans="5:5" x14ac:dyDescent="0.25">
      <c r="E15694" t="s">
        <v>15207</v>
      </c>
    </row>
    <row r="15695" spans="5:5" x14ac:dyDescent="0.25">
      <c r="E15695" t="s">
        <v>15208</v>
      </c>
    </row>
    <row r="15696" spans="5:5" x14ac:dyDescent="0.25">
      <c r="E15696" t="s">
        <v>15209</v>
      </c>
    </row>
    <row r="15697" spans="5:5" x14ac:dyDescent="0.25">
      <c r="E15697" t="s">
        <v>15210</v>
      </c>
    </row>
    <row r="15698" spans="5:5" x14ac:dyDescent="0.25">
      <c r="E15698" t="s">
        <v>15211</v>
      </c>
    </row>
    <row r="15699" spans="5:5" x14ac:dyDescent="0.25">
      <c r="E15699" t="s">
        <v>15212</v>
      </c>
    </row>
    <row r="15700" spans="5:5" x14ac:dyDescent="0.25">
      <c r="E15700" t="s">
        <v>15213</v>
      </c>
    </row>
    <row r="15701" spans="5:5" x14ac:dyDescent="0.25">
      <c r="E15701" t="s">
        <v>15214</v>
      </c>
    </row>
    <row r="15702" spans="5:5" x14ac:dyDescent="0.25">
      <c r="E15702" t="s">
        <v>15215</v>
      </c>
    </row>
    <row r="15703" spans="5:5" x14ac:dyDescent="0.25">
      <c r="E15703" t="s">
        <v>15216</v>
      </c>
    </row>
    <row r="15704" spans="5:5" x14ac:dyDescent="0.25">
      <c r="E15704" t="s">
        <v>15217</v>
      </c>
    </row>
    <row r="15705" spans="5:5" x14ac:dyDescent="0.25">
      <c r="E15705" t="s">
        <v>15218</v>
      </c>
    </row>
    <row r="15706" spans="5:5" x14ac:dyDescent="0.25">
      <c r="E15706" t="s">
        <v>15219</v>
      </c>
    </row>
    <row r="15707" spans="5:5" x14ac:dyDescent="0.25">
      <c r="E15707" t="s">
        <v>15220</v>
      </c>
    </row>
    <row r="15708" spans="5:5" x14ac:dyDescent="0.25">
      <c r="E15708" t="s">
        <v>15221</v>
      </c>
    </row>
    <row r="15709" spans="5:5" x14ac:dyDescent="0.25">
      <c r="E15709" t="s">
        <v>15222</v>
      </c>
    </row>
    <row r="15710" spans="5:5" x14ac:dyDescent="0.25">
      <c r="E15710" t="s">
        <v>15223</v>
      </c>
    </row>
    <row r="15711" spans="5:5" x14ac:dyDescent="0.25">
      <c r="E15711" t="s">
        <v>15224</v>
      </c>
    </row>
    <row r="15712" spans="5:5" x14ac:dyDescent="0.25">
      <c r="E15712" t="s">
        <v>15225</v>
      </c>
    </row>
    <row r="15713" spans="5:5" x14ac:dyDescent="0.25">
      <c r="E15713" t="s">
        <v>15226</v>
      </c>
    </row>
    <row r="15714" spans="5:5" x14ac:dyDescent="0.25">
      <c r="E15714" t="s">
        <v>15227</v>
      </c>
    </row>
    <row r="15715" spans="5:5" x14ac:dyDescent="0.25">
      <c r="E15715" t="s">
        <v>15228</v>
      </c>
    </row>
    <row r="15716" spans="5:5" x14ac:dyDescent="0.25">
      <c r="E15716" t="s">
        <v>15229</v>
      </c>
    </row>
    <row r="15717" spans="5:5" x14ac:dyDescent="0.25">
      <c r="E15717" t="s">
        <v>15230</v>
      </c>
    </row>
    <row r="15718" spans="5:5" x14ac:dyDescent="0.25">
      <c r="E15718" t="s">
        <v>15231</v>
      </c>
    </row>
    <row r="15719" spans="5:5" x14ac:dyDescent="0.25">
      <c r="E15719" t="s">
        <v>15232</v>
      </c>
    </row>
    <row r="15720" spans="5:5" x14ac:dyDescent="0.25">
      <c r="E15720" t="s">
        <v>15233</v>
      </c>
    </row>
    <row r="15721" spans="5:5" x14ac:dyDescent="0.25">
      <c r="E15721" t="s">
        <v>15234</v>
      </c>
    </row>
    <row r="15722" spans="5:5" x14ac:dyDescent="0.25">
      <c r="E15722" t="s">
        <v>15235</v>
      </c>
    </row>
    <row r="15723" spans="5:5" x14ac:dyDescent="0.25">
      <c r="E15723" t="s">
        <v>15236</v>
      </c>
    </row>
    <row r="15724" spans="5:5" x14ac:dyDescent="0.25">
      <c r="E15724" t="s">
        <v>15237</v>
      </c>
    </row>
    <row r="15725" spans="5:5" x14ac:dyDescent="0.25">
      <c r="E15725" t="s">
        <v>15238</v>
      </c>
    </row>
    <row r="15726" spans="5:5" x14ac:dyDescent="0.25">
      <c r="E15726" t="s">
        <v>15239</v>
      </c>
    </row>
    <row r="15727" spans="5:5" x14ac:dyDescent="0.25">
      <c r="E15727" t="s">
        <v>15240</v>
      </c>
    </row>
    <row r="15728" spans="5:5" x14ac:dyDescent="0.25">
      <c r="E15728" t="s">
        <v>15241</v>
      </c>
    </row>
    <row r="15729" spans="5:5" x14ac:dyDescent="0.25">
      <c r="E15729" t="s">
        <v>15242</v>
      </c>
    </row>
    <row r="15730" spans="5:5" x14ac:dyDescent="0.25">
      <c r="E15730" t="s">
        <v>15243</v>
      </c>
    </row>
    <row r="15731" spans="5:5" x14ac:dyDescent="0.25">
      <c r="E15731" t="s">
        <v>15244</v>
      </c>
    </row>
    <row r="15732" spans="5:5" x14ac:dyDescent="0.25">
      <c r="E15732" t="s">
        <v>15245</v>
      </c>
    </row>
    <row r="15733" spans="5:5" x14ac:dyDescent="0.25">
      <c r="E15733" t="s">
        <v>15246</v>
      </c>
    </row>
    <row r="15734" spans="5:5" x14ac:dyDescent="0.25">
      <c r="E15734" t="s">
        <v>15247</v>
      </c>
    </row>
    <row r="15735" spans="5:5" x14ac:dyDescent="0.25">
      <c r="E15735" t="s">
        <v>15248</v>
      </c>
    </row>
    <row r="15736" spans="5:5" x14ac:dyDescent="0.25">
      <c r="E15736" t="s">
        <v>15249</v>
      </c>
    </row>
    <row r="15737" spans="5:5" x14ac:dyDescent="0.25">
      <c r="E15737" t="s">
        <v>15250</v>
      </c>
    </row>
    <row r="15738" spans="5:5" x14ac:dyDescent="0.25">
      <c r="E15738" t="s">
        <v>15251</v>
      </c>
    </row>
    <row r="15739" spans="5:5" x14ac:dyDescent="0.25">
      <c r="E15739" t="s">
        <v>15252</v>
      </c>
    </row>
    <row r="15740" spans="5:5" x14ac:dyDescent="0.25">
      <c r="E15740" t="s">
        <v>15253</v>
      </c>
    </row>
    <row r="15741" spans="5:5" x14ac:dyDescent="0.25">
      <c r="E15741" t="s">
        <v>15254</v>
      </c>
    </row>
    <row r="15742" spans="5:5" x14ac:dyDescent="0.25">
      <c r="E15742" t="s">
        <v>15255</v>
      </c>
    </row>
    <row r="15743" spans="5:5" x14ac:dyDescent="0.25">
      <c r="E15743" t="s">
        <v>15256</v>
      </c>
    </row>
    <row r="15744" spans="5:5" x14ac:dyDescent="0.25">
      <c r="E15744" t="s">
        <v>15257</v>
      </c>
    </row>
    <row r="15745" spans="5:5" x14ac:dyDescent="0.25">
      <c r="E15745" t="s">
        <v>15258</v>
      </c>
    </row>
    <row r="15746" spans="5:5" x14ac:dyDescent="0.25">
      <c r="E15746" t="s">
        <v>15259</v>
      </c>
    </row>
    <row r="15747" spans="5:5" x14ac:dyDescent="0.25">
      <c r="E15747" t="s">
        <v>15260</v>
      </c>
    </row>
    <row r="15748" spans="5:5" x14ac:dyDescent="0.25">
      <c r="E15748" t="s">
        <v>15261</v>
      </c>
    </row>
    <row r="15749" spans="5:5" x14ac:dyDescent="0.25">
      <c r="E15749" t="s">
        <v>15262</v>
      </c>
    </row>
    <row r="15750" spans="5:5" x14ac:dyDescent="0.25">
      <c r="E15750" t="s">
        <v>15263</v>
      </c>
    </row>
    <row r="15751" spans="5:5" x14ac:dyDescent="0.25">
      <c r="E15751" t="s">
        <v>15264</v>
      </c>
    </row>
    <row r="15752" spans="5:5" x14ac:dyDescent="0.25">
      <c r="E15752" t="s">
        <v>15265</v>
      </c>
    </row>
    <row r="15753" spans="5:5" x14ac:dyDescent="0.25">
      <c r="E15753" t="s">
        <v>15266</v>
      </c>
    </row>
    <row r="15754" spans="5:5" x14ac:dyDescent="0.25">
      <c r="E15754" t="s">
        <v>15267</v>
      </c>
    </row>
    <row r="15755" spans="5:5" x14ac:dyDescent="0.25">
      <c r="E15755" t="s">
        <v>15268</v>
      </c>
    </row>
    <row r="15756" spans="5:5" x14ac:dyDescent="0.25">
      <c r="E15756" t="s">
        <v>15269</v>
      </c>
    </row>
    <row r="15757" spans="5:5" x14ac:dyDescent="0.25">
      <c r="E15757" t="s">
        <v>15270</v>
      </c>
    </row>
    <row r="15758" spans="5:5" x14ac:dyDescent="0.25">
      <c r="E15758" t="s">
        <v>15271</v>
      </c>
    </row>
    <row r="15759" spans="5:5" x14ac:dyDescent="0.25">
      <c r="E15759" t="s">
        <v>15272</v>
      </c>
    </row>
    <row r="15760" spans="5:5" x14ac:dyDescent="0.25">
      <c r="E15760" t="s">
        <v>15273</v>
      </c>
    </row>
    <row r="15761" spans="5:5" x14ac:dyDescent="0.25">
      <c r="E15761" t="s">
        <v>15274</v>
      </c>
    </row>
    <row r="15762" spans="5:5" x14ac:dyDescent="0.25">
      <c r="E15762" t="s">
        <v>15275</v>
      </c>
    </row>
    <row r="15763" spans="5:5" x14ac:dyDescent="0.25">
      <c r="E15763" t="s">
        <v>15276</v>
      </c>
    </row>
    <row r="15764" spans="5:5" x14ac:dyDescent="0.25">
      <c r="E15764" t="s">
        <v>15277</v>
      </c>
    </row>
    <row r="15765" spans="5:5" x14ac:dyDescent="0.25">
      <c r="E15765" t="s">
        <v>15278</v>
      </c>
    </row>
    <row r="15766" spans="5:5" x14ac:dyDescent="0.25">
      <c r="E15766" t="s">
        <v>15279</v>
      </c>
    </row>
    <row r="15767" spans="5:5" x14ac:dyDescent="0.25">
      <c r="E15767" t="s">
        <v>15280</v>
      </c>
    </row>
    <row r="15768" spans="5:5" x14ac:dyDescent="0.25">
      <c r="E15768" t="s">
        <v>15281</v>
      </c>
    </row>
    <row r="15769" spans="5:5" x14ac:dyDescent="0.25">
      <c r="E15769" t="s">
        <v>15282</v>
      </c>
    </row>
    <row r="15770" spans="5:5" x14ac:dyDescent="0.25">
      <c r="E15770" t="s">
        <v>15283</v>
      </c>
    </row>
    <row r="15771" spans="5:5" x14ac:dyDescent="0.25">
      <c r="E15771" t="s">
        <v>15284</v>
      </c>
    </row>
    <row r="15772" spans="5:5" x14ac:dyDescent="0.25">
      <c r="E15772" t="s">
        <v>15285</v>
      </c>
    </row>
    <row r="15773" spans="5:5" x14ac:dyDescent="0.25">
      <c r="E15773" t="s">
        <v>15286</v>
      </c>
    </row>
    <row r="15774" spans="5:5" x14ac:dyDescent="0.25">
      <c r="E15774" t="s">
        <v>15287</v>
      </c>
    </row>
    <row r="15775" spans="5:5" x14ac:dyDescent="0.25">
      <c r="E15775" t="s">
        <v>15288</v>
      </c>
    </row>
    <row r="15776" spans="5:5" x14ac:dyDescent="0.25">
      <c r="E15776" t="s">
        <v>15289</v>
      </c>
    </row>
    <row r="15777" spans="5:5" x14ac:dyDescent="0.25">
      <c r="E15777" t="s">
        <v>15290</v>
      </c>
    </row>
    <row r="15778" spans="5:5" x14ac:dyDescent="0.25">
      <c r="E15778" t="s">
        <v>15291</v>
      </c>
    </row>
    <row r="15779" spans="5:5" x14ac:dyDescent="0.25">
      <c r="E15779" t="s">
        <v>15292</v>
      </c>
    </row>
    <row r="15780" spans="5:5" x14ac:dyDescent="0.25">
      <c r="E15780" t="s">
        <v>15293</v>
      </c>
    </row>
    <row r="15781" spans="5:5" x14ac:dyDescent="0.25">
      <c r="E15781" t="s">
        <v>15294</v>
      </c>
    </row>
    <row r="15782" spans="5:5" x14ac:dyDescent="0.25">
      <c r="E15782" t="s">
        <v>15295</v>
      </c>
    </row>
    <row r="15783" spans="5:5" x14ac:dyDescent="0.25">
      <c r="E15783" t="s">
        <v>15296</v>
      </c>
    </row>
    <row r="15784" spans="5:5" x14ac:dyDescent="0.25">
      <c r="E15784" t="s">
        <v>15297</v>
      </c>
    </row>
    <row r="15785" spans="5:5" x14ac:dyDescent="0.25">
      <c r="E15785" t="s">
        <v>15298</v>
      </c>
    </row>
    <row r="15786" spans="5:5" x14ac:dyDescent="0.25">
      <c r="E15786" t="s">
        <v>15299</v>
      </c>
    </row>
    <row r="15787" spans="5:5" x14ac:dyDescent="0.25">
      <c r="E15787" t="s">
        <v>15300</v>
      </c>
    </row>
    <row r="15788" spans="5:5" x14ac:dyDescent="0.25">
      <c r="E15788" t="s">
        <v>15301</v>
      </c>
    </row>
    <row r="15789" spans="5:5" x14ac:dyDescent="0.25">
      <c r="E15789" t="s">
        <v>15302</v>
      </c>
    </row>
    <row r="15790" spans="5:5" x14ac:dyDescent="0.25">
      <c r="E15790" t="s">
        <v>15303</v>
      </c>
    </row>
    <row r="15791" spans="5:5" x14ac:dyDescent="0.25">
      <c r="E15791" t="s">
        <v>15304</v>
      </c>
    </row>
    <row r="15792" spans="5:5" x14ac:dyDescent="0.25">
      <c r="E15792" t="s">
        <v>15305</v>
      </c>
    </row>
    <row r="15793" spans="5:5" x14ac:dyDescent="0.25">
      <c r="E15793" t="s">
        <v>15306</v>
      </c>
    </row>
    <row r="15794" spans="5:5" x14ac:dyDescent="0.25">
      <c r="E15794" t="s">
        <v>15307</v>
      </c>
    </row>
    <row r="15795" spans="5:5" x14ac:dyDescent="0.25">
      <c r="E15795" t="s">
        <v>15308</v>
      </c>
    </row>
    <row r="15796" spans="5:5" x14ac:dyDescent="0.25">
      <c r="E15796" t="s">
        <v>15309</v>
      </c>
    </row>
    <row r="15797" spans="5:5" x14ac:dyDescent="0.25">
      <c r="E15797" t="s">
        <v>15310</v>
      </c>
    </row>
    <row r="15798" spans="5:5" x14ac:dyDescent="0.25">
      <c r="E15798" t="s">
        <v>15311</v>
      </c>
    </row>
    <row r="15799" spans="5:5" x14ac:dyDescent="0.25">
      <c r="E15799" t="s">
        <v>15312</v>
      </c>
    </row>
    <row r="15800" spans="5:5" x14ac:dyDescent="0.25">
      <c r="E15800" t="s">
        <v>15313</v>
      </c>
    </row>
    <row r="15801" spans="5:5" x14ac:dyDescent="0.25">
      <c r="E15801" t="s">
        <v>15314</v>
      </c>
    </row>
    <row r="15802" spans="5:5" x14ac:dyDescent="0.25">
      <c r="E15802" t="s">
        <v>15315</v>
      </c>
    </row>
    <row r="15803" spans="5:5" x14ac:dyDescent="0.25">
      <c r="E15803" t="s">
        <v>15316</v>
      </c>
    </row>
    <row r="15804" spans="5:5" x14ac:dyDescent="0.25">
      <c r="E15804" t="s">
        <v>15317</v>
      </c>
    </row>
    <row r="15805" spans="5:5" x14ac:dyDescent="0.25">
      <c r="E15805" t="s">
        <v>15318</v>
      </c>
    </row>
    <row r="15806" spans="5:5" x14ac:dyDescent="0.25">
      <c r="E15806" t="s">
        <v>15319</v>
      </c>
    </row>
    <row r="15807" spans="5:5" x14ac:dyDescent="0.25">
      <c r="E15807" t="s">
        <v>15320</v>
      </c>
    </row>
    <row r="15808" spans="5:5" x14ac:dyDescent="0.25">
      <c r="E15808" t="s">
        <v>15321</v>
      </c>
    </row>
    <row r="15809" spans="5:5" x14ac:dyDescent="0.25">
      <c r="E15809" t="s">
        <v>15322</v>
      </c>
    </row>
    <row r="15810" spans="5:5" x14ac:dyDescent="0.25">
      <c r="E15810" t="s">
        <v>15323</v>
      </c>
    </row>
    <row r="15811" spans="5:5" x14ac:dyDescent="0.25">
      <c r="E15811" t="s">
        <v>15324</v>
      </c>
    </row>
    <row r="15812" spans="5:5" x14ac:dyDescent="0.25">
      <c r="E15812" t="s">
        <v>15325</v>
      </c>
    </row>
    <row r="15813" spans="5:5" x14ac:dyDescent="0.25">
      <c r="E15813" t="s">
        <v>15326</v>
      </c>
    </row>
    <row r="15814" spans="5:5" x14ac:dyDescent="0.25">
      <c r="E15814" t="s">
        <v>15327</v>
      </c>
    </row>
    <row r="15815" spans="5:5" x14ac:dyDescent="0.25">
      <c r="E15815" t="s">
        <v>15328</v>
      </c>
    </row>
    <row r="15816" spans="5:5" x14ac:dyDescent="0.25">
      <c r="E15816" t="s">
        <v>15329</v>
      </c>
    </row>
    <row r="15817" spans="5:5" x14ac:dyDescent="0.25">
      <c r="E15817" t="s">
        <v>15330</v>
      </c>
    </row>
    <row r="15818" spans="5:5" x14ac:dyDescent="0.25">
      <c r="E15818" t="s">
        <v>15331</v>
      </c>
    </row>
    <row r="15819" spans="5:5" x14ac:dyDescent="0.25">
      <c r="E15819" t="s">
        <v>15332</v>
      </c>
    </row>
    <row r="15820" spans="5:5" x14ac:dyDescent="0.25">
      <c r="E15820" t="s">
        <v>15333</v>
      </c>
    </row>
    <row r="15821" spans="5:5" x14ac:dyDescent="0.25">
      <c r="E15821" t="s">
        <v>15334</v>
      </c>
    </row>
    <row r="15822" spans="5:5" x14ac:dyDescent="0.25">
      <c r="E15822" t="s">
        <v>15335</v>
      </c>
    </row>
    <row r="15823" spans="5:5" x14ac:dyDescent="0.25">
      <c r="E15823" t="s">
        <v>15336</v>
      </c>
    </row>
    <row r="15824" spans="5:5" x14ac:dyDescent="0.25">
      <c r="E15824" t="s">
        <v>15337</v>
      </c>
    </row>
    <row r="15825" spans="5:5" x14ac:dyDescent="0.25">
      <c r="E15825" t="s">
        <v>15338</v>
      </c>
    </row>
    <row r="15826" spans="5:5" x14ac:dyDescent="0.25">
      <c r="E15826" t="s">
        <v>15339</v>
      </c>
    </row>
    <row r="15827" spans="5:5" x14ac:dyDescent="0.25">
      <c r="E15827" t="s">
        <v>15340</v>
      </c>
    </row>
    <row r="15828" spans="5:5" x14ac:dyDescent="0.25">
      <c r="E15828" t="s">
        <v>15341</v>
      </c>
    </row>
    <row r="15829" spans="5:5" x14ac:dyDescent="0.25">
      <c r="E15829" t="s">
        <v>15342</v>
      </c>
    </row>
    <row r="15830" spans="5:5" x14ac:dyDescent="0.25">
      <c r="E15830" t="s">
        <v>15343</v>
      </c>
    </row>
    <row r="15831" spans="5:5" x14ac:dyDescent="0.25">
      <c r="E15831" t="s">
        <v>15344</v>
      </c>
    </row>
    <row r="15832" spans="5:5" x14ac:dyDescent="0.25">
      <c r="E15832" t="s">
        <v>15345</v>
      </c>
    </row>
    <row r="15833" spans="5:5" x14ac:dyDescent="0.25">
      <c r="E15833" t="s">
        <v>15346</v>
      </c>
    </row>
    <row r="15834" spans="5:5" x14ac:dyDescent="0.25">
      <c r="E15834" t="s">
        <v>15347</v>
      </c>
    </row>
    <row r="15835" spans="5:5" x14ac:dyDescent="0.25">
      <c r="E15835" t="s">
        <v>15348</v>
      </c>
    </row>
    <row r="15836" spans="5:5" x14ac:dyDescent="0.25">
      <c r="E15836" t="s">
        <v>15349</v>
      </c>
    </row>
    <row r="15837" spans="5:5" x14ac:dyDescent="0.25">
      <c r="E15837" t="s">
        <v>15350</v>
      </c>
    </row>
    <row r="15838" spans="5:5" x14ac:dyDescent="0.25">
      <c r="E15838" t="s">
        <v>15351</v>
      </c>
    </row>
    <row r="15839" spans="5:5" x14ac:dyDescent="0.25">
      <c r="E15839" t="s">
        <v>15352</v>
      </c>
    </row>
    <row r="15840" spans="5:5" x14ac:dyDescent="0.25">
      <c r="E15840" t="s">
        <v>15353</v>
      </c>
    </row>
    <row r="15841" spans="5:5" x14ac:dyDescent="0.25">
      <c r="E15841" t="s">
        <v>15354</v>
      </c>
    </row>
    <row r="15842" spans="5:5" x14ac:dyDescent="0.25">
      <c r="E15842" t="s">
        <v>15355</v>
      </c>
    </row>
    <row r="15843" spans="5:5" x14ac:dyDescent="0.25">
      <c r="E15843" t="s">
        <v>15356</v>
      </c>
    </row>
    <row r="15844" spans="5:5" x14ac:dyDescent="0.25">
      <c r="E15844" t="s">
        <v>15357</v>
      </c>
    </row>
    <row r="15845" spans="5:5" x14ac:dyDescent="0.25">
      <c r="E15845" t="s">
        <v>15358</v>
      </c>
    </row>
    <row r="15846" spans="5:5" x14ac:dyDescent="0.25">
      <c r="E15846" t="s">
        <v>15359</v>
      </c>
    </row>
    <row r="15847" spans="5:5" x14ac:dyDescent="0.25">
      <c r="E15847" t="s">
        <v>15360</v>
      </c>
    </row>
    <row r="15848" spans="5:5" x14ac:dyDescent="0.25">
      <c r="E15848" t="s">
        <v>15361</v>
      </c>
    </row>
    <row r="15849" spans="5:5" x14ac:dyDescent="0.25">
      <c r="E15849" t="s">
        <v>15362</v>
      </c>
    </row>
    <row r="15850" spans="5:5" x14ac:dyDescent="0.25">
      <c r="E15850" t="s">
        <v>15363</v>
      </c>
    </row>
    <row r="15851" spans="5:5" x14ac:dyDescent="0.25">
      <c r="E15851" t="s">
        <v>15364</v>
      </c>
    </row>
    <row r="15852" spans="5:5" x14ac:dyDescent="0.25">
      <c r="E15852" t="s">
        <v>15365</v>
      </c>
    </row>
    <row r="15853" spans="5:5" x14ac:dyDescent="0.25">
      <c r="E15853" t="s">
        <v>15366</v>
      </c>
    </row>
    <row r="15854" spans="5:5" x14ac:dyDescent="0.25">
      <c r="E15854" t="s">
        <v>15367</v>
      </c>
    </row>
    <row r="15855" spans="5:5" x14ac:dyDescent="0.25">
      <c r="E15855" t="s">
        <v>15368</v>
      </c>
    </row>
    <row r="15856" spans="5:5" x14ac:dyDescent="0.25">
      <c r="E15856" t="s">
        <v>15369</v>
      </c>
    </row>
    <row r="15857" spans="5:5" x14ac:dyDescent="0.25">
      <c r="E15857" t="s">
        <v>15370</v>
      </c>
    </row>
    <row r="15858" spans="5:5" x14ac:dyDescent="0.25">
      <c r="E15858" t="s">
        <v>15371</v>
      </c>
    </row>
    <row r="15859" spans="5:5" x14ac:dyDescent="0.25">
      <c r="E15859" t="s">
        <v>15372</v>
      </c>
    </row>
    <row r="15860" spans="5:5" x14ac:dyDescent="0.25">
      <c r="E15860" t="s">
        <v>15373</v>
      </c>
    </row>
    <row r="15861" spans="5:5" x14ac:dyDescent="0.25">
      <c r="E15861" t="s">
        <v>15374</v>
      </c>
    </row>
    <row r="15862" spans="5:5" x14ac:dyDescent="0.25">
      <c r="E15862" t="s">
        <v>15375</v>
      </c>
    </row>
    <row r="15863" spans="5:5" x14ac:dyDescent="0.25">
      <c r="E15863" t="s">
        <v>15376</v>
      </c>
    </row>
    <row r="15864" spans="5:5" x14ac:dyDescent="0.25">
      <c r="E15864" t="s">
        <v>15377</v>
      </c>
    </row>
    <row r="15865" spans="5:5" x14ac:dyDescent="0.25">
      <c r="E15865" t="s">
        <v>15378</v>
      </c>
    </row>
    <row r="15866" spans="5:5" x14ac:dyDescent="0.25">
      <c r="E15866" t="s">
        <v>15379</v>
      </c>
    </row>
    <row r="15867" spans="5:5" x14ac:dyDescent="0.25">
      <c r="E15867" t="s">
        <v>15380</v>
      </c>
    </row>
    <row r="15868" spans="5:5" x14ac:dyDescent="0.25">
      <c r="E15868" t="s">
        <v>15381</v>
      </c>
    </row>
    <row r="15869" spans="5:5" x14ac:dyDescent="0.25">
      <c r="E15869" t="s">
        <v>15382</v>
      </c>
    </row>
    <row r="15870" spans="5:5" x14ac:dyDescent="0.25">
      <c r="E15870" t="s">
        <v>15383</v>
      </c>
    </row>
    <row r="15871" spans="5:5" x14ac:dyDescent="0.25">
      <c r="E15871" t="s">
        <v>15384</v>
      </c>
    </row>
    <row r="15872" spans="5:5" x14ac:dyDescent="0.25">
      <c r="E15872" t="s">
        <v>15385</v>
      </c>
    </row>
    <row r="15873" spans="5:5" x14ac:dyDescent="0.25">
      <c r="E15873" t="s">
        <v>15386</v>
      </c>
    </row>
    <row r="15874" spans="5:5" x14ac:dyDescent="0.25">
      <c r="E15874" t="s">
        <v>15387</v>
      </c>
    </row>
    <row r="15875" spans="5:5" x14ac:dyDescent="0.25">
      <c r="E15875" t="s">
        <v>15388</v>
      </c>
    </row>
    <row r="15876" spans="5:5" x14ac:dyDescent="0.25">
      <c r="E15876" t="s">
        <v>15389</v>
      </c>
    </row>
    <row r="15877" spans="5:5" x14ac:dyDescent="0.25">
      <c r="E15877" t="s">
        <v>15390</v>
      </c>
    </row>
    <row r="15878" spans="5:5" x14ac:dyDescent="0.25">
      <c r="E15878" t="s">
        <v>15391</v>
      </c>
    </row>
    <row r="15879" spans="5:5" x14ac:dyDescent="0.25">
      <c r="E15879" t="s">
        <v>15392</v>
      </c>
    </row>
    <row r="15880" spans="5:5" x14ac:dyDescent="0.25">
      <c r="E15880" t="s">
        <v>15393</v>
      </c>
    </row>
    <row r="15881" spans="5:5" x14ac:dyDescent="0.25">
      <c r="E15881" t="s">
        <v>15394</v>
      </c>
    </row>
    <row r="15882" spans="5:5" x14ac:dyDescent="0.25">
      <c r="E15882" t="s">
        <v>15395</v>
      </c>
    </row>
    <row r="15883" spans="5:5" x14ac:dyDescent="0.25">
      <c r="E15883" t="s">
        <v>15396</v>
      </c>
    </row>
    <row r="15884" spans="5:5" x14ac:dyDescent="0.25">
      <c r="E15884" t="s">
        <v>15397</v>
      </c>
    </row>
    <row r="15885" spans="5:5" x14ac:dyDescent="0.25">
      <c r="E15885" t="s">
        <v>15398</v>
      </c>
    </row>
    <row r="15886" spans="5:5" x14ac:dyDescent="0.25">
      <c r="E15886" t="s">
        <v>15399</v>
      </c>
    </row>
    <row r="15887" spans="5:5" x14ac:dyDescent="0.25">
      <c r="E15887" t="s">
        <v>15400</v>
      </c>
    </row>
    <row r="15888" spans="5:5" x14ac:dyDescent="0.25">
      <c r="E15888" t="s">
        <v>15401</v>
      </c>
    </row>
    <row r="15889" spans="5:5" x14ac:dyDescent="0.25">
      <c r="E15889" t="s">
        <v>15402</v>
      </c>
    </row>
    <row r="15890" spans="5:5" x14ac:dyDescent="0.25">
      <c r="E15890" t="s">
        <v>15403</v>
      </c>
    </row>
    <row r="15891" spans="5:5" x14ac:dyDescent="0.25">
      <c r="E15891" t="s">
        <v>15404</v>
      </c>
    </row>
    <row r="15892" spans="5:5" x14ac:dyDescent="0.25">
      <c r="E15892" t="s">
        <v>15405</v>
      </c>
    </row>
    <row r="15893" spans="5:5" x14ac:dyDescent="0.25">
      <c r="E15893" t="s">
        <v>15406</v>
      </c>
    </row>
    <row r="15894" spans="5:5" x14ac:dyDescent="0.25">
      <c r="E15894" t="s">
        <v>15407</v>
      </c>
    </row>
    <row r="15895" spans="5:5" x14ac:dyDescent="0.25">
      <c r="E15895" t="s">
        <v>15408</v>
      </c>
    </row>
    <row r="15896" spans="5:5" x14ac:dyDescent="0.25">
      <c r="E15896" t="s">
        <v>15409</v>
      </c>
    </row>
    <row r="15897" spans="5:5" x14ac:dyDescent="0.25">
      <c r="E15897" t="s">
        <v>15410</v>
      </c>
    </row>
    <row r="15898" spans="5:5" x14ac:dyDescent="0.25">
      <c r="E15898" t="s">
        <v>15411</v>
      </c>
    </row>
    <row r="15899" spans="5:5" x14ac:dyDescent="0.25">
      <c r="E15899" t="s">
        <v>15412</v>
      </c>
    </row>
    <row r="15900" spans="5:5" x14ac:dyDescent="0.25">
      <c r="E15900" t="s">
        <v>15413</v>
      </c>
    </row>
    <row r="15901" spans="5:5" x14ac:dyDescent="0.25">
      <c r="E15901" t="s">
        <v>15414</v>
      </c>
    </row>
    <row r="15902" spans="5:5" x14ac:dyDescent="0.25">
      <c r="E15902" t="s">
        <v>15415</v>
      </c>
    </row>
    <row r="15903" spans="5:5" x14ac:dyDescent="0.25">
      <c r="E15903" t="s">
        <v>15416</v>
      </c>
    </row>
    <row r="15904" spans="5:5" x14ac:dyDescent="0.25">
      <c r="E15904" t="s">
        <v>15417</v>
      </c>
    </row>
    <row r="15905" spans="5:5" x14ac:dyDescent="0.25">
      <c r="E15905" t="s">
        <v>15418</v>
      </c>
    </row>
    <row r="15906" spans="5:5" x14ac:dyDescent="0.25">
      <c r="E15906" t="s">
        <v>15419</v>
      </c>
    </row>
    <row r="15907" spans="5:5" x14ac:dyDescent="0.25">
      <c r="E15907" t="s">
        <v>15420</v>
      </c>
    </row>
    <row r="15908" spans="5:5" x14ac:dyDescent="0.25">
      <c r="E15908" t="s">
        <v>15421</v>
      </c>
    </row>
    <row r="15909" spans="5:5" x14ac:dyDescent="0.25">
      <c r="E15909" t="s">
        <v>15422</v>
      </c>
    </row>
    <row r="15910" spans="5:5" x14ac:dyDescent="0.25">
      <c r="E15910" t="s">
        <v>15423</v>
      </c>
    </row>
    <row r="15911" spans="5:5" x14ac:dyDescent="0.25">
      <c r="E15911" t="s">
        <v>15424</v>
      </c>
    </row>
    <row r="15912" spans="5:5" x14ac:dyDescent="0.25">
      <c r="E15912" t="s">
        <v>15425</v>
      </c>
    </row>
    <row r="15913" spans="5:5" x14ac:dyDescent="0.25">
      <c r="E15913" t="s">
        <v>15426</v>
      </c>
    </row>
    <row r="15914" spans="5:5" x14ac:dyDescent="0.25">
      <c r="E15914" t="s">
        <v>15427</v>
      </c>
    </row>
    <row r="15915" spans="5:5" x14ac:dyDescent="0.25">
      <c r="E15915" t="s">
        <v>15428</v>
      </c>
    </row>
    <row r="15916" spans="5:5" x14ac:dyDescent="0.25">
      <c r="E15916" t="s">
        <v>15429</v>
      </c>
    </row>
    <row r="15917" spans="5:5" x14ac:dyDescent="0.25">
      <c r="E15917" t="s">
        <v>15430</v>
      </c>
    </row>
    <row r="15918" spans="5:5" x14ac:dyDescent="0.25">
      <c r="E15918" t="s">
        <v>15431</v>
      </c>
    </row>
    <row r="15919" spans="5:5" x14ac:dyDescent="0.25">
      <c r="E15919" t="s">
        <v>15432</v>
      </c>
    </row>
    <row r="15920" spans="5:5" x14ac:dyDescent="0.25">
      <c r="E15920" t="s">
        <v>15433</v>
      </c>
    </row>
    <row r="15921" spans="5:5" x14ac:dyDescent="0.25">
      <c r="E15921" t="s">
        <v>15434</v>
      </c>
    </row>
    <row r="15922" spans="5:5" x14ac:dyDescent="0.25">
      <c r="E15922" t="s">
        <v>15435</v>
      </c>
    </row>
    <row r="15923" spans="5:5" x14ac:dyDescent="0.25">
      <c r="E15923" t="s">
        <v>15436</v>
      </c>
    </row>
    <row r="15924" spans="5:5" x14ac:dyDescent="0.25">
      <c r="E15924" t="s">
        <v>15437</v>
      </c>
    </row>
    <row r="15925" spans="5:5" x14ac:dyDescent="0.25">
      <c r="E15925" t="s">
        <v>15438</v>
      </c>
    </row>
    <row r="15926" spans="5:5" x14ac:dyDescent="0.25">
      <c r="E15926" t="s">
        <v>15439</v>
      </c>
    </row>
    <row r="15927" spans="5:5" x14ac:dyDescent="0.25">
      <c r="E15927" t="s">
        <v>15440</v>
      </c>
    </row>
    <row r="15928" spans="5:5" x14ac:dyDescent="0.25">
      <c r="E15928" t="s">
        <v>15441</v>
      </c>
    </row>
    <row r="15929" spans="5:5" x14ac:dyDescent="0.25">
      <c r="E15929" t="s">
        <v>15442</v>
      </c>
    </row>
    <row r="15930" spans="5:5" x14ac:dyDescent="0.25">
      <c r="E15930" t="s">
        <v>15443</v>
      </c>
    </row>
    <row r="15931" spans="5:5" x14ac:dyDescent="0.25">
      <c r="E15931" t="s">
        <v>15444</v>
      </c>
    </row>
    <row r="15932" spans="5:5" x14ac:dyDescent="0.25">
      <c r="E15932" t="s">
        <v>15445</v>
      </c>
    </row>
    <row r="15933" spans="5:5" x14ac:dyDescent="0.25">
      <c r="E15933" t="s">
        <v>15446</v>
      </c>
    </row>
    <row r="15934" spans="5:5" x14ac:dyDescent="0.25">
      <c r="E15934" t="s">
        <v>15447</v>
      </c>
    </row>
    <row r="15935" spans="5:5" x14ac:dyDescent="0.25">
      <c r="E15935" t="s">
        <v>15448</v>
      </c>
    </row>
    <row r="15936" spans="5:5" x14ac:dyDescent="0.25">
      <c r="E15936" t="s">
        <v>15449</v>
      </c>
    </row>
    <row r="15937" spans="5:5" x14ac:dyDescent="0.25">
      <c r="E15937" t="s">
        <v>15450</v>
      </c>
    </row>
    <row r="15938" spans="5:5" x14ac:dyDescent="0.25">
      <c r="E15938" t="s">
        <v>15451</v>
      </c>
    </row>
    <row r="15939" spans="5:5" x14ac:dyDescent="0.25">
      <c r="E15939" t="s">
        <v>15452</v>
      </c>
    </row>
    <row r="15940" spans="5:5" x14ac:dyDescent="0.25">
      <c r="E15940" t="s">
        <v>15453</v>
      </c>
    </row>
    <row r="15941" spans="5:5" x14ac:dyDescent="0.25">
      <c r="E15941" t="s">
        <v>15454</v>
      </c>
    </row>
    <row r="15942" spans="5:5" x14ac:dyDescent="0.25">
      <c r="E15942" t="s">
        <v>15455</v>
      </c>
    </row>
    <row r="15943" spans="5:5" x14ac:dyDescent="0.25">
      <c r="E15943" t="s">
        <v>15456</v>
      </c>
    </row>
    <row r="15944" spans="5:5" x14ac:dyDescent="0.25">
      <c r="E15944" t="s">
        <v>15457</v>
      </c>
    </row>
    <row r="15945" spans="5:5" x14ac:dyDescent="0.25">
      <c r="E15945" t="s">
        <v>15458</v>
      </c>
    </row>
    <row r="15946" spans="5:5" x14ac:dyDescent="0.25">
      <c r="E15946" t="s">
        <v>15459</v>
      </c>
    </row>
    <row r="15947" spans="5:5" x14ac:dyDescent="0.25">
      <c r="E15947" t="s">
        <v>15460</v>
      </c>
    </row>
    <row r="15948" spans="5:5" x14ac:dyDescent="0.25">
      <c r="E15948" t="s">
        <v>15461</v>
      </c>
    </row>
    <row r="15949" spans="5:5" x14ac:dyDescent="0.25">
      <c r="E15949" t="s">
        <v>15462</v>
      </c>
    </row>
    <row r="15950" spans="5:5" x14ac:dyDescent="0.25">
      <c r="E15950" t="s">
        <v>15463</v>
      </c>
    </row>
    <row r="15951" spans="5:5" x14ac:dyDescent="0.25">
      <c r="E15951" t="s">
        <v>15464</v>
      </c>
    </row>
    <row r="15952" spans="5:5" x14ac:dyDescent="0.25">
      <c r="E15952" t="s">
        <v>15465</v>
      </c>
    </row>
    <row r="15953" spans="5:5" x14ac:dyDescent="0.25">
      <c r="E15953" t="s">
        <v>15466</v>
      </c>
    </row>
    <row r="15954" spans="5:5" x14ac:dyDescent="0.25">
      <c r="E15954" t="s">
        <v>15467</v>
      </c>
    </row>
    <row r="15955" spans="5:5" x14ac:dyDescent="0.25">
      <c r="E15955" t="s">
        <v>15468</v>
      </c>
    </row>
    <row r="15956" spans="5:5" x14ac:dyDescent="0.25">
      <c r="E15956" t="s">
        <v>15469</v>
      </c>
    </row>
    <row r="15957" spans="5:5" x14ac:dyDescent="0.25">
      <c r="E15957" t="s">
        <v>15470</v>
      </c>
    </row>
    <row r="15958" spans="5:5" x14ac:dyDescent="0.25">
      <c r="E15958" t="s">
        <v>15471</v>
      </c>
    </row>
    <row r="15959" spans="5:5" x14ac:dyDescent="0.25">
      <c r="E15959" t="s">
        <v>15472</v>
      </c>
    </row>
    <row r="15960" spans="5:5" x14ac:dyDescent="0.25">
      <c r="E15960" t="s">
        <v>15473</v>
      </c>
    </row>
    <row r="15961" spans="5:5" x14ac:dyDescent="0.25">
      <c r="E15961" t="s">
        <v>15474</v>
      </c>
    </row>
    <row r="15962" spans="5:5" x14ac:dyDescent="0.25">
      <c r="E15962" t="s">
        <v>15475</v>
      </c>
    </row>
    <row r="15963" spans="5:5" x14ac:dyDescent="0.25">
      <c r="E15963" t="s">
        <v>15476</v>
      </c>
    </row>
    <row r="15964" spans="5:5" x14ac:dyDescent="0.25">
      <c r="E15964" t="s">
        <v>15477</v>
      </c>
    </row>
    <row r="15965" spans="5:5" x14ac:dyDescent="0.25">
      <c r="E15965" t="s">
        <v>15478</v>
      </c>
    </row>
    <row r="15966" spans="5:5" x14ac:dyDescent="0.25">
      <c r="E15966" t="s">
        <v>15479</v>
      </c>
    </row>
    <row r="15967" spans="5:5" x14ac:dyDescent="0.25">
      <c r="E15967" t="s">
        <v>15480</v>
      </c>
    </row>
    <row r="15968" spans="5:5" x14ac:dyDescent="0.25">
      <c r="E15968" t="s">
        <v>15481</v>
      </c>
    </row>
    <row r="15969" spans="5:5" x14ac:dyDescent="0.25">
      <c r="E15969" t="s">
        <v>15482</v>
      </c>
    </row>
    <row r="15970" spans="5:5" x14ac:dyDescent="0.25">
      <c r="E15970" t="s">
        <v>15483</v>
      </c>
    </row>
    <row r="15971" spans="5:5" x14ac:dyDescent="0.25">
      <c r="E15971" t="s">
        <v>15484</v>
      </c>
    </row>
    <row r="15972" spans="5:5" x14ac:dyDescent="0.25">
      <c r="E15972" t="s">
        <v>15485</v>
      </c>
    </row>
    <row r="15973" spans="5:5" x14ac:dyDescent="0.25">
      <c r="E15973" t="s">
        <v>15486</v>
      </c>
    </row>
    <row r="15974" spans="5:5" x14ac:dyDescent="0.25">
      <c r="E15974" t="s">
        <v>15487</v>
      </c>
    </row>
    <row r="15975" spans="5:5" x14ac:dyDescent="0.25">
      <c r="E15975" t="s">
        <v>15488</v>
      </c>
    </row>
    <row r="15976" spans="5:5" x14ac:dyDescent="0.25">
      <c r="E15976" t="s">
        <v>15489</v>
      </c>
    </row>
    <row r="15977" spans="5:5" x14ac:dyDescent="0.25">
      <c r="E15977" t="s">
        <v>15490</v>
      </c>
    </row>
    <row r="15978" spans="5:5" x14ac:dyDescent="0.25">
      <c r="E15978" t="s">
        <v>15491</v>
      </c>
    </row>
    <row r="15979" spans="5:5" x14ac:dyDescent="0.25">
      <c r="E15979" t="s">
        <v>15492</v>
      </c>
    </row>
    <row r="15980" spans="5:5" x14ac:dyDescent="0.25">
      <c r="E15980" t="s">
        <v>15493</v>
      </c>
    </row>
    <row r="15981" spans="5:5" x14ac:dyDescent="0.25">
      <c r="E15981" t="s">
        <v>15494</v>
      </c>
    </row>
    <row r="15982" spans="5:5" x14ac:dyDescent="0.25">
      <c r="E15982" t="s">
        <v>15495</v>
      </c>
    </row>
    <row r="15983" spans="5:5" x14ac:dyDescent="0.25">
      <c r="E15983" t="s">
        <v>15496</v>
      </c>
    </row>
    <row r="15984" spans="5:5" x14ac:dyDescent="0.25">
      <c r="E15984" t="s">
        <v>15497</v>
      </c>
    </row>
    <row r="15985" spans="5:5" x14ac:dyDescent="0.25">
      <c r="E15985" t="s">
        <v>15498</v>
      </c>
    </row>
    <row r="15986" spans="5:5" x14ac:dyDescent="0.25">
      <c r="E15986" t="s">
        <v>15499</v>
      </c>
    </row>
    <row r="15987" spans="5:5" x14ac:dyDescent="0.25">
      <c r="E15987" t="s">
        <v>15500</v>
      </c>
    </row>
    <row r="15988" spans="5:5" x14ac:dyDescent="0.25">
      <c r="E15988" t="s">
        <v>15501</v>
      </c>
    </row>
    <row r="15989" spans="5:5" x14ac:dyDescent="0.25">
      <c r="E15989" t="s">
        <v>15502</v>
      </c>
    </row>
    <row r="15990" spans="5:5" x14ac:dyDescent="0.25">
      <c r="E15990" t="s">
        <v>15503</v>
      </c>
    </row>
    <row r="15991" spans="5:5" x14ac:dyDescent="0.25">
      <c r="E15991" t="s">
        <v>15504</v>
      </c>
    </row>
    <row r="15992" spans="5:5" x14ac:dyDescent="0.25">
      <c r="E15992" t="s">
        <v>15505</v>
      </c>
    </row>
    <row r="15993" spans="5:5" x14ac:dyDescent="0.25">
      <c r="E15993" t="s">
        <v>15506</v>
      </c>
    </row>
    <row r="15994" spans="5:5" x14ac:dyDescent="0.25">
      <c r="E15994" t="s">
        <v>15507</v>
      </c>
    </row>
    <row r="15995" spans="5:5" x14ac:dyDescent="0.25">
      <c r="E15995" t="s">
        <v>15508</v>
      </c>
    </row>
    <row r="15996" spans="5:5" x14ac:dyDescent="0.25">
      <c r="E15996" t="s">
        <v>15509</v>
      </c>
    </row>
    <row r="15997" spans="5:5" x14ac:dyDescent="0.25">
      <c r="E15997" t="s">
        <v>15510</v>
      </c>
    </row>
    <row r="15998" spans="5:5" x14ac:dyDescent="0.25">
      <c r="E15998" t="s">
        <v>15511</v>
      </c>
    </row>
    <row r="15999" spans="5:5" x14ac:dyDescent="0.25">
      <c r="E15999" t="s">
        <v>15512</v>
      </c>
    </row>
    <row r="16000" spans="5:5" x14ac:dyDescent="0.25">
      <c r="E16000" t="s">
        <v>15513</v>
      </c>
    </row>
    <row r="16001" spans="5:5" x14ac:dyDescent="0.25">
      <c r="E16001" t="s">
        <v>15514</v>
      </c>
    </row>
    <row r="16002" spans="5:5" x14ac:dyDescent="0.25">
      <c r="E16002" t="s">
        <v>15515</v>
      </c>
    </row>
    <row r="16003" spans="5:5" x14ac:dyDescent="0.25">
      <c r="E16003" t="s">
        <v>15516</v>
      </c>
    </row>
    <row r="16004" spans="5:5" x14ac:dyDescent="0.25">
      <c r="E16004" t="s">
        <v>15517</v>
      </c>
    </row>
    <row r="16005" spans="5:5" x14ac:dyDescent="0.25">
      <c r="E16005" t="s">
        <v>15518</v>
      </c>
    </row>
    <row r="16006" spans="5:5" x14ac:dyDescent="0.25">
      <c r="E16006" t="s">
        <v>15519</v>
      </c>
    </row>
    <row r="16007" spans="5:5" x14ac:dyDescent="0.25">
      <c r="E16007" t="s">
        <v>15520</v>
      </c>
    </row>
    <row r="16008" spans="5:5" x14ac:dyDescent="0.25">
      <c r="E16008" t="s">
        <v>15521</v>
      </c>
    </row>
    <row r="16009" spans="5:5" x14ac:dyDescent="0.25">
      <c r="E16009" t="s">
        <v>15522</v>
      </c>
    </row>
    <row r="16010" spans="5:5" x14ac:dyDescent="0.25">
      <c r="E16010" t="s">
        <v>15523</v>
      </c>
    </row>
    <row r="16011" spans="5:5" x14ac:dyDescent="0.25">
      <c r="E16011" t="s">
        <v>15524</v>
      </c>
    </row>
    <row r="16012" spans="5:5" x14ac:dyDescent="0.25">
      <c r="E16012" t="s">
        <v>15525</v>
      </c>
    </row>
    <row r="16013" spans="5:5" x14ac:dyDescent="0.25">
      <c r="E16013" t="s">
        <v>15526</v>
      </c>
    </row>
    <row r="16014" spans="5:5" x14ac:dyDescent="0.25">
      <c r="E16014" t="s">
        <v>15527</v>
      </c>
    </row>
    <row r="16015" spans="5:5" x14ac:dyDescent="0.25">
      <c r="E16015" t="s">
        <v>15528</v>
      </c>
    </row>
    <row r="16016" spans="5:5" x14ac:dyDescent="0.25">
      <c r="E16016" t="s">
        <v>15529</v>
      </c>
    </row>
    <row r="16017" spans="5:5" x14ac:dyDescent="0.25">
      <c r="E16017" t="s">
        <v>15530</v>
      </c>
    </row>
    <row r="16018" spans="5:5" x14ac:dyDescent="0.25">
      <c r="E16018" t="s">
        <v>15531</v>
      </c>
    </row>
    <row r="16019" spans="5:5" x14ac:dyDescent="0.25">
      <c r="E16019" t="s">
        <v>15532</v>
      </c>
    </row>
    <row r="16020" spans="5:5" x14ac:dyDescent="0.25">
      <c r="E16020" t="s">
        <v>15533</v>
      </c>
    </row>
    <row r="16021" spans="5:5" x14ac:dyDescent="0.25">
      <c r="E16021" t="s">
        <v>15534</v>
      </c>
    </row>
    <row r="16022" spans="5:5" x14ac:dyDescent="0.25">
      <c r="E16022" t="s">
        <v>15535</v>
      </c>
    </row>
    <row r="16023" spans="5:5" x14ac:dyDescent="0.25">
      <c r="E16023" t="s">
        <v>15536</v>
      </c>
    </row>
    <row r="16024" spans="5:5" x14ac:dyDescent="0.25">
      <c r="E16024" t="s">
        <v>15537</v>
      </c>
    </row>
    <row r="16025" spans="5:5" x14ac:dyDescent="0.25">
      <c r="E16025" t="s">
        <v>15538</v>
      </c>
    </row>
    <row r="16026" spans="5:5" x14ac:dyDescent="0.25">
      <c r="E16026" t="s">
        <v>15539</v>
      </c>
    </row>
    <row r="16027" spans="5:5" x14ac:dyDescent="0.25">
      <c r="E16027" t="s">
        <v>15540</v>
      </c>
    </row>
    <row r="16028" spans="5:5" x14ac:dyDescent="0.25">
      <c r="E16028" t="s">
        <v>15541</v>
      </c>
    </row>
    <row r="16029" spans="5:5" x14ac:dyDescent="0.25">
      <c r="E16029" t="s">
        <v>15542</v>
      </c>
    </row>
    <row r="16030" spans="5:5" x14ac:dyDescent="0.25">
      <c r="E16030" t="s">
        <v>15543</v>
      </c>
    </row>
    <row r="16031" spans="5:5" x14ac:dyDescent="0.25">
      <c r="E16031" t="s">
        <v>15544</v>
      </c>
    </row>
    <row r="16032" spans="5:5" x14ac:dyDescent="0.25">
      <c r="E16032" t="s">
        <v>15545</v>
      </c>
    </row>
    <row r="16033" spans="5:5" x14ac:dyDescent="0.25">
      <c r="E16033" t="s">
        <v>15546</v>
      </c>
    </row>
    <row r="16034" spans="5:5" x14ac:dyDescent="0.25">
      <c r="E16034" t="s">
        <v>15547</v>
      </c>
    </row>
    <row r="16035" spans="5:5" x14ac:dyDescent="0.25">
      <c r="E16035" t="s">
        <v>15548</v>
      </c>
    </row>
    <row r="16036" spans="5:5" x14ac:dyDescent="0.25">
      <c r="E16036" t="s">
        <v>15549</v>
      </c>
    </row>
    <row r="16037" spans="5:5" x14ac:dyDescent="0.25">
      <c r="E16037" t="s">
        <v>15550</v>
      </c>
    </row>
    <row r="16038" spans="5:5" x14ac:dyDescent="0.25">
      <c r="E16038" t="s">
        <v>15551</v>
      </c>
    </row>
    <row r="16039" spans="5:5" x14ac:dyDescent="0.25">
      <c r="E16039" t="s">
        <v>15552</v>
      </c>
    </row>
    <row r="16040" spans="5:5" x14ac:dyDescent="0.25">
      <c r="E16040" t="s">
        <v>15553</v>
      </c>
    </row>
    <row r="16041" spans="5:5" x14ac:dyDescent="0.25">
      <c r="E16041" t="s">
        <v>15554</v>
      </c>
    </row>
    <row r="16042" spans="5:5" x14ac:dyDescent="0.25">
      <c r="E16042" t="s">
        <v>15555</v>
      </c>
    </row>
    <row r="16043" spans="5:5" x14ac:dyDescent="0.25">
      <c r="E16043" t="s">
        <v>15556</v>
      </c>
    </row>
    <row r="16044" spans="5:5" x14ac:dyDescent="0.25">
      <c r="E16044" t="s">
        <v>15557</v>
      </c>
    </row>
    <row r="16045" spans="5:5" x14ac:dyDescent="0.25">
      <c r="E16045" t="s">
        <v>15558</v>
      </c>
    </row>
    <row r="16046" spans="5:5" x14ac:dyDescent="0.25">
      <c r="E16046" t="s">
        <v>15559</v>
      </c>
    </row>
    <row r="16047" spans="5:5" x14ac:dyDescent="0.25">
      <c r="E16047" t="s">
        <v>15560</v>
      </c>
    </row>
    <row r="16048" spans="5:5" x14ac:dyDescent="0.25">
      <c r="E16048" t="s">
        <v>15561</v>
      </c>
    </row>
    <row r="16049" spans="5:5" x14ac:dyDescent="0.25">
      <c r="E16049" t="s">
        <v>15562</v>
      </c>
    </row>
    <row r="16050" spans="5:5" x14ac:dyDescent="0.25">
      <c r="E16050" t="s">
        <v>15563</v>
      </c>
    </row>
    <row r="16051" spans="5:5" x14ac:dyDescent="0.25">
      <c r="E16051" t="s">
        <v>15564</v>
      </c>
    </row>
    <row r="16052" spans="5:5" x14ac:dyDescent="0.25">
      <c r="E16052" t="s">
        <v>15565</v>
      </c>
    </row>
    <row r="16053" spans="5:5" x14ac:dyDescent="0.25">
      <c r="E16053" t="s">
        <v>15566</v>
      </c>
    </row>
    <row r="16054" spans="5:5" x14ac:dyDescent="0.25">
      <c r="E16054" t="s">
        <v>15567</v>
      </c>
    </row>
    <row r="16055" spans="5:5" x14ac:dyDescent="0.25">
      <c r="E16055" t="s">
        <v>15568</v>
      </c>
    </row>
    <row r="16056" spans="5:5" x14ac:dyDescent="0.25">
      <c r="E16056" t="s">
        <v>15569</v>
      </c>
    </row>
    <row r="16057" spans="5:5" x14ac:dyDescent="0.25">
      <c r="E16057" t="s">
        <v>15570</v>
      </c>
    </row>
    <row r="16058" spans="5:5" x14ac:dyDescent="0.25">
      <c r="E16058" t="s">
        <v>15571</v>
      </c>
    </row>
    <row r="16059" spans="5:5" x14ac:dyDescent="0.25">
      <c r="E16059" t="s">
        <v>15572</v>
      </c>
    </row>
    <row r="16060" spans="5:5" x14ac:dyDescent="0.25">
      <c r="E16060" t="s">
        <v>15573</v>
      </c>
    </row>
    <row r="16061" spans="5:5" x14ac:dyDescent="0.25">
      <c r="E16061" t="s">
        <v>15574</v>
      </c>
    </row>
    <row r="16062" spans="5:5" x14ac:dyDescent="0.25">
      <c r="E16062" t="s">
        <v>15575</v>
      </c>
    </row>
    <row r="16063" spans="5:5" x14ac:dyDescent="0.25">
      <c r="E16063" t="s">
        <v>15576</v>
      </c>
    </row>
    <row r="16064" spans="5:5" x14ac:dyDescent="0.25">
      <c r="E16064" t="s">
        <v>15577</v>
      </c>
    </row>
    <row r="16065" spans="5:5" x14ac:dyDescent="0.25">
      <c r="E16065" t="s">
        <v>15578</v>
      </c>
    </row>
    <row r="16066" spans="5:5" x14ac:dyDescent="0.25">
      <c r="E16066" t="s">
        <v>15579</v>
      </c>
    </row>
    <row r="16067" spans="5:5" x14ac:dyDescent="0.25">
      <c r="E16067" t="s">
        <v>15580</v>
      </c>
    </row>
    <row r="16068" spans="5:5" x14ac:dyDescent="0.25">
      <c r="E16068" t="s">
        <v>15581</v>
      </c>
    </row>
    <row r="16069" spans="5:5" x14ac:dyDescent="0.25">
      <c r="E16069" t="s">
        <v>15582</v>
      </c>
    </row>
    <row r="16070" spans="5:5" x14ac:dyDescent="0.25">
      <c r="E16070" t="s">
        <v>15583</v>
      </c>
    </row>
    <row r="16071" spans="5:5" x14ac:dyDescent="0.25">
      <c r="E16071" t="s">
        <v>15584</v>
      </c>
    </row>
    <row r="16072" spans="5:5" x14ac:dyDescent="0.25">
      <c r="E16072" t="s">
        <v>15585</v>
      </c>
    </row>
    <row r="16073" spans="5:5" x14ac:dyDescent="0.25">
      <c r="E16073" t="s">
        <v>15586</v>
      </c>
    </row>
    <row r="16074" spans="5:5" x14ac:dyDescent="0.25">
      <c r="E16074" t="s">
        <v>15587</v>
      </c>
    </row>
    <row r="16075" spans="5:5" x14ac:dyDescent="0.25">
      <c r="E16075" t="s">
        <v>15588</v>
      </c>
    </row>
    <row r="16076" spans="5:5" x14ac:dyDescent="0.25">
      <c r="E16076" t="s">
        <v>15589</v>
      </c>
    </row>
    <row r="16077" spans="5:5" x14ac:dyDescent="0.25">
      <c r="E16077" t="s">
        <v>15590</v>
      </c>
    </row>
    <row r="16078" spans="5:5" x14ac:dyDescent="0.25">
      <c r="E16078" t="s">
        <v>15591</v>
      </c>
    </row>
    <row r="16079" spans="5:5" x14ac:dyDescent="0.25">
      <c r="E16079" t="s">
        <v>15592</v>
      </c>
    </row>
    <row r="16080" spans="5:5" x14ac:dyDescent="0.25">
      <c r="E16080" t="s">
        <v>15593</v>
      </c>
    </row>
    <row r="16081" spans="5:5" x14ac:dyDescent="0.25">
      <c r="E16081" t="s">
        <v>15594</v>
      </c>
    </row>
    <row r="16082" spans="5:5" x14ac:dyDescent="0.25">
      <c r="E16082" t="s">
        <v>15595</v>
      </c>
    </row>
    <row r="16083" spans="5:5" x14ac:dyDescent="0.25">
      <c r="E16083" t="s">
        <v>15596</v>
      </c>
    </row>
    <row r="16084" spans="5:5" x14ac:dyDescent="0.25">
      <c r="E16084" t="s">
        <v>15597</v>
      </c>
    </row>
    <row r="16085" spans="5:5" x14ac:dyDescent="0.25">
      <c r="E16085" t="s">
        <v>15598</v>
      </c>
    </row>
    <row r="16086" spans="5:5" x14ac:dyDescent="0.25">
      <c r="E16086" t="s">
        <v>15599</v>
      </c>
    </row>
    <row r="16087" spans="5:5" x14ac:dyDescent="0.25">
      <c r="E16087" t="s">
        <v>15600</v>
      </c>
    </row>
    <row r="16088" spans="5:5" x14ac:dyDescent="0.25">
      <c r="E16088" t="s">
        <v>15601</v>
      </c>
    </row>
    <row r="16089" spans="5:5" x14ac:dyDescent="0.25">
      <c r="E16089" t="s">
        <v>15602</v>
      </c>
    </row>
    <row r="16090" spans="5:5" x14ac:dyDescent="0.25">
      <c r="E16090" t="s">
        <v>15603</v>
      </c>
    </row>
    <row r="16091" spans="5:5" x14ac:dyDescent="0.25">
      <c r="E16091" t="s">
        <v>15604</v>
      </c>
    </row>
    <row r="16092" spans="5:5" x14ac:dyDescent="0.25">
      <c r="E16092" t="s">
        <v>15605</v>
      </c>
    </row>
    <row r="16093" spans="5:5" x14ac:dyDescent="0.25">
      <c r="E16093" t="s">
        <v>15606</v>
      </c>
    </row>
    <row r="16094" spans="5:5" x14ac:dyDescent="0.25">
      <c r="E16094" t="s">
        <v>15607</v>
      </c>
    </row>
    <row r="16095" spans="5:5" x14ac:dyDescent="0.25">
      <c r="E16095" t="s">
        <v>15608</v>
      </c>
    </row>
    <row r="16096" spans="5:5" x14ac:dyDescent="0.25">
      <c r="E16096" t="s">
        <v>15609</v>
      </c>
    </row>
    <row r="16097" spans="5:5" x14ac:dyDescent="0.25">
      <c r="E16097" t="s">
        <v>15610</v>
      </c>
    </row>
    <row r="16098" spans="5:5" x14ac:dyDescent="0.25">
      <c r="E16098" t="s">
        <v>15611</v>
      </c>
    </row>
    <row r="16099" spans="5:5" x14ac:dyDescent="0.25">
      <c r="E16099" t="s">
        <v>15612</v>
      </c>
    </row>
    <row r="16100" spans="5:5" x14ac:dyDescent="0.25">
      <c r="E16100" t="s">
        <v>15613</v>
      </c>
    </row>
    <row r="16101" spans="5:5" x14ac:dyDescent="0.25">
      <c r="E16101" t="s">
        <v>15614</v>
      </c>
    </row>
    <row r="16102" spans="5:5" x14ac:dyDescent="0.25">
      <c r="E16102" t="s">
        <v>15615</v>
      </c>
    </row>
    <row r="16103" spans="5:5" x14ac:dyDescent="0.25">
      <c r="E16103" t="s">
        <v>15616</v>
      </c>
    </row>
    <row r="16104" spans="5:5" x14ac:dyDescent="0.25">
      <c r="E16104" t="s">
        <v>15617</v>
      </c>
    </row>
    <row r="16105" spans="5:5" x14ac:dyDescent="0.25">
      <c r="E16105" t="s">
        <v>15618</v>
      </c>
    </row>
    <row r="16106" spans="5:5" x14ac:dyDescent="0.25">
      <c r="E16106" t="s">
        <v>15619</v>
      </c>
    </row>
    <row r="16107" spans="5:5" x14ac:dyDescent="0.25">
      <c r="E16107" t="s">
        <v>15620</v>
      </c>
    </row>
    <row r="16108" spans="5:5" x14ac:dyDescent="0.25">
      <c r="E16108" t="s">
        <v>15621</v>
      </c>
    </row>
    <row r="16109" spans="5:5" x14ac:dyDescent="0.25">
      <c r="E16109" t="s">
        <v>15622</v>
      </c>
    </row>
    <row r="16110" spans="5:5" x14ac:dyDescent="0.25">
      <c r="E16110" t="s">
        <v>15623</v>
      </c>
    </row>
    <row r="16111" spans="5:5" x14ac:dyDescent="0.25">
      <c r="E16111" t="s">
        <v>15624</v>
      </c>
    </row>
    <row r="16112" spans="5:5" x14ac:dyDescent="0.25">
      <c r="E16112" t="s">
        <v>15625</v>
      </c>
    </row>
    <row r="16113" spans="5:5" x14ac:dyDescent="0.25">
      <c r="E16113" t="s">
        <v>15626</v>
      </c>
    </row>
    <row r="16114" spans="5:5" x14ac:dyDescent="0.25">
      <c r="E16114" t="s">
        <v>15627</v>
      </c>
    </row>
    <row r="16115" spans="5:5" x14ac:dyDescent="0.25">
      <c r="E16115" t="s">
        <v>15628</v>
      </c>
    </row>
    <row r="16116" spans="5:5" x14ac:dyDescent="0.25">
      <c r="E16116" t="s">
        <v>15629</v>
      </c>
    </row>
    <row r="16117" spans="5:5" x14ac:dyDescent="0.25">
      <c r="E16117" t="s">
        <v>15630</v>
      </c>
    </row>
    <row r="16118" spans="5:5" x14ac:dyDescent="0.25">
      <c r="E16118" t="s">
        <v>15631</v>
      </c>
    </row>
    <row r="16119" spans="5:5" x14ac:dyDescent="0.25">
      <c r="E16119" t="s">
        <v>15632</v>
      </c>
    </row>
    <row r="16120" spans="5:5" x14ac:dyDescent="0.25">
      <c r="E16120" t="s">
        <v>15633</v>
      </c>
    </row>
    <row r="16121" spans="5:5" x14ac:dyDescent="0.25">
      <c r="E16121" t="s">
        <v>15634</v>
      </c>
    </row>
    <row r="16122" spans="5:5" x14ac:dyDescent="0.25">
      <c r="E16122" t="s">
        <v>15635</v>
      </c>
    </row>
    <row r="16123" spans="5:5" x14ac:dyDescent="0.25">
      <c r="E16123" t="s">
        <v>15636</v>
      </c>
    </row>
    <row r="16124" spans="5:5" x14ac:dyDescent="0.25">
      <c r="E16124" t="s">
        <v>15637</v>
      </c>
    </row>
    <row r="16125" spans="5:5" x14ac:dyDescent="0.25">
      <c r="E16125" t="s">
        <v>15638</v>
      </c>
    </row>
    <row r="16126" spans="5:5" x14ac:dyDescent="0.25">
      <c r="E16126" t="s">
        <v>15639</v>
      </c>
    </row>
    <row r="16127" spans="5:5" x14ac:dyDescent="0.25">
      <c r="E16127" t="s">
        <v>15640</v>
      </c>
    </row>
    <row r="16128" spans="5:5" x14ac:dyDescent="0.25">
      <c r="E16128" t="s">
        <v>15641</v>
      </c>
    </row>
    <row r="16129" spans="5:5" x14ac:dyDescent="0.25">
      <c r="E16129" t="s">
        <v>15642</v>
      </c>
    </row>
    <row r="16130" spans="5:5" x14ac:dyDescent="0.25">
      <c r="E16130" t="s">
        <v>15643</v>
      </c>
    </row>
    <row r="16131" spans="5:5" x14ac:dyDescent="0.25">
      <c r="E16131" t="s">
        <v>15644</v>
      </c>
    </row>
    <row r="16132" spans="5:5" x14ac:dyDescent="0.25">
      <c r="E16132" t="s">
        <v>15645</v>
      </c>
    </row>
    <row r="16133" spans="5:5" x14ac:dyDescent="0.25">
      <c r="E16133" t="s">
        <v>15646</v>
      </c>
    </row>
    <row r="16134" spans="5:5" x14ac:dyDescent="0.25">
      <c r="E16134" t="s">
        <v>15647</v>
      </c>
    </row>
    <row r="16135" spans="5:5" x14ac:dyDescent="0.25">
      <c r="E16135" t="s">
        <v>15648</v>
      </c>
    </row>
    <row r="16136" spans="5:5" x14ac:dyDescent="0.25">
      <c r="E16136" t="s">
        <v>15649</v>
      </c>
    </row>
    <row r="16137" spans="5:5" x14ac:dyDescent="0.25">
      <c r="E16137" t="s">
        <v>15650</v>
      </c>
    </row>
    <row r="16138" spans="5:5" x14ac:dyDescent="0.25">
      <c r="E16138" t="s">
        <v>15651</v>
      </c>
    </row>
    <row r="16139" spans="5:5" x14ac:dyDescent="0.25">
      <c r="E16139" t="s">
        <v>15652</v>
      </c>
    </row>
    <row r="16140" spans="5:5" x14ac:dyDescent="0.25">
      <c r="E16140" t="s">
        <v>15653</v>
      </c>
    </row>
    <row r="16141" spans="5:5" x14ac:dyDescent="0.25">
      <c r="E16141" t="s">
        <v>15654</v>
      </c>
    </row>
    <row r="16142" spans="5:5" x14ac:dyDescent="0.25">
      <c r="E16142" t="s">
        <v>15655</v>
      </c>
    </row>
    <row r="16143" spans="5:5" x14ac:dyDescent="0.25">
      <c r="E16143" t="s">
        <v>15656</v>
      </c>
    </row>
    <row r="16144" spans="5:5" x14ac:dyDescent="0.25">
      <c r="E16144" t="s">
        <v>15657</v>
      </c>
    </row>
    <row r="16145" spans="5:5" x14ac:dyDescent="0.25">
      <c r="E16145" t="s">
        <v>15658</v>
      </c>
    </row>
    <row r="16146" spans="5:5" x14ac:dyDescent="0.25">
      <c r="E16146" t="s">
        <v>15659</v>
      </c>
    </row>
    <row r="16147" spans="5:5" x14ac:dyDescent="0.25">
      <c r="E16147" t="s">
        <v>15660</v>
      </c>
    </row>
    <row r="16148" spans="5:5" x14ac:dyDescent="0.25">
      <c r="E16148" t="s">
        <v>15661</v>
      </c>
    </row>
    <row r="16149" spans="5:5" x14ac:dyDescent="0.25">
      <c r="E16149" t="s">
        <v>15662</v>
      </c>
    </row>
    <row r="16150" spans="5:5" x14ac:dyDescent="0.25">
      <c r="E16150" t="s">
        <v>15663</v>
      </c>
    </row>
    <row r="16151" spans="5:5" x14ac:dyDescent="0.25">
      <c r="E16151" t="s">
        <v>15664</v>
      </c>
    </row>
    <row r="16152" spans="5:5" x14ac:dyDescent="0.25">
      <c r="E16152" t="s">
        <v>15665</v>
      </c>
    </row>
    <row r="16153" spans="5:5" x14ac:dyDescent="0.25">
      <c r="E16153" t="s">
        <v>15666</v>
      </c>
    </row>
    <row r="16154" spans="5:5" x14ac:dyDescent="0.25">
      <c r="E16154" t="s">
        <v>15667</v>
      </c>
    </row>
    <row r="16155" spans="5:5" x14ac:dyDescent="0.25">
      <c r="E16155" t="s">
        <v>15668</v>
      </c>
    </row>
    <row r="16156" spans="5:5" x14ac:dyDescent="0.25">
      <c r="E16156" t="s">
        <v>15669</v>
      </c>
    </row>
    <row r="16157" spans="5:5" x14ac:dyDescent="0.25">
      <c r="E16157" t="s">
        <v>15670</v>
      </c>
    </row>
    <row r="16158" spans="5:5" x14ac:dyDescent="0.25">
      <c r="E16158" t="s">
        <v>15671</v>
      </c>
    </row>
    <row r="16159" spans="5:5" x14ac:dyDescent="0.25">
      <c r="E16159" t="s">
        <v>15672</v>
      </c>
    </row>
    <row r="16160" spans="5:5" x14ac:dyDescent="0.25">
      <c r="E16160" t="s">
        <v>15673</v>
      </c>
    </row>
    <row r="16161" spans="5:5" x14ac:dyDescent="0.25">
      <c r="E16161" t="s">
        <v>15674</v>
      </c>
    </row>
    <row r="16162" spans="5:5" x14ac:dyDescent="0.25">
      <c r="E16162" t="s">
        <v>15675</v>
      </c>
    </row>
    <row r="16163" spans="5:5" x14ac:dyDescent="0.25">
      <c r="E16163" t="s">
        <v>15676</v>
      </c>
    </row>
    <row r="16164" spans="5:5" x14ac:dyDescent="0.25">
      <c r="E16164" t="s">
        <v>15677</v>
      </c>
    </row>
    <row r="16165" spans="5:5" x14ac:dyDescent="0.25">
      <c r="E16165" t="s">
        <v>15678</v>
      </c>
    </row>
    <row r="16166" spans="5:5" x14ac:dyDescent="0.25">
      <c r="E16166" t="s">
        <v>15679</v>
      </c>
    </row>
    <row r="16167" spans="5:5" x14ac:dyDescent="0.25">
      <c r="E16167" t="s">
        <v>15680</v>
      </c>
    </row>
    <row r="16168" spans="5:5" x14ac:dyDescent="0.25">
      <c r="E16168" t="s">
        <v>15681</v>
      </c>
    </row>
    <row r="16169" spans="5:5" x14ac:dyDescent="0.25">
      <c r="E16169" t="s">
        <v>15682</v>
      </c>
    </row>
    <row r="16170" spans="5:5" x14ac:dyDescent="0.25">
      <c r="E16170" t="s">
        <v>15683</v>
      </c>
    </row>
    <row r="16171" spans="5:5" x14ac:dyDescent="0.25">
      <c r="E16171" t="s">
        <v>15684</v>
      </c>
    </row>
    <row r="16172" spans="5:5" x14ac:dyDescent="0.25">
      <c r="E16172" t="s">
        <v>15685</v>
      </c>
    </row>
    <row r="16173" spans="5:5" x14ac:dyDescent="0.25">
      <c r="E16173" t="s">
        <v>15686</v>
      </c>
    </row>
    <row r="16174" spans="5:5" x14ac:dyDescent="0.25">
      <c r="E16174" t="s">
        <v>15687</v>
      </c>
    </row>
    <row r="16175" spans="5:5" x14ac:dyDescent="0.25">
      <c r="E16175" t="s">
        <v>15688</v>
      </c>
    </row>
    <row r="16176" spans="5:5" x14ac:dyDescent="0.25">
      <c r="E16176" t="s">
        <v>15689</v>
      </c>
    </row>
    <row r="16177" spans="5:5" x14ac:dyDescent="0.25">
      <c r="E16177" t="s">
        <v>15690</v>
      </c>
    </row>
    <row r="16178" spans="5:5" x14ac:dyDescent="0.25">
      <c r="E16178" t="s">
        <v>15691</v>
      </c>
    </row>
    <row r="16179" spans="5:5" x14ac:dyDescent="0.25">
      <c r="E16179" t="s">
        <v>15692</v>
      </c>
    </row>
    <row r="16180" spans="5:5" x14ac:dyDescent="0.25">
      <c r="E16180" t="s">
        <v>15693</v>
      </c>
    </row>
    <row r="16181" spans="5:5" x14ac:dyDescent="0.25">
      <c r="E16181" t="s">
        <v>15694</v>
      </c>
    </row>
    <row r="16182" spans="5:5" x14ac:dyDescent="0.25">
      <c r="E16182" t="s">
        <v>15695</v>
      </c>
    </row>
    <row r="16183" spans="5:5" x14ac:dyDescent="0.25">
      <c r="E16183" t="s">
        <v>15696</v>
      </c>
    </row>
    <row r="16184" spans="5:5" x14ac:dyDescent="0.25">
      <c r="E16184" t="s">
        <v>15697</v>
      </c>
    </row>
    <row r="16185" spans="5:5" x14ac:dyDescent="0.25">
      <c r="E16185" t="s">
        <v>15698</v>
      </c>
    </row>
    <row r="16186" spans="5:5" x14ac:dyDescent="0.25">
      <c r="E16186" t="s">
        <v>15699</v>
      </c>
    </row>
    <row r="16187" spans="5:5" x14ac:dyDescent="0.25">
      <c r="E16187" t="s">
        <v>15700</v>
      </c>
    </row>
    <row r="16188" spans="5:5" x14ac:dyDescent="0.25">
      <c r="E16188" t="s">
        <v>15701</v>
      </c>
    </row>
    <row r="16189" spans="5:5" x14ac:dyDescent="0.25">
      <c r="E16189" t="s">
        <v>15702</v>
      </c>
    </row>
    <row r="16190" spans="5:5" x14ac:dyDescent="0.25">
      <c r="E16190" t="s">
        <v>15703</v>
      </c>
    </row>
    <row r="16191" spans="5:5" x14ac:dyDescent="0.25">
      <c r="E16191" t="s">
        <v>15704</v>
      </c>
    </row>
    <row r="16192" spans="5:5" x14ac:dyDescent="0.25">
      <c r="E16192" t="s">
        <v>15705</v>
      </c>
    </row>
    <row r="16193" spans="5:5" x14ac:dyDescent="0.25">
      <c r="E16193" t="s">
        <v>15706</v>
      </c>
    </row>
    <row r="16194" spans="5:5" x14ac:dyDescent="0.25">
      <c r="E16194" t="s">
        <v>15707</v>
      </c>
    </row>
    <row r="16195" spans="5:5" x14ac:dyDescent="0.25">
      <c r="E16195" t="s">
        <v>15708</v>
      </c>
    </row>
    <row r="16196" spans="5:5" x14ac:dyDescent="0.25">
      <c r="E16196" t="s">
        <v>15709</v>
      </c>
    </row>
    <row r="16197" spans="5:5" x14ac:dyDescent="0.25">
      <c r="E16197" t="s">
        <v>15710</v>
      </c>
    </row>
    <row r="16198" spans="5:5" x14ac:dyDescent="0.25">
      <c r="E16198" t="s">
        <v>15711</v>
      </c>
    </row>
    <row r="16199" spans="5:5" x14ac:dyDescent="0.25">
      <c r="E16199" t="s">
        <v>15712</v>
      </c>
    </row>
    <row r="16200" spans="5:5" x14ac:dyDescent="0.25">
      <c r="E16200" t="s">
        <v>15713</v>
      </c>
    </row>
    <row r="16201" spans="5:5" x14ac:dyDescent="0.25">
      <c r="E16201" t="s">
        <v>15714</v>
      </c>
    </row>
    <row r="16202" spans="5:5" x14ac:dyDescent="0.25">
      <c r="E16202" t="s">
        <v>15715</v>
      </c>
    </row>
    <row r="16203" spans="5:5" x14ac:dyDescent="0.25">
      <c r="E16203" t="s">
        <v>15716</v>
      </c>
    </row>
    <row r="16204" spans="5:5" x14ac:dyDescent="0.25">
      <c r="E16204" t="s">
        <v>15717</v>
      </c>
    </row>
    <row r="16205" spans="5:5" x14ac:dyDescent="0.25">
      <c r="E16205" t="s">
        <v>15718</v>
      </c>
    </row>
    <row r="16206" spans="5:5" x14ac:dyDescent="0.25">
      <c r="E16206" t="s">
        <v>15719</v>
      </c>
    </row>
    <row r="16207" spans="5:5" x14ac:dyDescent="0.25">
      <c r="E16207" t="s">
        <v>15720</v>
      </c>
    </row>
    <row r="16208" spans="5:5" x14ac:dyDescent="0.25">
      <c r="E16208" t="s">
        <v>15721</v>
      </c>
    </row>
    <row r="16209" spans="5:5" x14ac:dyDescent="0.25">
      <c r="E16209" t="s">
        <v>15722</v>
      </c>
    </row>
    <row r="16210" spans="5:5" x14ac:dyDescent="0.25">
      <c r="E16210" t="s">
        <v>15723</v>
      </c>
    </row>
    <row r="16211" spans="5:5" x14ac:dyDescent="0.25">
      <c r="E16211" t="s">
        <v>15724</v>
      </c>
    </row>
    <row r="16212" spans="5:5" x14ac:dyDescent="0.25">
      <c r="E16212" t="s">
        <v>15725</v>
      </c>
    </row>
    <row r="16213" spans="5:5" x14ac:dyDescent="0.25">
      <c r="E16213" t="s">
        <v>15726</v>
      </c>
    </row>
    <row r="16214" spans="5:5" x14ac:dyDescent="0.25">
      <c r="E16214" t="s">
        <v>15727</v>
      </c>
    </row>
    <row r="16215" spans="5:5" x14ac:dyDescent="0.25">
      <c r="E16215" t="s">
        <v>15728</v>
      </c>
    </row>
    <row r="16216" spans="5:5" x14ac:dyDescent="0.25">
      <c r="E16216" t="s">
        <v>15729</v>
      </c>
    </row>
    <row r="16217" spans="5:5" x14ac:dyDescent="0.25">
      <c r="E16217" t="s">
        <v>15730</v>
      </c>
    </row>
    <row r="16218" spans="5:5" x14ac:dyDescent="0.25">
      <c r="E16218" t="s">
        <v>15731</v>
      </c>
    </row>
    <row r="16219" spans="5:5" x14ac:dyDescent="0.25">
      <c r="E16219" t="s">
        <v>15732</v>
      </c>
    </row>
    <row r="16220" spans="5:5" x14ac:dyDescent="0.25">
      <c r="E16220" t="s">
        <v>15733</v>
      </c>
    </row>
    <row r="16221" spans="5:5" x14ac:dyDescent="0.25">
      <c r="E16221" t="s">
        <v>15734</v>
      </c>
    </row>
    <row r="16222" spans="5:5" x14ac:dyDescent="0.25">
      <c r="E16222" t="s">
        <v>15735</v>
      </c>
    </row>
    <row r="16223" spans="5:5" x14ac:dyDescent="0.25">
      <c r="E16223" t="s">
        <v>15736</v>
      </c>
    </row>
    <row r="16224" spans="5:5" x14ac:dyDescent="0.25">
      <c r="E16224" t="s">
        <v>15737</v>
      </c>
    </row>
    <row r="16225" spans="5:5" x14ac:dyDescent="0.25">
      <c r="E16225" t="s">
        <v>15738</v>
      </c>
    </row>
    <row r="16226" spans="5:5" x14ac:dyDescent="0.25">
      <c r="E16226" t="s">
        <v>15739</v>
      </c>
    </row>
    <row r="16227" spans="5:5" x14ac:dyDescent="0.25">
      <c r="E16227" t="s">
        <v>15740</v>
      </c>
    </row>
    <row r="16228" spans="5:5" x14ac:dyDescent="0.25">
      <c r="E16228" t="s">
        <v>15741</v>
      </c>
    </row>
    <row r="16229" spans="5:5" x14ac:dyDescent="0.25">
      <c r="E16229" t="s">
        <v>15742</v>
      </c>
    </row>
    <row r="16230" spans="5:5" x14ac:dyDescent="0.25">
      <c r="E16230" t="s">
        <v>15743</v>
      </c>
    </row>
    <row r="16231" spans="5:5" x14ac:dyDescent="0.25">
      <c r="E16231" t="s">
        <v>15744</v>
      </c>
    </row>
    <row r="16232" spans="5:5" x14ac:dyDescent="0.25">
      <c r="E16232" t="s">
        <v>15745</v>
      </c>
    </row>
    <row r="16233" spans="5:5" x14ac:dyDescent="0.25">
      <c r="E16233" t="s">
        <v>15746</v>
      </c>
    </row>
    <row r="16234" spans="5:5" x14ac:dyDescent="0.25">
      <c r="E16234" t="s">
        <v>15747</v>
      </c>
    </row>
    <row r="16235" spans="5:5" x14ac:dyDescent="0.25">
      <c r="E16235" t="s">
        <v>15748</v>
      </c>
    </row>
    <row r="16236" spans="5:5" x14ac:dyDescent="0.25">
      <c r="E16236" t="s">
        <v>15749</v>
      </c>
    </row>
    <row r="16237" spans="5:5" x14ac:dyDescent="0.25">
      <c r="E16237" t="s">
        <v>15750</v>
      </c>
    </row>
    <row r="16238" spans="5:5" x14ac:dyDescent="0.25">
      <c r="E16238" t="s">
        <v>15751</v>
      </c>
    </row>
    <row r="16239" spans="5:5" x14ac:dyDescent="0.25">
      <c r="E16239" t="s">
        <v>15752</v>
      </c>
    </row>
    <row r="16240" spans="5:5" x14ac:dyDescent="0.25">
      <c r="E16240" t="s">
        <v>15753</v>
      </c>
    </row>
    <row r="16241" spans="5:5" x14ac:dyDescent="0.25">
      <c r="E16241" t="s">
        <v>15754</v>
      </c>
    </row>
    <row r="16242" spans="5:5" x14ac:dyDescent="0.25">
      <c r="E16242" t="s">
        <v>15755</v>
      </c>
    </row>
    <row r="16243" spans="5:5" x14ac:dyDescent="0.25">
      <c r="E16243" t="s">
        <v>15756</v>
      </c>
    </row>
    <row r="16244" spans="5:5" x14ac:dyDescent="0.25">
      <c r="E16244" t="s">
        <v>15757</v>
      </c>
    </row>
    <row r="16245" spans="5:5" x14ac:dyDescent="0.25">
      <c r="E16245" t="s">
        <v>15758</v>
      </c>
    </row>
    <row r="16246" spans="5:5" x14ac:dyDescent="0.25">
      <c r="E16246" t="s">
        <v>15759</v>
      </c>
    </row>
    <row r="16247" spans="5:5" x14ac:dyDescent="0.25">
      <c r="E16247" t="s">
        <v>15760</v>
      </c>
    </row>
    <row r="16248" spans="5:5" x14ac:dyDescent="0.25">
      <c r="E16248" t="s">
        <v>15761</v>
      </c>
    </row>
    <row r="16249" spans="5:5" x14ac:dyDescent="0.25">
      <c r="E16249" t="s">
        <v>15762</v>
      </c>
    </row>
    <row r="16250" spans="5:5" x14ac:dyDescent="0.25">
      <c r="E16250" t="s">
        <v>15763</v>
      </c>
    </row>
    <row r="16251" spans="5:5" x14ac:dyDescent="0.25">
      <c r="E16251" t="s">
        <v>15764</v>
      </c>
    </row>
    <row r="16252" spans="5:5" x14ac:dyDescent="0.25">
      <c r="E16252" t="s">
        <v>15765</v>
      </c>
    </row>
    <row r="16253" spans="5:5" x14ac:dyDescent="0.25">
      <c r="E16253" t="s">
        <v>15766</v>
      </c>
    </row>
    <row r="16254" spans="5:5" x14ac:dyDescent="0.25">
      <c r="E16254" t="s">
        <v>15767</v>
      </c>
    </row>
    <row r="16255" spans="5:5" x14ac:dyDescent="0.25">
      <c r="E16255" t="s">
        <v>15768</v>
      </c>
    </row>
    <row r="16256" spans="5:5" x14ac:dyDescent="0.25">
      <c r="E16256" t="s">
        <v>15769</v>
      </c>
    </row>
    <row r="16257" spans="5:5" x14ac:dyDescent="0.25">
      <c r="E16257" t="s">
        <v>15770</v>
      </c>
    </row>
    <row r="16258" spans="5:5" x14ac:dyDescent="0.25">
      <c r="E16258" t="s">
        <v>15771</v>
      </c>
    </row>
    <row r="16259" spans="5:5" x14ac:dyDescent="0.25">
      <c r="E16259" t="s">
        <v>15772</v>
      </c>
    </row>
    <row r="16260" spans="5:5" x14ac:dyDescent="0.25">
      <c r="E16260" t="s">
        <v>15773</v>
      </c>
    </row>
    <row r="16261" spans="5:5" x14ac:dyDescent="0.25">
      <c r="E16261" t="s">
        <v>15774</v>
      </c>
    </row>
    <row r="16262" spans="5:5" x14ac:dyDescent="0.25">
      <c r="E16262" t="s">
        <v>15775</v>
      </c>
    </row>
    <row r="16263" spans="5:5" x14ac:dyDescent="0.25">
      <c r="E16263" t="s">
        <v>15776</v>
      </c>
    </row>
    <row r="16264" spans="5:5" x14ac:dyDescent="0.25">
      <c r="E16264" t="s">
        <v>15777</v>
      </c>
    </row>
    <row r="16265" spans="5:5" x14ac:dyDescent="0.25">
      <c r="E16265" t="s">
        <v>15778</v>
      </c>
    </row>
    <row r="16266" spans="5:5" x14ac:dyDescent="0.25">
      <c r="E16266" t="s">
        <v>15779</v>
      </c>
    </row>
    <row r="16267" spans="5:5" x14ac:dyDescent="0.25">
      <c r="E16267" t="s">
        <v>15780</v>
      </c>
    </row>
    <row r="16268" spans="5:5" x14ac:dyDescent="0.25">
      <c r="E16268" t="s">
        <v>15781</v>
      </c>
    </row>
    <row r="16269" spans="5:5" x14ac:dyDescent="0.25">
      <c r="E16269" t="s">
        <v>15782</v>
      </c>
    </row>
    <row r="16270" spans="5:5" x14ac:dyDescent="0.25">
      <c r="E16270" t="s">
        <v>15783</v>
      </c>
    </row>
    <row r="16271" spans="5:5" x14ac:dyDescent="0.25">
      <c r="E16271" t="s">
        <v>15784</v>
      </c>
    </row>
    <row r="16272" spans="5:5" x14ac:dyDescent="0.25">
      <c r="E16272" t="s">
        <v>15785</v>
      </c>
    </row>
    <row r="16273" spans="5:5" x14ac:dyDescent="0.25">
      <c r="E16273" t="s">
        <v>15786</v>
      </c>
    </row>
    <row r="16274" spans="5:5" x14ac:dyDescent="0.25">
      <c r="E16274" t="s">
        <v>15787</v>
      </c>
    </row>
    <row r="16275" spans="5:5" x14ac:dyDescent="0.25">
      <c r="E16275" t="s">
        <v>15788</v>
      </c>
    </row>
    <row r="16276" spans="5:5" x14ac:dyDescent="0.25">
      <c r="E16276" t="s">
        <v>15789</v>
      </c>
    </row>
    <row r="16277" spans="5:5" x14ac:dyDescent="0.25">
      <c r="E16277" t="s">
        <v>15790</v>
      </c>
    </row>
    <row r="16278" spans="5:5" x14ac:dyDescent="0.25">
      <c r="E16278" t="s">
        <v>15791</v>
      </c>
    </row>
    <row r="16279" spans="5:5" x14ac:dyDescent="0.25">
      <c r="E16279" t="s">
        <v>15792</v>
      </c>
    </row>
    <row r="16280" spans="5:5" x14ac:dyDescent="0.25">
      <c r="E16280" t="s">
        <v>15793</v>
      </c>
    </row>
    <row r="16281" spans="5:5" x14ac:dyDescent="0.25">
      <c r="E16281" t="s">
        <v>15794</v>
      </c>
    </row>
    <row r="16282" spans="5:5" x14ac:dyDescent="0.25">
      <c r="E16282" t="s">
        <v>15795</v>
      </c>
    </row>
    <row r="16283" spans="5:5" x14ac:dyDescent="0.25">
      <c r="E16283" t="s">
        <v>15796</v>
      </c>
    </row>
    <row r="16284" spans="5:5" x14ac:dyDescent="0.25">
      <c r="E16284" t="s">
        <v>15797</v>
      </c>
    </row>
    <row r="16285" spans="5:5" x14ac:dyDescent="0.25">
      <c r="E16285" t="s">
        <v>15798</v>
      </c>
    </row>
    <row r="16286" spans="5:5" x14ac:dyDescent="0.25">
      <c r="E16286" t="s">
        <v>15799</v>
      </c>
    </row>
    <row r="16287" spans="5:5" x14ac:dyDescent="0.25">
      <c r="E16287" t="s">
        <v>15800</v>
      </c>
    </row>
    <row r="16288" spans="5:5" x14ac:dyDescent="0.25">
      <c r="E16288" t="s">
        <v>15801</v>
      </c>
    </row>
    <row r="16289" spans="5:5" x14ac:dyDescent="0.25">
      <c r="E16289" t="s">
        <v>15802</v>
      </c>
    </row>
    <row r="16290" spans="5:5" x14ac:dyDescent="0.25">
      <c r="E16290" t="s">
        <v>15803</v>
      </c>
    </row>
    <row r="16291" spans="5:5" x14ac:dyDescent="0.25">
      <c r="E16291" t="s">
        <v>15804</v>
      </c>
    </row>
    <row r="16292" spans="5:5" x14ac:dyDescent="0.25">
      <c r="E16292" t="s">
        <v>15805</v>
      </c>
    </row>
    <row r="16293" spans="5:5" x14ac:dyDescent="0.25">
      <c r="E16293" t="s">
        <v>15806</v>
      </c>
    </row>
    <row r="16294" spans="5:5" x14ac:dyDescent="0.25">
      <c r="E16294" t="s">
        <v>15807</v>
      </c>
    </row>
    <row r="16295" spans="5:5" x14ac:dyDescent="0.25">
      <c r="E16295" t="s">
        <v>15808</v>
      </c>
    </row>
    <row r="16296" spans="5:5" x14ac:dyDescent="0.25">
      <c r="E16296" t="s">
        <v>15809</v>
      </c>
    </row>
    <row r="16297" spans="5:5" x14ac:dyDescent="0.25">
      <c r="E16297" t="s">
        <v>15810</v>
      </c>
    </row>
    <row r="16298" spans="5:5" x14ac:dyDescent="0.25">
      <c r="E16298" t="s">
        <v>15811</v>
      </c>
    </row>
    <row r="16299" spans="5:5" x14ac:dyDescent="0.25">
      <c r="E16299" t="s">
        <v>15812</v>
      </c>
    </row>
    <row r="16300" spans="5:5" x14ac:dyDescent="0.25">
      <c r="E16300" t="s">
        <v>15813</v>
      </c>
    </row>
    <row r="16301" spans="5:5" x14ac:dyDescent="0.25">
      <c r="E16301" t="s">
        <v>15814</v>
      </c>
    </row>
    <row r="16302" spans="5:5" x14ac:dyDescent="0.25">
      <c r="E16302" t="s">
        <v>15815</v>
      </c>
    </row>
    <row r="16303" spans="5:5" x14ac:dyDescent="0.25">
      <c r="E16303" t="s">
        <v>15816</v>
      </c>
    </row>
    <row r="16304" spans="5:5" x14ac:dyDescent="0.25">
      <c r="E16304" t="s">
        <v>15817</v>
      </c>
    </row>
    <row r="16305" spans="5:5" x14ac:dyDescent="0.25">
      <c r="E16305" t="s">
        <v>15818</v>
      </c>
    </row>
    <row r="16306" spans="5:5" x14ac:dyDescent="0.25">
      <c r="E16306" t="s">
        <v>15819</v>
      </c>
    </row>
    <row r="16307" spans="5:5" x14ac:dyDescent="0.25">
      <c r="E16307" t="s">
        <v>15820</v>
      </c>
    </row>
    <row r="16308" spans="5:5" x14ac:dyDescent="0.25">
      <c r="E16308" t="s">
        <v>15821</v>
      </c>
    </row>
    <row r="16309" spans="5:5" x14ac:dyDescent="0.25">
      <c r="E16309" t="s">
        <v>15822</v>
      </c>
    </row>
    <row r="16310" spans="5:5" x14ac:dyDescent="0.25">
      <c r="E16310" t="s">
        <v>15823</v>
      </c>
    </row>
    <row r="16311" spans="5:5" x14ac:dyDescent="0.25">
      <c r="E16311" t="s">
        <v>15824</v>
      </c>
    </row>
    <row r="16312" spans="5:5" x14ac:dyDescent="0.25">
      <c r="E16312" t="s">
        <v>15825</v>
      </c>
    </row>
    <row r="16313" spans="5:5" x14ac:dyDescent="0.25">
      <c r="E16313" t="s">
        <v>15826</v>
      </c>
    </row>
    <row r="16314" spans="5:5" x14ac:dyDescent="0.25">
      <c r="E16314" t="s">
        <v>15827</v>
      </c>
    </row>
    <row r="16315" spans="5:5" x14ac:dyDescent="0.25">
      <c r="E16315" t="s">
        <v>15828</v>
      </c>
    </row>
    <row r="16316" spans="5:5" x14ac:dyDescent="0.25">
      <c r="E16316" t="s">
        <v>15829</v>
      </c>
    </row>
    <row r="16317" spans="5:5" x14ac:dyDescent="0.25">
      <c r="E16317" t="s">
        <v>15830</v>
      </c>
    </row>
    <row r="16318" spans="5:5" x14ac:dyDescent="0.25">
      <c r="E16318" t="s">
        <v>15831</v>
      </c>
    </row>
    <row r="16319" spans="5:5" x14ac:dyDescent="0.25">
      <c r="E16319" t="s">
        <v>15832</v>
      </c>
    </row>
    <row r="16320" spans="5:5" x14ac:dyDescent="0.25">
      <c r="E16320" t="s">
        <v>15833</v>
      </c>
    </row>
    <row r="16321" spans="5:5" x14ac:dyDescent="0.25">
      <c r="E16321" t="s">
        <v>15834</v>
      </c>
    </row>
    <row r="16322" spans="5:5" x14ac:dyDescent="0.25">
      <c r="E16322" t="s">
        <v>15835</v>
      </c>
    </row>
    <row r="16323" spans="5:5" x14ac:dyDescent="0.25">
      <c r="E16323" t="s">
        <v>15836</v>
      </c>
    </row>
    <row r="16324" spans="5:5" x14ac:dyDescent="0.25">
      <c r="E16324" t="s">
        <v>15837</v>
      </c>
    </row>
    <row r="16325" spans="5:5" x14ac:dyDescent="0.25">
      <c r="E16325" t="s">
        <v>15838</v>
      </c>
    </row>
    <row r="16326" spans="5:5" x14ac:dyDescent="0.25">
      <c r="E16326" t="s">
        <v>15839</v>
      </c>
    </row>
    <row r="16327" spans="5:5" x14ac:dyDescent="0.25">
      <c r="E16327" t="s">
        <v>15840</v>
      </c>
    </row>
    <row r="16328" spans="5:5" x14ac:dyDescent="0.25">
      <c r="E16328" t="s">
        <v>15841</v>
      </c>
    </row>
    <row r="16329" spans="5:5" x14ac:dyDescent="0.25">
      <c r="E16329" t="s">
        <v>15842</v>
      </c>
    </row>
    <row r="16330" spans="5:5" x14ac:dyDescent="0.25">
      <c r="E16330" t="s">
        <v>15843</v>
      </c>
    </row>
    <row r="16331" spans="5:5" x14ac:dyDescent="0.25">
      <c r="E16331" t="s">
        <v>15844</v>
      </c>
    </row>
    <row r="16332" spans="5:5" x14ac:dyDescent="0.25">
      <c r="E16332" t="s">
        <v>15845</v>
      </c>
    </row>
    <row r="16333" spans="5:5" x14ac:dyDescent="0.25">
      <c r="E16333" t="s">
        <v>15846</v>
      </c>
    </row>
    <row r="16334" spans="5:5" x14ac:dyDescent="0.25">
      <c r="E16334" t="s">
        <v>15847</v>
      </c>
    </row>
    <row r="16335" spans="5:5" x14ac:dyDescent="0.25">
      <c r="E16335" t="s">
        <v>15848</v>
      </c>
    </row>
    <row r="16336" spans="5:5" x14ac:dyDescent="0.25">
      <c r="E16336" t="s">
        <v>15849</v>
      </c>
    </row>
    <row r="16337" spans="5:5" x14ac:dyDescent="0.25">
      <c r="E16337" t="s">
        <v>15850</v>
      </c>
    </row>
    <row r="16338" spans="5:5" x14ac:dyDescent="0.25">
      <c r="E16338" t="s">
        <v>15851</v>
      </c>
    </row>
    <row r="16339" spans="5:5" x14ac:dyDescent="0.25">
      <c r="E16339" t="s">
        <v>15852</v>
      </c>
    </row>
    <row r="16340" spans="5:5" x14ac:dyDescent="0.25">
      <c r="E16340" t="s">
        <v>15853</v>
      </c>
    </row>
    <row r="16341" spans="5:5" x14ac:dyDescent="0.25">
      <c r="E16341" t="s">
        <v>15854</v>
      </c>
    </row>
    <row r="16342" spans="5:5" x14ac:dyDescent="0.25">
      <c r="E16342" t="s">
        <v>15855</v>
      </c>
    </row>
    <row r="16343" spans="5:5" x14ac:dyDescent="0.25">
      <c r="E16343" t="s">
        <v>15856</v>
      </c>
    </row>
    <row r="16344" spans="5:5" x14ac:dyDescent="0.25">
      <c r="E16344" t="s">
        <v>15857</v>
      </c>
    </row>
    <row r="16345" spans="5:5" x14ac:dyDescent="0.25">
      <c r="E16345" t="s">
        <v>15858</v>
      </c>
    </row>
    <row r="16346" spans="5:5" x14ac:dyDescent="0.25">
      <c r="E16346" t="s">
        <v>15859</v>
      </c>
    </row>
    <row r="16347" spans="5:5" x14ac:dyDescent="0.25">
      <c r="E16347" t="s">
        <v>15860</v>
      </c>
    </row>
    <row r="16348" spans="5:5" x14ac:dyDescent="0.25">
      <c r="E16348" t="s">
        <v>15861</v>
      </c>
    </row>
    <row r="16349" spans="5:5" x14ac:dyDescent="0.25">
      <c r="E16349" t="s">
        <v>15862</v>
      </c>
    </row>
    <row r="16350" spans="5:5" x14ac:dyDescent="0.25">
      <c r="E16350" t="s">
        <v>15863</v>
      </c>
    </row>
    <row r="16351" spans="5:5" x14ac:dyDescent="0.25">
      <c r="E16351" t="s">
        <v>15864</v>
      </c>
    </row>
    <row r="16352" spans="5:5" x14ac:dyDescent="0.25">
      <c r="E16352" t="s">
        <v>15865</v>
      </c>
    </row>
    <row r="16353" spans="5:5" x14ac:dyDescent="0.25">
      <c r="E16353" t="s">
        <v>15866</v>
      </c>
    </row>
    <row r="16354" spans="5:5" x14ac:dyDescent="0.25">
      <c r="E16354" t="s">
        <v>15867</v>
      </c>
    </row>
    <row r="16355" spans="5:5" x14ac:dyDescent="0.25">
      <c r="E16355" t="s">
        <v>15868</v>
      </c>
    </row>
    <row r="16356" spans="5:5" x14ac:dyDescent="0.25">
      <c r="E16356" t="s">
        <v>15869</v>
      </c>
    </row>
    <row r="16357" spans="5:5" x14ac:dyDescent="0.25">
      <c r="E16357" t="s">
        <v>15870</v>
      </c>
    </row>
    <row r="16358" spans="5:5" x14ac:dyDescent="0.25">
      <c r="E16358" t="s">
        <v>15871</v>
      </c>
    </row>
    <row r="16359" spans="5:5" x14ac:dyDescent="0.25">
      <c r="E16359" t="s">
        <v>15872</v>
      </c>
    </row>
    <row r="16360" spans="5:5" x14ac:dyDescent="0.25">
      <c r="E16360" t="s">
        <v>15873</v>
      </c>
    </row>
    <row r="16361" spans="5:5" x14ac:dyDescent="0.25">
      <c r="E16361" t="s">
        <v>15874</v>
      </c>
    </row>
    <row r="16362" spans="5:5" x14ac:dyDescent="0.25">
      <c r="E16362" t="s">
        <v>15875</v>
      </c>
    </row>
    <row r="16363" spans="5:5" x14ac:dyDescent="0.25">
      <c r="E16363" t="s">
        <v>15876</v>
      </c>
    </row>
    <row r="16364" spans="5:5" x14ac:dyDescent="0.25">
      <c r="E16364" t="s">
        <v>15877</v>
      </c>
    </row>
    <row r="16365" spans="5:5" x14ac:dyDescent="0.25">
      <c r="E16365" t="s">
        <v>15878</v>
      </c>
    </row>
    <row r="16366" spans="5:5" x14ac:dyDescent="0.25">
      <c r="E16366" t="s">
        <v>15879</v>
      </c>
    </row>
    <row r="16367" spans="5:5" x14ac:dyDescent="0.25">
      <c r="E16367" t="s">
        <v>15880</v>
      </c>
    </row>
    <row r="16368" spans="5:5" x14ac:dyDescent="0.25">
      <c r="E16368" t="s">
        <v>15881</v>
      </c>
    </row>
    <row r="16369" spans="5:5" x14ac:dyDescent="0.25">
      <c r="E16369" t="s">
        <v>15882</v>
      </c>
    </row>
    <row r="16370" spans="5:5" x14ac:dyDescent="0.25">
      <c r="E16370" t="s">
        <v>15883</v>
      </c>
    </row>
    <row r="16371" spans="5:5" x14ac:dyDescent="0.25">
      <c r="E16371" t="s">
        <v>15884</v>
      </c>
    </row>
    <row r="16372" spans="5:5" x14ac:dyDescent="0.25">
      <c r="E16372" t="s">
        <v>15885</v>
      </c>
    </row>
    <row r="16373" spans="5:5" x14ac:dyDescent="0.25">
      <c r="E16373" t="s">
        <v>15886</v>
      </c>
    </row>
    <row r="16374" spans="5:5" x14ac:dyDescent="0.25">
      <c r="E16374" t="s">
        <v>15887</v>
      </c>
    </row>
    <row r="16375" spans="5:5" x14ac:dyDescent="0.25">
      <c r="E16375" t="s">
        <v>15888</v>
      </c>
    </row>
    <row r="16376" spans="5:5" x14ac:dyDescent="0.25">
      <c r="E16376" t="s">
        <v>15889</v>
      </c>
    </row>
    <row r="16377" spans="5:5" x14ac:dyDescent="0.25">
      <c r="E16377" t="s">
        <v>15890</v>
      </c>
    </row>
    <row r="16378" spans="5:5" x14ac:dyDescent="0.25">
      <c r="E16378" t="s">
        <v>15891</v>
      </c>
    </row>
    <row r="16379" spans="5:5" x14ac:dyDescent="0.25">
      <c r="E16379" t="s">
        <v>15892</v>
      </c>
    </row>
    <row r="16380" spans="5:5" x14ac:dyDescent="0.25">
      <c r="E16380" t="s">
        <v>15893</v>
      </c>
    </row>
    <row r="16381" spans="5:5" x14ac:dyDescent="0.25">
      <c r="E16381" t="s">
        <v>15894</v>
      </c>
    </row>
    <row r="16382" spans="5:5" x14ac:dyDescent="0.25">
      <c r="E16382" t="s">
        <v>15895</v>
      </c>
    </row>
    <row r="16383" spans="5:5" x14ac:dyDescent="0.25">
      <c r="E16383" t="s">
        <v>15896</v>
      </c>
    </row>
    <row r="16384" spans="5:5" x14ac:dyDescent="0.25">
      <c r="E16384" t="s">
        <v>15897</v>
      </c>
    </row>
    <row r="16385" spans="5:5" x14ac:dyDescent="0.25">
      <c r="E16385" t="s">
        <v>15898</v>
      </c>
    </row>
    <row r="16386" spans="5:5" x14ac:dyDescent="0.25">
      <c r="E16386" t="s">
        <v>15899</v>
      </c>
    </row>
    <row r="16387" spans="5:5" x14ac:dyDescent="0.25">
      <c r="E16387" t="s">
        <v>15900</v>
      </c>
    </row>
    <row r="16388" spans="5:5" x14ac:dyDescent="0.25">
      <c r="E16388" t="s">
        <v>15901</v>
      </c>
    </row>
    <row r="16389" spans="5:5" x14ac:dyDescent="0.25">
      <c r="E16389" t="s">
        <v>15902</v>
      </c>
    </row>
    <row r="16390" spans="5:5" x14ac:dyDescent="0.25">
      <c r="E16390" t="s">
        <v>15903</v>
      </c>
    </row>
    <row r="16391" spans="5:5" x14ac:dyDescent="0.25">
      <c r="E16391" t="s">
        <v>15904</v>
      </c>
    </row>
    <row r="16392" spans="5:5" x14ac:dyDescent="0.25">
      <c r="E16392" t="s">
        <v>15905</v>
      </c>
    </row>
    <row r="16393" spans="5:5" x14ac:dyDescent="0.25">
      <c r="E16393" t="s">
        <v>15906</v>
      </c>
    </row>
    <row r="16394" spans="5:5" x14ac:dyDescent="0.25">
      <c r="E16394" t="s">
        <v>15907</v>
      </c>
    </row>
    <row r="16395" spans="5:5" x14ac:dyDescent="0.25">
      <c r="E16395" t="s">
        <v>15908</v>
      </c>
    </row>
    <row r="16396" spans="5:5" x14ac:dyDescent="0.25">
      <c r="E16396" t="s">
        <v>15909</v>
      </c>
    </row>
    <row r="16397" spans="5:5" x14ac:dyDescent="0.25">
      <c r="E16397" t="s">
        <v>15910</v>
      </c>
    </row>
    <row r="16398" spans="5:5" x14ac:dyDescent="0.25">
      <c r="E16398" t="s">
        <v>15911</v>
      </c>
    </row>
    <row r="16399" spans="5:5" x14ac:dyDescent="0.25">
      <c r="E16399" t="s">
        <v>15912</v>
      </c>
    </row>
    <row r="16400" spans="5:5" x14ac:dyDescent="0.25">
      <c r="E16400" t="s">
        <v>15913</v>
      </c>
    </row>
    <row r="16401" spans="5:5" x14ac:dyDescent="0.25">
      <c r="E16401" t="s">
        <v>15914</v>
      </c>
    </row>
    <row r="16402" spans="5:5" x14ac:dyDescent="0.25">
      <c r="E16402" t="s">
        <v>15915</v>
      </c>
    </row>
    <row r="16403" spans="5:5" x14ac:dyDescent="0.25">
      <c r="E16403" t="s">
        <v>15916</v>
      </c>
    </row>
    <row r="16404" spans="5:5" x14ac:dyDescent="0.25">
      <c r="E16404" t="s">
        <v>15917</v>
      </c>
    </row>
    <row r="16405" spans="5:5" x14ac:dyDescent="0.25">
      <c r="E16405" t="s">
        <v>15918</v>
      </c>
    </row>
    <row r="16406" spans="5:5" x14ac:dyDescent="0.25">
      <c r="E16406" t="s">
        <v>15919</v>
      </c>
    </row>
    <row r="16407" spans="5:5" x14ac:dyDescent="0.25">
      <c r="E16407" t="s">
        <v>15920</v>
      </c>
    </row>
    <row r="16408" spans="5:5" x14ac:dyDescent="0.25">
      <c r="E16408" t="s">
        <v>15921</v>
      </c>
    </row>
    <row r="16409" spans="5:5" x14ac:dyDescent="0.25">
      <c r="E16409" t="s">
        <v>15922</v>
      </c>
    </row>
    <row r="16410" spans="5:5" x14ac:dyDescent="0.25">
      <c r="E16410" t="s">
        <v>15923</v>
      </c>
    </row>
    <row r="16411" spans="5:5" x14ac:dyDescent="0.25">
      <c r="E16411" t="s">
        <v>15924</v>
      </c>
    </row>
    <row r="16412" spans="5:5" x14ac:dyDescent="0.25">
      <c r="E16412" t="s">
        <v>15925</v>
      </c>
    </row>
    <row r="16413" spans="5:5" x14ac:dyDescent="0.25">
      <c r="E16413" t="s">
        <v>15926</v>
      </c>
    </row>
    <row r="16414" spans="5:5" x14ac:dyDescent="0.25">
      <c r="E16414" t="s">
        <v>15927</v>
      </c>
    </row>
    <row r="16415" spans="5:5" x14ac:dyDescent="0.25">
      <c r="E16415" t="s">
        <v>15928</v>
      </c>
    </row>
    <row r="16416" spans="5:5" x14ac:dyDescent="0.25">
      <c r="E16416" t="s">
        <v>15929</v>
      </c>
    </row>
    <row r="16417" spans="5:5" x14ac:dyDescent="0.25">
      <c r="E16417" t="s">
        <v>15930</v>
      </c>
    </row>
    <row r="16418" spans="5:5" x14ac:dyDescent="0.25">
      <c r="E16418" t="s">
        <v>15931</v>
      </c>
    </row>
    <row r="16419" spans="5:5" x14ac:dyDescent="0.25">
      <c r="E16419" t="s">
        <v>15932</v>
      </c>
    </row>
    <row r="16420" spans="5:5" x14ac:dyDescent="0.25">
      <c r="E16420" t="s">
        <v>15933</v>
      </c>
    </row>
    <row r="16421" spans="5:5" x14ac:dyDescent="0.25">
      <c r="E16421" t="s">
        <v>15934</v>
      </c>
    </row>
    <row r="16422" spans="5:5" x14ac:dyDescent="0.25">
      <c r="E16422" t="s">
        <v>15935</v>
      </c>
    </row>
    <row r="16423" spans="5:5" x14ac:dyDescent="0.25">
      <c r="E16423" t="s">
        <v>15936</v>
      </c>
    </row>
    <row r="16424" spans="5:5" x14ac:dyDescent="0.25">
      <c r="E16424" t="s">
        <v>15937</v>
      </c>
    </row>
    <row r="16425" spans="5:5" x14ac:dyDescent="0.25">
      <c r="E16425" t="s">
        <v>15938</v>
      </c>
    </row>
    <row r="16426" spans="5:5" x14ac:dyDescent="0.25">
      <c r="E16426" t="s">
        <v>15939</v>
      </c>
    </row>
    <row r="16427" spans="5:5" x14ac:dyDescent="0.25">
      <c r="E16427" t="s">
        <v>15940</v>
      </c>
    </row>
    <row r="16428" spans="5:5" x14ac:dyDescent="0.25">
      <c r="E16428" t="s">
        <v>15941</v>
      </c>
    </row>
    <row r="16429" spans="5:5" x14ac:dyDescent="0.25">
      <c r="E16429" t="s">
        <v>15942</v>
      </c>
    </row>
    <row r="16430" spans="5:5" x14ac:dyDescent="0.25">
      <c r="E16430" t="s">
        <v>15943</v>
      </c>
    </row>
    <row r="16431" spans="5:5" x14ac:dyDescent="0.25">
      <c r="E16431" t="s">
        <v>15944</v>
      </c>
    </row>
    <row r="16432" spans="5:5" x14ac:dyDescent="0.25">
      <c r="E16432" t="s">
        <v>15945</v>
      </c>
    </row>
    <row r="16433" spans="5:5" x14ac:dyDescent="0.25">
      <c r="E16433" t="s">
        <v>15946</v>
      </c>
    </row>
    <row r="16434" spans="5:5" x14ac:dyDescent="0.25">
      <c r="E16434" t="s">
        <v>15947</v>
      </c>
    </row>
    <row r="16435" spans="5:5" x14ac:dyDescent="0.25">
      <c r="E16435" t="s">
        <v>15948</v>
      </c>
    </row>
    <row r="16436" spans="5:5" x14ac:dyDescent="0.25">
      <c r="E16436" t="s">
        <v>15949</v>
      </c>
    </row>
    <row r="16437" spans="5:5" x14ac:dyDescent="0.25">
      <c r="E16437" t="s">
        <v>15950</v>
      </c>
    </row>
    <row r="16438" spans="5:5" x14ac:dyDescent="0.25">
      <c r="E16438" t="s">
        <v>15951</v>
      </c>
    </row>
    <row r="16439" spans="5:5" x14ac:dyDescent="0.25">
      <c r="E16439" t="s">
        <v>15952</v>
      </c>
    </row>
    <row r="16440" spans="5:5" x14ac:dyDescent="0.25">
      <c r="E16440" t="s">
        <v>15953</v>
      </c>
    </row>
    <row r="16441" spans="5:5" x14ac:dyDescent="0.25">
      <c r="E16441" t="s">
        <v>15954</v>
      </c>
    </row>
    <row r="16442" spans="5:5" x14ac:dyDescent="0.25">
      <c r="E16442" t="s">
        <v>15955</v>
      </c>
    </row>
    <row r="16443" spans="5:5" x14ac:dyDescent="0.25">
      <c r="E16443" t="s">
        <v>15956</v>
      </c>
    </row>
    <row r="16444" spans="5:5" x14ac:dyDescent="0.25">
      <c r="E16444" t="s">
        <v>15957</v>
      </c>
    </row>
    <row r="16445" spans="5:5" x14ac:dyDescent="0.25">
      <c r="E16445" t="s">
        <v>15958</v>
      </c>
    </row>
    <row r="16446" spans="5:5" x14ac:dyDescent="0.25">
      <c r="E16446" t="s">
        <v>15959</v>
      </c>
    </row>
    <row r="16447" spans="5:5" x14ac:dyDescent="0.25">
      <c r="E16447" t="s">
        <v>15960</v>
      </c>
    </row>
    <row r="16448" spans="5:5" x14ac:dyDescent="0.25">
      <c r="E16448" t="s">
        <v>15961</v>
      </c>
    </row>
    <row r="16449" spans="5:5" x14ac:dyDescent="0.25">
      <c r="E16449" t="s">
        <v>15962</v>
      </c>
    </row>
    <row r="16450" spans="5:5" x14ac:dyDescent="0.25">
      <c r="E16450" t="s">
        <v>15963</v>
      </c>
    </row>
    <row r="16451" spans="5:5" x14ac:dyDescent="0.25">
      <c r="E16451" t="s">
        <v>15964</v>
      </c>
    </row>
    <row r="16452" spans="5:5" x14ac:dyDescent="0.25">
      <c r="E16452" t="s">
        <v>15965</v>
      </c>
    </row>
    <row r="16453" spans="5:5" x14ac:dyDescent="0.25">
      <c r="E16453" t="s">
        <v>15966</v>
      </c>
    </row>
    <row r="16454" spans="5:5" x14ac:dyDescent="0.25">
      <c r="E16454" t="s">
        <v>15967</v>
      </c>
    </row>
    <row r="16455" spans="5:5" x14ac:dyDescent="0.25">
      <c r="E16455" t="s">
        <v>15968</v>
      </c>
    </row>
    <row r="16456" spans="5:5" x14ac:dyDescent="0.25">
      <c r="E16456" t="s">
        <v>15969</v>
      </c>
    </row>
    <row r="16457" spans="5:5" x14ac:dyDescent="0.25">
      <c r="E16457" t="s">
        <v>15970</v>
      </c>
    </row>
    <row r="16458" spans="5:5" x14ac:dyDescent="0.25">
      <c r="E16458" t="s">
        <v>15971</v>
      </c>
    </row>
    <row r="16459" spans="5:5" x14ac:dyDescent="0.25">
      <c r="E16459" t="s">
        <v>15972</v>
      </c>
    </row>
    <row r="16460" spans="5:5" x14ac:dyDescent="0.25">
      <c r="E16460" t="s">
        <v>15973</v>
      </c>
    </row>
    <row r="16461" spans="5:5" x14ac:dyDescent="0.25">
      <c r="E16461" t="s">
        <v>15974</v>
      </c>
    </row>
    <row r="16462" spans="5:5" x14ac:dyDescent="0.25">
      <c r="E16462" t="s">
        <v>15975</v>
      </c>
    </row>
    <row r="16463" spans="5:5" x14ac:dyDescent="0.25">
      <c r="E16463" t="s">
        <v>15976</v>
      </c>
    </row>
    <row r="16464" spans="5:5" x14ac:dyDescent="0.25">
      <c r="E16464" t="s">
        <v>15977</v>
      </c>
    </row>
    <row r="16465" spans="5:5" x14ac:dyDescent="0.25">
      <c r="E16465" t="s">
        <v>15978</v>
      </c>
    </row>
    <row r="16466" spans="5:5" x14ac:dyDescent="0.25">
      <c r="E16466" t="s">
        <v>15979</v>
      </c>
    </row>
    <row r="16467" spans="5:5" x14ac:dyDescent="0.25">
      <c r="E16467" t="s">
        <v>15980</v>
      </c>
    </row>
    <row r="16468" spans="5:5" x14ac:dyDescent="0.25">
      <c r="E16468" t="s">
        <v>15981</v>
      </c>
    </row>
    <row r="16469" spans="5:5" x14ac:dyDescent="0.25">
      <c r="E16469" t="s">
        <v>15982</v>
      </c>
    </row>
    <row r="16470" spans="5:5" x14ac:dyDescent="0.25">
      <c r="E16470" t="s">
        <v>15983</v>
      </c>
    </row>
    <row r="16471" spans="5:5" x14ac:dyDescent="0.25">
      <c r="E16471" t="s">
        <v>15984</v>
      </c>
    </row>
    <row r="16472" spans="5:5" x14ac:dyDescent="0.25">
      <c r="E16472" t="s">
        <v>15985</v>
      </c>
    </row>
    <row r="16473" spans="5:5" x14ac:dyDescent="0.25">
      <c r="E16473" t="s">
        <v>15986</v>
      </c>
    </row>
    <row r="16474" spans="5:5" x14ac:dyDescent="0.25">
      <c r="E16474" t="s">
        <v>15987</v>
      </c>
    </row>
    <row r="16475" spans="5:5" x14ac:dyDescent="0.25">
      <c r="E16475" t="s">
        <v>15988</v>
      </c>
    </row>
    <row r="16476" spans="5:5" x14ac:dyDescent="0.25">
      <c r="E16476" t="s">
        <v>15989</v>
      </c>
    </row>
    <row r="16477" spans="5:5" x14ac:dyDescent="0.25">
      <c r="E16477" t="s">
        <v>15990</v>
      </c>
    </row>
    <row r="16478" spans="5:5" x14ac:dyDescent="0.25">
      <c r="E16478" t="s">
        <v>15991</v>
      </c>
    </row>
    <row r="16479" spans="5:5" x14ac:dyDescent="0.25">
      <c r="E16479" t="s">
        <v>15992</v>
      </c>
    </row>
    <row r="16480" spans="5:5" x14ac:dyDescent="0.25">
      <c r="E16480" t="s">
        <v>15993</v>
      </c>
    </row>
    <row r="16481" spans="5:5" x14ac:dyDescent="0.25">
      <c r="E16481" t="s">
        <v>15994</v>
      </c>
    </row>
    <row r="16482" spans="5:5" x14ac:dyDescent="0.25">
      <c r="E16482" t="s">
        <v>15995</v>
      </c>
    </row>
    <row r="16483" spans="5:5" x14ac:dyDescent="0.25">
      <c r="E16483" t="s">
        <v>15996</v>
      </c>
    </row>
    <row r="16484" spans="5:5" x14ac:dyDescent="0.25">
      <c r="E16484" t="s">
        <v>15997</v>
      </c>
    </row>
    <row r="16485" spans="5:5" x14ac:dyDescent="0.25">
      <c r="E16485" t="s">
        <v>15998</v>
      </c>
    </row>
    <row r="16486" spans="5:5" x14ac:dyDescent="0.25">
      <c r="E16486" t="s">
        <v>15999</v>
      </c>
    </row>
    <row r="16487" spans="5:5" x14ac:dyDescent="0.25">
      <c r="E16487" t="s">
        <v>16000</v>
      </c>
    </row>
    <row r="16488" spans="5:5" x14ac:dyDescent="0.25">
      <c r="E16488" t="s">
        <v>16001</v>
      </c>
    </row>
    <row r="16489" spans="5:5" x14ac:dyDescent="0.25">
      <c r="E16489" t="s">
        <v>16002</v>
      </c>
    </row>
    <row r="16490" spans="5:5" x14ac:dyDescent="0.25">
      <c r="E16490" t="s">
        <v>16003</v>
      </c>
    </row>
    <row r="16491" spans="5:5" x14ac:dyDescent="0.25">
      <c r="E16491" t="s">
        <v>16004</v>
      </c>
    </row>
    <row r="16492" spans="5:5" x14ac:dyDescent="0.25">
      <c r="E16492" t="s">
        <v>16005</v>
      </c>
    </row>
    <row r="16493" spans="5:5" x14ac:dyDescent="0.25">
      <c r="E16493" t="s">
        <v>16006</v>
      </c>
    </row>
    <row r="16494" spans="5:5" x14ac:dyDescent="0.25">
      <c r="E16494" t="s">
        <v>16007</v>
      </c>
    </row>
    <row r="16495" spans="5:5" x14ac:dyDescent="0.25">
      <c r="E16495" t="s">
        <v>16008</v>
      </c>
    </row>
    <row r="16496" spans="5:5" x14ac:dyDescent="0.25">
      <c r="E16496" t="s">
        <v>16009</v>
      </c>
    </row>
    <row r="16497" spans="5:5" x14ac:dyDescent="0.25">
      <c r="E16497" t="s">
        <v>16010</v>
      </c>
    </row>
    <row r="16498" spans="5:5" x14ac:dyDescent="0.25">
      <c r="E16498" t="s">
        <v>16011</v>
      </c>
    </row>
    <row r="16499" spans="5:5" x14ac:dyDescent="0.25">
      <c r="E16499" t="s">
        <v>16012</v>
      </c>
    </row>
    <row r="16500" spans="5:5" x14ac:dyDescent="0.25">
      <c r="E16500" t="s">
        <v>16013</v>
      </c>
    </row>
    <row r="16501" spans="5:5" x14ac:dyDescent="0.25">
      <c r="E16501" t="s">
        <v>16014</v>
      </c>
    </row>
    <row r="16502" spans="5:5" x14ac:dyDescent="0.25">
      <c r="E16502" t="s">
        <v>16015</v>
      </c>
    </row>
    <row r="16503" spans="5:5" x14ac:dyDescent="0.25">
      <c r="E16503" t="s">
        <v>16016</v>
      </c>
    </row>
    <row r="16504" spans="5:5" x14ac:dyDescent="0.25">
      <c r="E16504" t="s">
        <v>16017</v>
      </c>
    </row>
    <row r="16505" spans="5:5" x14ac:dyDescent="0.25">
      <c r="E16505" t="s">
        <v>16018</v>
      </c>
    </row>
    <row r="16506" spans="5:5" x14ac:dyDescent="0.25">
      <c r="E16506" t="s">
        <v>16019</v>
      </c>
    </row>
    <row r="16507" spans="5:5" x14ac:dyDescent="0.25">
      <c r="E16507" t="s">
        <v>16020</v>
      </c>
    </row>
    <row r="16508" spans="5:5" x14ac:dyDescent="0.25">
      <c r="E16508" t="s">
        <v>16021</v>
      </c>
    </row>
    <row r="16509" spans="5:5" x14ac:dyDescent="0.25">
      <c r="E16509" t="s">
        <v>16022</v>
      </c>
    </row>
    <row r="16510" spans="5:5" x14ac:dyDescent="0.25">
      <c r="E16510" t="s">
        <v>16023</v>
      </c>
    </row>
    <row r="16511" spans="5:5" x14ac:dyDescent="0.25">
      <c r="E16511" t="s">
        <v>16024</v>
      </c>
    </row>
    <row r="16512" spans="5:5" x14ac:dyDescent="0.25">
      <c r="E16512" t="s">
        <v>16025</v>
      </c>
    </row>
    <row r="16513" spans="5:5" x14ac:dyDescent="0.25">
      <c r="E16513" t="s">
        <v>16026</v>
      </c>
    </row>
    <row r="16514" spans="5:5" x14ac:dyDescent="0.25">
      <c r="E16514" t="s">
        <v>16027</v>
      </c>
    </row>
    <row r="16515" spans="5:5" x14ac:dyDescent="0.25">
      <c r="E16515" t="s">
        <v>16028</v>
      </c>
    </row>
    <row r="16516" spans="5:5" x14ac:dyDescent="0.25">
      <c r="E16516" t="s">
        <v>16029</v>
      </c>
    </row>
    <row r="16517" spans="5:5" x14ac:dyDescent="0.25">
      <c r="E16517" t="s">
        <v>16030</v>
      </c>
    </row>
    <row r="16518" spans="5:5" x14ac:dyDescent="0.25">
      <c r="E16518" t="s">
        <v>16031</v>
      </c>
    </row>
    <row r="16519" spans="5:5" x14ac:dyDescent="0.25">
      <c r="E16519" t="s">
        <v>16032</v>
      </c>
    </row>
    <row r="16520" spans="5:5" x14ac:dyDescent="0.25">
      <c r="E16520" t="s">
        <v>16033</v>
      </c>
    </row>
    <row r="16521" spans="5:5" x14ac:dyDescent="0.25">
      <c r="E16521" t="s">
        <v>16034</v>
      </c>
    </row>
    <row r="16522" spans="5:5" x14ac:dyDescent="0.25">
      <c r="E16522" t="s">
        <v>16035</v>
      </c>
    </row>
    <row r="16523" spans="5:5" x14ac:dyDescent="0.25">
      <c r="E16523" t="s">
        <v>16036</v>
      </c>
    </row>
    <row r="16524" spans="5:5" x14ac:dyDescent="0.25">
      <c r="E16524" t="s">
        <v>16037</v>
      </c>
    </row>
    <row r="16525" spans="5:5" x14ac:dyDescent="0.25">
      <c r="E16525" t="s">
        <v>16038</v>
      </c>
    </row>
    <row r="16526" spans="5:5" x14ac:dyDescent="0.25">
      <c r="E16526" t="s">
        <v>16039</v>
      </c>
    </row>
    <row r="16527" spans="5:5" x14ac:dyDescent="0.25">
      <c r="E16527" t="s">
        <v>16040</v>
      </c>
    </row>
    <row r="16528" spans="5:5" x14ac:dyDescent="0.25">
      <c r="E16528" t="s">
        <v>16041</v>
      </c>
    </row>
    <row r="16529" spans="5:5" x14ac:dyDescent="0.25">
      <c r="E16529" t="s">
        <v>16042</v>
      </c>
    </row>
    <row r="16530" spans="5:5" x14ac:dyDescent="0.25">
      <c r="E16530" t="s">
        <v>16043</v>
      </c>
    </row>
    <row r="16531" spans="5:5" x14ac:dyDescent="0.25">
      <c r="E16531" t="s">
        <v>16044</v>
      </c>
    </row>
    <row r="16532" spans="5:5" x14ac:dyDescent="0.25">
      <c r="E16532" t="s">
        <v>16045</v>
      </c>
    </row>
    <row r="16533" spans="5:5" x14ac:dyDescent="0.25">
      <c r="E16533" t="s">
        <v>16046</v>
      </c>
    </row>
    <row r="16534" spans="5:5" x14ac:dyDescent="0.25">
      <c r="E16534" t="s">
        <v>16047</v>
      </c>
    </row>
    <row r="16535" spans="5:5" x14ac:dyDescent="0.25">
      <c r="E16535" t="s">
        <v>16048</v>
      </c>
    </row>
    <row r="16536" spans="5:5" x14ac:dyDescent="0.25">
      <c r="E16536" t="s">
        <v>16049</v>
      </c>
    </row>
    <row r="16537" spans="5:5" x14ac:dyDescent="0.25">
      <c r="E16537" t="s">
        <v>16050</v>
      </c>
    </row>
    <row r="16538" spans="5:5" x14ac:dyDescent="0.25">
      <c r="E16538" t="s">
        <v>16051</v>
      </c>
    </row>
    <row r="16539" spans="5:5" x14ac:dyDescent="0.25">
      <c r="E16539" t="s">
        <v>16052</v>
      </c>
    </row>
    <row r="16540" spans="5:5" x14ac:dyDescent="0.25">
      <c r="E16540" t="s">
        <v>16053</v>
      </c>
    </row>
    <row r="16541" spans="5:5" x14ac:dyDescent="0.25">
      <c r="E16541" t="s">
        <v>16054</v>
      </c>
    </row>
    <row r="16542" spans="5:5" x14ac:dyDescent="0.25">
      <c r="E16542" t="s">
        <v>16055</v>
      </c>
    </row>
    <row r="16543" spans="5:5" x14ac:dyDescent="0.25">
      <c r="E16543" t="s">
        <v>16056</v>
      </c>
    </row>
    <row r="16544" spans="5:5" x14ac:dyDescent="0.25">
      <c r="E16544" t="s">
        <v>16057</v>
      </c>
    </row>
    <row r="16545" spans="5:5" x14ac:dyDescent="0.25">
      <c r="E16545" t="s">
        <v>16058</v>
      </c>
    </row>
    <row r="16546" spans="5:5" x14ac:dyDescent="0.25">
      <c r="E16546" t="s">
        <v>16059</v>
      </c>
    </row>
    <row r="16547" spans="5:5" x14ac:dyDescent="0.25">
      <c r="E16547" t="s">
        <v>16060</v>
      </c>
    </row>
    <row r="16548" spans="5:5" x14ac:dyDescent="0.25">
      <c r="E16548" t="s">
        <v>16061</v>
      </c>
    </row>
    <row r="16549" spans="5:5" x14ac:dyDescent="0.25">
      <c r="E16549" t="s">
        <v>16062</v>
      </c>
    </row>
    <row r="16550" spans="5:5" x14ac:dyDescent="0.25">
      <c r="E16550" t="s">
        <v>16063</v>
      </c>
    </row>
    <row r="16551" spans="5:5" x14ac:dyDescent="0.25">
      <c r="E16551" t="s">
        <v>16064</v>
      </c>
    </row>
    <row r="16552" spans="5:5" x14ac:dyDescent="0.25">
      <c r="E16552" t="s">
        <v>16065</v>
      </c>
    </row>
    <row r="16553" spans="5:5" x14ac:dyDescent="0.25">
      <c r="E16553" t="s">
        <v>16066</v>
      </c>
    </row>
    <row r="16554" spans="5:5" x14ac:dyDescent="0.25">
      <c r="E16554" t="s">
        <v>16067</v>
      </c>
    </row>
    <row r="16555" spans="5:5" x14ac:dyDescent="0.25">
      <c r="E16555" t="s">
        <v>16068</v>
      </c>
    </row>
    <row r="16556" spans="5:5" x14ac:dyDescent="0.25">
      <c r="E16556" t="s">
        <v>16069</v>
      </c>
    </row>
    <row r="16557" spans="5:5" x14ac:dyDescent="0.25">
      <c r="E16557" t="s">
        <v>16070</v>
      </c>
    </row>
    <row r="16558" spans="5:5" x14ac:dyDescent="0.25">
      <c r="E16558" t="s">
        <v>16071</v>
      </c>
    </row>
    <row r="16559" spans="5:5" x14ac:dyDescent="0.25">
      <c r="E16559" t="s">
        <v>16072</v>
      </c>
    </row>
    <row r="16560" spans="5:5" x14ac:dyDescent="0.25">
      <c r="E16560" t="s">
        <v>16073</v>
      </c>
    </row>
    <row r="16561" spans="5:5" x14ac:dyDescent="0.25">
      <c r="E16561" t="s">
        <v>16074</v>
      </c>
    </row>
    <row r="16562" spans="5:5" x14ac:dyDescent="0.25">
      <c r="E16562" t="s">
        <v>16075</v>
      </c>
    </row>
    <row r="16563" spans="5:5" x14ac:dyDescent="0.25">
      <c r="E16563" t="s">
        <v>16076</v>
      </c>
    </row>
    <row r="16564" spans="5:5" x14ac:dyDescent="0.25">
      <c r="E16564" t="s">
        <v>16077</v>
      </c>
    </row>
    <row r="16565" spans="5:5" x14ac:dyDescent="0.25">
      <c r="E16565" t="s">
        <v>16078</v>
      </c>
    </row>
    <row r="16566" spans="5:5" x14ac:dyDescent="0.25">
      <c r="E16566" t="s">
        <v>16079</v>
      </c>
    </row>
    <row r="16567" spans="5:5" x14ac:dyDescent="0.25">
      <c r="E16567" t="s">
        <v>16080</v>
      </c>
    </row>
    <row r="16568" spans="5:5" x14ac:dyDescent="0.25">
      <c r="E16568" t="s">
        <v>16081</v>
      </c>
    </row>
    <row r="16569" spans="5:5" x14ac:dyDescent="0.25">
      <c r="E16569" t="s">
        <v>16082</v>
      </c>
    </row>
    <row r="16570" spans="5:5" x14ac:dyDescent="0.25">
      <c r="E16570" t="s">
        <v>16083</v>
      </c>
    </row>
    <row r="16571" spans="5:5" x14ac:dyDescent="0.25">
      <c r="E16571" t="s">
        <v>16084</v>
      </c>
    </row>
    <row r="16572" spans="5:5" x14ac:dyDescent="0.25">
      <c r="E16572" t="s">
        <v>16085</v>
      </c>
    </row>
    <row r="16573" spans="5:5" x14ac:dyDescent="0.25">
      <c r="E16573" t="s">
        <v>16086</v>
      </c>
    </row>
    <row r="16574" spans="5:5" x14ac:dyDescent="0.25">
      <c r="E16574" t="s">
        <v>16087</v>
      </c>
    </row>
    <row r="16575" spans="5:5" x14ac:dyDescent="0.25">
      <c r="E16575" t="s">
        <v>16088</v>
      </c>
    </row>
    <row r="16576" spans="5:5" x14ac:dyDescent="0.25">
      <c r="E16576" t="s">
        <v>16089</v>
      </c>
    </row>
    <row r="16577" spans="5:5" x14ac:dyDescent="0.25">
      <c r="E16577" t="s">
        <v>16090</v>
      </c>
    </row>
    <row r="16578" spans="5:5" x14ac:dyDescent="0.25">
      <c r="E16578" t="s">
        <v>16091</v>
      </c>
    </row>
    <row r="16579" spans="5:5" x14ac:dyDescent="0.25">
      <c r="E16579" t="s">
        <v>16092</v>
      </c>
    </row>
    <row r="16580" spans="5:5" x14ac:dyDescent="0.25">
      <c r="E16580" t="s">
        <v>16093</v>
      </c>
    </row>
    <row r="16581" spans="5:5" x14ac:dyDescent="0.25">
      <c r="E16581" t="s">
        <v>16094</v>
      </c>
    </row>
    <row r="16582" spans="5:5" x14ac:dyDescent="0.25">
      <c r="E16582" t="s">
        <v>16095</v>
      </c>
    </row>
    <row r="16583" spans="5:5" x14ac:dyDescent="0.25">
      <c r="E16583" t="s">
        <v>16096</v>
      </c>
    </row>
    <row r="16584" spans="5:5" x14ac:dyDescent="0.25">
      <c r="E16584" t="s">
        <v>16097</v>
      </c>
    </row>
    <row r="16585" spans="5:5" x14ac:dyDescent="0.25">
      <c r="E16585" t="s">
        <v>16098</v>
      </c>
    </row>
    <row r="16586" spans="5:5" x14ac:dyDescent="0.25">
      <c r="E16586" t="s">
        <v>16099</v>
      </c>
    </row>
    <row r="16587" spans="5:5" x14ac:dyDescent="0.25">
      <c r="E16587" t="s">
        <v>16100</v>
      </c>
    </row>
    <row r="16588" spans="5:5" x14ac:dyDescent="0.25">
      <c r="E16588" t="s">
        <v>16101</v>
      </c>
    </row>
    <row r="16589" spans="5:5" x14ac:dyDescent="0.25">
      <c r="E16589" t="s">
        <v>16102</v>
      </c>
    </row>
    <row r="16590" spans="5:5" x14ac:dyDescent="0.25">
      <c r="E16590" t="s">
        <v>16103</v>
      </c>
    </row>
    <row r="16591" spans="5:5" x14ac:dyDescent="0.25">
      <c r="E16591" t="s">
        <v>16104</v>
      </c>
    </row>
    <row r="16592" spans="5:5" x14ac:dyDescent="0.25">
      <c r="E16592" t="s">
        <v>16105</v>
      </c>
    </row>
    <row r="16593" spans="5:5" x14ac:dyDescent="0.25">
      <c r="E16593" t="s">
        <v>16106</v>
      </c>
    </row>
    <row r="16594" spans="5:5" x14ac:dyDescent="0.25">
      <c r="E16594" t="s">
        <v>16107</v>
      </c>
    </row>
    <row r="16595" spans="5:5" x14ac:dyDescent="0.25">
      <c r="E16595" t="s">
        <v>16108</v>
      </c>
    </row>
    <row r="16596" spans="5:5" x14ac:dyDescent="0.25">
      <c r="E16596" t="s">
        <v>16109</v>
      </c>
    </row>
    <row r="16597" spans="5:5" x14ac:dyDescent="0.25">
      <c r="E16597" t="s">
        <v>16110</v>
      </c>
    </row>
    <row r="16598" spans="5:5" x14ac:dyDescent="0.25">
      <c r="E16598" t="s">
        <v>16111</v>
      </c>
    </row>
    <row r="16599" spans="5:5" x14ac:dyDescent="0.25">
      <c r="E16599" t="s">
        <v>16112</v>
      </c>
    </row>
    <row r="16600" spans="5:5" x14ac:dyDescent="0.25">
      <c r="E16600" t="s">
        <v>16113</v>
      </c>
    </row>
    <row r="16601" spans="5:5" x14ac:dyDescent="0.25">
      <c r="E16601" t="s">
        <v>16114</v>
      </c>
    </row>
    <row r="16602" spans="5:5" x14ac:dyDescent="0.25">
      <c r="E16602" t="s">
        <v>16115</v>
      </c>
    </row>
    <row r="16603" spans="5:5" x14ac:dyDescent="0.25">
      <c r="E16603" t="s">
        <v>16116</v>
      </c>
    </row>
    <row r="16604" spans="5:5" x14ac:dyDescent="0.25">
      <c r="E16604" t="s">
        <v>16117</v>
      </c>
    </row>
    <row r="16605" spans="5:5" x14ac:dyDescent="0.25">
      <c r="E16605" t="s">
        <v>16118</v>
      </c>
    </row>
    <row r="16606" spans="5:5" x14ac:dyDescent="0.25">
      <c r="E16606" t="s">
        <v>16119</v>
      </c>
    </row>
    <row r="16607" spans="5:5" x14ac:dyDescent="0.25">
      <c r="E16607" t="s">
        <v>16120</v>
      </c>
    </row>
    <row r="16608" spans="5:5" x14ac:dyDescent="0.25">
      <c r="E16608" t="s">
        <v>16121</v>
      </c>
    </row>
    <row r="16609" spans="5:5" x14ac:dyDescent="0.25">
      <c r="E16609" t="s">
        <v>16122</v>
      </c>
    </row>
    <row r="16610" spans="5:5" x14ac:dyDescent="0.25">
      <c r="E16610" t="s">
        <v>16123</v>
      </c>
    </row>
    <row r="16611" spans="5:5" x14ac:dyDescent="0.25">
      <c r="E16611" t="s">
        <v>16124</v>
      </c>
    </row>
    <row r="16612" spans="5:5" x14ac:dyDescent="0.25">
      <c r="E16612" t="s">
        <v>16125</v>
      </c>
    </row>
    <row r="16613" spans="5:5" x14ac:dyDescent="0.25">
      <c r="E16613" t="s">
        <v>16126</v>
      </c>
    </row>
    <row r="16614" spans="5:5" x14ac:dyDescent="0.25">
      <c r="E16614" t="s">
        <v>16127</v>
      </c>
    </row>
    <row r="16615" spans="5:5" x14ac:dyDescent="0.25">
      <c r="E16615" t="s">
        <v>16128</v>
      </c>
    </row>
    <row r="16616" spans="5:5" x14ac:dyDescent="0.25">
      <c r="E16616" t="s">
        <v>16129</v>
      </c>
    </row>
    <row r="16617" spans="5:5" x14ac:dyDescent="0.25">
      <c r="E16617" t="s">
        <v>16130</v>
      </c>
    </row>
    <row r="16618" spans="5:5" x14ac:dyDescent="0.25">
      <c r="E16618" t="s">
        <v>16131</v>
      </c>
    </row>
    <row r="16619" spans="5:5" x14ac:dyDescent="0.25">
      <c r="E16619" t="s">
        <v>16132</v>
      </c>
    </row>
    <row r="16620" spans="5:5" x14ac:dyDescent="0.25">
      <c r="E16620" t="s">
        <v>16133</v>
      </c>
    </row>
    <row r="16621" spans="5:5" x14ac:dyDescent="0.25">
      <c r="E16621" t="s">
        <v>16134</v>
      </c>
    </row>
    <row r="16622" spans="5:5" x14ac:dyDescent="0.25">
      <c r="E16622" t="s">
        <v>16135</v>
      </c>
    </row>
    <row r="16623" spans="5:5" x14ac:dyDescent="0.25">
      <c r="E16623" t="s">
        <v>16136</v>
      </c>
    </row>
    <row r="16624" spans="5:5" x14ac:dyDescent="0.25">
      <c r="E16624" t="s">
        <v>16137</v>
      </c>
    </row>
    <row r="16625" spans="5:5" x14ac:dyDescent="0.25">
      <c r="E16625" t="s">
        <v>16138</v>
      </c>
    </row>
    <row r="16626" spans="5:5" x14ac:dyDescent="0.25">
      <c r="E16626" t="s">
        <v>16139</v>
      </c>
    </row>
    <row r="16627" spans="5:5" x14ac:dyDescent="0.25">
      <c r="E16627" t="s">
        <v>16140</v>
      </c>
    </row>
    <row r="16628" spans="5:5" x14ac:dyDescent="0.25">
      <c r="E16628" t="s">
        <v>16141</v>
      </c>
    </row>
    <row r="16629" spans="5:5" x14ac:dyDescent="0.25">
      <c r="E16629" t="s">
        <v>16142</v>
      </c>
    </row>
    <row r="16630" spans="5:5" x14ac:dyDescent="0.25">
      <c r="E16630" t="s">
        <v>16143</v>
      </c>
    </row>
    <row r="16631" spans="5:5" x14ac:dyDescent="0.25">
      <c r="E16631" t="s">
        <v>16144</v>
      </c>
    </row>
    <row r="16632" spans="5:5" x14ac:dyDescent="0.25">
      <c r="E16632" t="s">
        <v>16145</v>
      </c>
    </row>
    <row r="16633" spans="5:5" x14ac:dyDescent="0.25">
      <c r="E16633" t="s">
        <v>16146</v>
      </c>
    </row>
    <row r="16634" spans="5:5" x14ac:dyDescent="0.25">
      <c r="E16634" t="s">
        <v>16147</v>
      </c>
    </row>
    <row r="16635" spans="5:5" x14ac:dyDescent="0.25">
      <c r="E16635" t="s">
        <v>16148</v>
      </c>
    </row>
    <row r="16636" spans="5:5" x14ac:dyDescent="0.25">
      <c r="E16636" t="s">
        <v>16149</v>
      </c>
    </row>
    <row r="16637" spans="5:5" x14ac:dyDescent="0.25">
      <c r="E16637" t="s">
        <v>16150</v>
      </c>
    </row>
    <row r="16638" spans="5:5" x14ac:dyDescent="0.25">
      <c r="E16638" t="s">
        <v>16151</v>
      </c>
    </row>
    <row r="16639" spans="5:5" x14ac:dyDescent="0.25">
      <c r="E16639" t="s">
        <v>16152</v>
      </c>
    </row>
    <row r="16640" spans="5:5" x14ac:dyDescent="0.25">
      <c r="E16640" t="s">
        <v>16153</v>
      </c>
    </row>
    <row r="16641" spans="5:5" x14ac:dyDescent="0.25">
      <c r="E16641" t="s">
        <v>16154</v>
      </c>
    </row>
    <row r="16642" spans="5:5" x14ac:dyDescent="0.25">
      <c r="E16642" t="s">
        <v>16155</v>
      </c>
    </row>
    <row r="16643" spans="5:5" x14ac:dyDescent="0.25">
      <c r="E16643" t="s">
        <v>16156</v>
      </c>
    </row>
    <row r="16644" spans="5:5" x14ac:dyDescent="0.25">
      <c r="E16644" t="s">
        <v>16157</v>
      </c>
    </row>
    <row r="16645" spans="5:5" x14ac:dyDescent="0.25">
      <c r="E16645" t="s">
        <v>16158</v>
      </c>
    </row>
    <row r="16646" spans="5:5" x14ac:dyDescent="0.25">
      <c r="E16646" t="s">
        <v>16159</v>
      </c>
    </row>
    <row r="16647" spans="5:5" x14ac:dyDescent="0.25">
      <c r="E16647" t="s">
        <v>16160</v>
      </c>
    </row>
    <row r="16648" spans="5:5" x14ac:dyDescent="0.25">
      <c r="E16648" t="s">
        <v>16161</v>
      </c>
    </row>
    <row r="16649" spans="5:5" x14ac:dyDescent="0.25">
      <c r="E16649" t="s">
        <v>16162</v>
      </c>
    </row>
    <row r="16650" spans="5:5" x14ac:dyDescent="0.25">
      <c r="E16650" t="s">
        <v>16163</v>
      </c>
    </row>
    <row r="16651" spans="5:5" x14ac:dyDescent="0.25">
      <c r="E16651" t="s">
        <v>16164</v>
      </c>
    </row>
    <row r="16652" spans="5:5" x14ac:dyDescent="0.25">
      <c r="E16652" t="s">
        <v>16165</v>
      </c>
    </row>
    <row r="16653" spans="5:5" x14ac:dyDescent="0.25">
      <c r="E16653" t="s">
        <v>16166</v>
      </c>
    </row>
    <row r="16654" spans="5:5" x14ac:dyDescent="0.25">
      <c r="E16654" t="s">
        <v>16167</v>
      </c>
    </row>
    <row r="16655" spans="5:5" x14ac:dyDescent="0.25">
      <c r="E16655" t="s">
        <v>16168</v>
      </c>
    </row>
    <row r="16656" spans="5:5" x14ac:dyDescent="0.25">
      <c r="E16656" t="s">
        <v>16169</v>
      </c>
    </row>
    <row r="16657" spans="5:5" x14ac:dyDescent="0.25">
      <c r="E16657" t="s">
        <v>16170</v>
      </c>
    </row>
    <row r="16658" spans="5:5" x14ac:dyDescent="0.25">
      <c r="E16658" t="s">
        <v>16171</v>
      </c>
    </row>
    <row r="16659" spans="5:5" x14ac:dyDescent="0.25">
      <c r="E16659" t="s">
        <v>16172</v>
      </c>
    </row>
    <row r="16660" spans="5:5" x14ac:dyDescent="0.25">
      <c r="E16660" t="s">
        <v>16173</v>
      </c>
    </row>
    <row r="16661" spans="5:5" x14ac:dyDescent="0.25">
      <c r="E16661" t="s">
        <v>16174</v>
      </c>
    </row>
    <row r="16662" spans="5:5" x14ac:dyDescent="0.25">
      <c r="E16662" t="s">
        <v>16175</v>
      </c>
    </row>
    <row r="16663" spans="5:5" x14ac:dyDescent="0.25">
      <c r="E16663" t="s">
        <v>16176</v>
      </c>
    </row>
    <row r="16664" spans="5:5" x14ac:dyDescent="0.25">
      <c r="E16664" t="s">
        <v>16177</v>
      </c>
    </row>
    <row r="16665" spans="5:5" x14ac:dyDescent="0.25">
      <c r="E16665" t="s">
        <v>16178</v>
      </c>
    </row>
    <row r="16666" spans="5:5" x14ac:dyDescent="0.25">
      <c r="E16666" t="s">
        <v>16179</v>
      </c>
    </row>
    <row r="16667" spans="5:5" x14ac:dyDescent="0.25">
      <c r="E16667" t="s">
        <v>16180</v>
      </c>
    </row>
    <row r="16668" spans="5:5" x14ac:dyDescent="0.25">
      <c r="E16668" t="s">
        <v>16181</v>
      </c>
    </row>
    <row r="16669" spans="5:5" x14ac:dyDescent="0.25">
      <c r="E16669" t="s">
        <v>16182</v>
      </c>
    </row>
    <row r="16670" spans="5:5" x14ac:dyDescent="0.25">
      <c r="E16670" t="s">
        <v>16183</v>
      </c>
    </row>
    <row r="16671" spans="5:5" x14ac:dyDescent="0.25">
      <c r="E16671" t="s">
        <v>16184</v>
      </c>
    </row>
    <row r="16672" spans="5:5" x14ac:dyDescent="0.25">
      <c r="E16672" t="s">
        <v>16185</v>
      </c>
    </row>
    <row r="16673" spans="5:5" x14ac:dyDescent="0.25">
      <c r="E16673" t="s">
        <v>16186</v>
      </c>
    </row>
    <row r="16674" spans="5:5" x14ac:dyDescent="0.25">
      <c r="E16674" t="s">
        <v>16187</v>
      </c>
    </row>
    <row r="16675" spans="5:5" x14ac:dyDescent="0.25">
      <c r="E16675" t="s">
        <v>16188</v>
      </c>
    </row>
    <row r="16676" spans="5:5" x14ac:dyDescent="0.25">
      <c r="E16676" t="s">
        <v>16189</v>
      </c>
    </row>
    <row r="16677" spans="5:5" x14ac:dyDescent="0.25">
      <c r="E16677" t="s">
        <v>16190</v>
      </c>
    </row>
    <row r="16678" spans="5:5" x14ac:dyDescent="0.25">
      <c r="E16678" t="s">
        <v>16191</v>
      </c>
    </row>
    <row r="16679" spans="5:5" x14ac:dyDescent="0.25">
      <c r="E16679" t="s">
        <v>16192</v>
      </c>
    </row>
    <row r="16680" spans="5:5" x14ac:dyDescent="0.25">
      <c r="E16680" t="s">
        <v>16193</v>
      </c>
    </row>
    <row r="16681" spans="5:5" x14ac:dyDescent="0.25">
      <c r="E16681" t="s">
        <v>16194</v>
      </c>
    </row>
    <row r="16682" spans="5:5" x14ac:dyDescent="0.25">
      <c r="E16682" t="s">
        <v>16195</v>
      </c>
    </row>
    <row r="16683" spans="5:5" x14ac:dyDescent="0.25">
      <c r="E16683" t="s">
        <v>16196</v>
      </c>
    </row>
    <row r="16684" spans="5:5" x14ac:dyDescent="0.25">
      <c r="E16684" t="s">
        <v>16197</v>
      </c>
    </row>
    <row r="16685" spans="5:5" x14ac:dyDescent="0.25">
      <c r="E16685" t="s">
        <v>16198</v>
      </c>
    </row>
    <row r="16686" spans="5:5" x14ac:dyDescent="0.25">
      <c r="E16686" t="s">
        <v>16199</v>
      </c>
    </row>
    <row r="16687" spans="5:5" x14ac:dyDescent="0.25">
      <c r="E16687" t="s">
        <v>16200</v>
      </c>
    </row>
    <row r="16688" spans="5:5" x14ac:dyDescent="0.25">
      <c r="E16688" t="s">
        <v>16201</v>
      </c>
    </row>
    <row r="16689" spans="5:5" x14ac:dyDescent="0.25">
      <c r="E16689" t="s">
        <v>16202</v>
      </c>
    </row>
    <row r="16690" spans="5:5" x14ac:dyDescent="0.25">
      <c r="E16690" t="s">
        <v>16203</v>
      </c>
    </row>
    <row r="16691" spans="5:5" x14ac:dyDescent="0.25">
      <c r="E16691" t="s">
        <v>16204</v>
      </c>
    </row>
    <row r="16692" spans="5:5" x14ac:dyDescent="0.25">
      <c r="E16692" t="s">
        <v>16205</v>
      </c>
    </row>
    <row r="16693" spans="5:5" x14ac:dyDescent="0.25">
      <c r="E16693" t="s">
        <v>16206</v>
      </c>
    </row>
    <row r="16694" spans="5:5" x14ac:dyDescent="0.25">
      <c r="E16694" t="s">
        <v>16207</v>
      </c>
    </row>
    <row r="16695" spans="5:5" x14ac:dyDescent="0.25">
      <c r="E16695" t="s">
        <v>16208</v>
      </c>
    </row>
    <row r="16696" spans="5:5" x14ac:dyDescent="0.25">
      <c r="E16696" t="s">
        <v>16209</v>
      </c>
    </row>
    <row r="16697" spans="5:5" x14ac:dyDescent="0.25">
      <c r="E16697" t="s">
        <v>16210</v>
      </c>
    </row>
    <row r="16698" spans="5:5" x14ac:dyDescent="0.25">
      <c r="E16698" t="s">
        <v>16211</v>
      </c>
    </row>
    <row r="16699" spans="5:5" x14ac:dyDescent="0.25">
      <c r="E16699" t="s">
        <v>16212</v>
      </c>
    </row>
    <row r="16700" spans="5:5" x14ac:dyDescent="0.25">
      <c r="E16700" t="s">
        <v>16213</v>
      </c>
    </row>
    <row r="16701" spans="5:5" x14ac:dyDescent="0.25">
      <c r="E16701" t="s">
        <v>16214</v>
      </c>
    </row>
    <row r="16702" spans="5:5" x14ac:dyDescent="0.25">
      <c r="E16702" t="s">
        <v>16215</v>
      </c>
    </row>
    <row r="16703" spans="5:5" x14ac:dyDescent="0.25">
      <c r="E16703" t="s">
        <v>16216</v>
      </c>
    </row>
    <row r="16704" spans="5:5" x14ac:dyDescent="0.25">
      <c r="E16704" t="s">
        <v>16217</v>
      </c>
    </row>
    <row r="16705" spans="5:5" x14ac:dyDescent="0.25">
      <c r="E16705" t="s">
        <v>16218</v>
      </c>
    </row>
    <row r="16706" spans="5:5" x14ac:dyDescent="0.25">
      <c r="E16706" t="s">
        <v>16219</v>
      </c>
    </row>
    <row r="16707" spans="5:5" x14ac:dyDescent="0.25">
      <c r="E16707" t="s">
        <v>16220</v>
      </c>
    </row>
    <row r="16708" spans="5:5" x14ac:dyDescent="0.25">
      <c r="E16708" t="s">
        <v>16221</v>
      </c>
    </row>
    <row r="16709" spans="5:5" x14ac:dyDescent="0.25">
      <c r="E16709" t="s">
        <v>16222</v>
      </c>
    </row>
    <row r="16710" spans="5:5" x14ac:dyDescent="0.25">
      <c r="E16710" t="s">
        <v>16223</v>
      </c>
    </row>
    <row r="16711" spans="5:5" x14ac:dyDescent="0.25">
      <c r="E16711" t="s">
        <v>16224</v>
      </c>
    </row>
    <row r="16712" spans="5:5" x14ac:dyDescent="0.25">
      <c r="E16712" t="s">
        <v>16225</v>
      </c>
    </row>
    <row r="16713" spans="5:5" x14ac:dyDescent="0.25">
      <c r="E16713" t="s">
        <v>16226</v>
      </c>
    </row>
    <row r="16714" spans="5:5" x14ac:dyDescent="0.25">
      <c r="E16714" t="s">
        <v>16227</v>
      </c>
    </row>
    <row r="16715" spans="5:5" x14ac:dyDescent="0.25">
      <c r="E16715" t="s">
        <v>16228</v>
      </c>
    </row>
    <row r="16716" spans="5:5" x14ac:dyDescent="0.25">
      <c r="E16716" t="s">
        <v>16229</v>
      </c>
    </row>
    <row r="16717" spans="5:5" x14ac:dyDescent="0.25">
      <c r="E16717" t="s">
        <v>16230</v>
      </c>
    </row>
    <row r="16718" spans="5:5" x14ac:dyDescent="0.25">
      <c r="E16718" t="s">
        <v>16231</v>
      </c>
    </row>
    <row r="16719" spans="5:5" x14ac:dyDescent="0.25">
      <c r="E16719" t="s">
        <v>16232</v>
      </c>
    </row>
    <row r="16720" spans="5:5" x14ac:dyDescent="0.25">
      <c r="E16720" t="s">
        <v>16233</v>
      </c>
    </row>
    <row r="16721" spans="5:5" x14ac:dyDescent="0.25">
      <c r="E16721" t="s">
        <v>16234</v>
      </c>
    </row>
    <row r="16722" spans="5:5" x14ac:dyDescent="0.25">
      <c r="E16722" t="s">
        <v>16235</v>
      </c>
    </row>
    <row r="16723" spans="5:5" x14ac:dyDescent="0.25">
      <c r="E16723" t="s">
        <v>16236</v>
      </c>
    </row>
    <row r="16724" spans="5:5" x14ac:dyDescent="0.25">
      <c r="E16724" t="s">
        <v>16237</v>
      </c>
    </row>
    <row r="16725" spans="5:5" x14ac:dyDescent="0.25">
      <c r="E16725" t="s">
        <v>16238</v>
      </c>
    </row>
    <row r="16726" spans="5:5" x14ac:dyDescent="0.25">
      <c r="E16726" t="s">
        <v>16239</v>
      </c>
    </row>
    <row r="16727" spans="5:5" x14ac:dyDescent="0.25">
      <c r="E16727" t="s">
        <v>16240</v>
      </c>
    </row>
    <row r="16728" spans="5:5" x14ac:dyDescent="0.25">
      <c r="E16728" t="s">
        <v>16241</v>
      </c>
    </row>
    <row r="16729" spans="5:5" x14ac:dyDescent="0.25">
      <c r="E16729" t="s">
        <v>16242</v>
      </c>
    </row>
    <row r="16730" spans="5:5" x14ac:dyDescent="0.25">
      <c r="E16730" t="s">
        <v>16243</v>
      </c>
    </row>
    <row r="16731" spans="5:5" x14ac:dyDescent="0.25">
      <c r="E16731" t="s">
        <v>16244</v>
      </c>
    </row>
    <row r="16732" spans="5:5" x14ac:dyDescent="0.25">
      <c r="E16732" t="s">
        <v>16245</v>
      </c>
    </row>
    <row r="16733" spans="5:5" x14ac:dyDescent="0.25">
      <c r="E16733" t="s">
        <v>16246</v>
      </c>
    </row>
    <row r="16734" spans="5:5" x14ac:dyDescent="0.25">
      <c r="E16734" t="s">
        <v>16247</v>
      </c>
    </row>
    <row r="16735" spans="5:5" x14ac:dyDescent="0.25">
      <c r="E16735" t="s">
        <v>16248</v>
      </c>
    </row>
    <row r="16736" spans="5:5" x14ac:dyDescent="0.25">
      <c r="E16736" t="s">
        <v>16249</v>
      </c>
    </row>
    <row r="16737" spans="5:5" x14ac:dyDescent="0.25">
      <c r="E16737" t="s">
        <v>16250</v>
      </c>
    </row>
    <row r="16738" spans="5:5" x14ac:dyDescent="0.25">
      <c r="E16738" t="s">
        <v>16251</v>
      </c>
    </row>
    <row r="16739" spans="5:5" x14ac:dyDescent="0.25">
      <c r="E16739" t="s">
        <v>16252</v>
      </c>
    </row>
    <row r="16740" spans="5:5" x14ac:dyDescent="0.25">
      <c r="E16740" t="s">
        <v>16253</v>
      </c>
    </row>
    <row r="16741" spans="5:5" x14ac:dyDescent="0.25">
      <c r="E16741" t="s">
        <v>16254</v>
      </c>
    </row>
    <row r="16742" spans="5:5" x14ac:dyDescent="0.25">
      <c r="E16742" t="s">
        <v>16255</v>
      </c>
    </row>
    <row r="16743" spans="5:5" x14ac:dyDescent="0.25">
      <c r="E16743" t="s">
        <v>16256</v>
      </c>
    </row>
    <row r="16744" spans="5:5" x14ac:dyDescent="0.25">
      <c r="E16744" t="s">
        <v>16257</v>
      </c>
    </row>
    <row r="16745" spans="5:5" x14ac:dyDescent="0.25">
      <c r="E16745" t="s">
        <v>16258</v>
      </c>
    </row>
    <row r="16746" spans="5:5" x14ac:dyDescent="0.25">
      <c r="E16746" t="s">
        <v>16259</v>
      </c>
    </row>
    <row r="16747" spans="5:5" x14ac:dyDescent="0.25">
      <c r="E16747" t="s">
        <v>16260</v>
      </c>
    </row>
    <row r="16748" spans="5:5" x14ac:dyDescent="0.25">
      <c r="E16748" t="s">
        <v>16261</v>
      </c>
    </row>
    <row r="16749" spans="5:5" x14ac:dyDescent="0.25">
      <c r="E16749" t="s">
        <v>16262</v>
      </c>
    </row>
    <row r="16750" spans="5:5" x14ac:dyDescent="0.25">
      <c r="E16750" t="s">
        <v>16263</v>
      </c>
    </row>
    <row r="16751" spans="5:5" x14ac:dyDescent="0.25">
      <c r="E16751" t="s">
        <v>16264</v>
      </c>
    </row>
    <row r="16752" spans="5:5" x14ac:dyDescent="0.25">
      <c r="E16752" t="s">
        <v>16265</v>
      </c>
    </row>
    <row r="16753" spans="5:5" x14ac:dyDescent="0.25">
      <c r="E16753" t="s">
        <v>16266</v>
      </c>
    </row>
    <row r="16754" spans="5:5" x14ac:dyDescent="0.25">
      <c r="E16754" t="s">
        <v>16267</v>
      </c>
    </row>
    <row r="16755" spans="5:5" x14ac:dyDescent="0.25">
      <c r="E16755" t="s">
        <v>16268</v>
      </c>
    </row>
    <row r="16756" spans="5:5" x14ac:dyDescent="0.25">
      <c r="E16756" t="s">
        <v>16269</v>
      </c>
    </row>
    <row r="16757" spans="5:5" x14ac:dyDescent="0.25">
      <c r="E16757" t="s">
        <v>16270</v>
      </c>
    </row>
    <row r="16758" spans="5:5" x14ac:dyDescent="0.25">
      <c r="E16758" t="s">
        <v>16271</v>
      </c>
    </row>
    <row r="16759" spans="5:5" x14ac:dyDescent="0.25">
      <c r="E16759" t="s">
        <v>16272</v>
      </c>
    </row>
    <row r="16760" spans="5:5" x14ac:dyDescent="0.25">
      <c r="E16760" t="s">
        <v>16273</v>
      </c>
    </row>
    <row r="16761" spans="5:5" x14ac:dyDescent="0.25">
      <c r="E16761" t="s">
        <v>16274</v>
      </c>
    </row>
    <row r="16762" spans="5:5" x14ac:dyDescent="0.25">
      <c r="E16762" t="s">
        <v>16275</v>
      </c>
    </row>
    <row r="16763" spans="5:5" x14ac:dyDescent="0.25">
      <c r="E16763" t="s">
        <v>16276</v>
      </c>
    </row>
    <row r="16764" spans="5:5" x14ac:dyDescent="0.25">
      <c r="E16764" t="s">
        <v>16277</v>
      </c>
    </row>
    <row r="16765" spans="5:5" x14ac:dyDescent="0.25">
      <c r="E16765" t="s">
        <v>16278</v>
      </c>
    </row>
    <row r="16766" spans="5:5" x14ac:dyDescent="0.25">
      <c r="E16766" t="s">
        <v>16279</v>
      </c>
    </row>
    <row r="16767" spans="5:5" x14ac:dyDescent="0.25">
      <c r="E16767" t="s">
        <v>16280</v>
      </c>
    </row>
    <row r="16768" spans="5:5" x14ac:dyDescent="0.25">
      <c r="E16768" t="s">
        <v>16281</v>
      </c>
    </row>
    <row r="16769" spans="5:5" x14ac:dyDescent="0.25">
      <c r="E16769" t="s">
        <v>16282</v>
      </c>
    </row>
    <row r="16770" spans="5:5" x14ac:dyDescent="0.25">
      <c r="E16770" t="s">
        <v>16283</v>
      </c>
    </row>
    <row r="16771" spans="5:5" x14ac:dyDescent="0.25">
      <c r="E16771" t="s">
        <v>16284</v>
      </c>
    </row>
    <row r="16772" spans="5:5" x14ac:dyDescent="0.25">
      <c r="E16772" t="s">
        <v>16285</v>
      </c>
    </row>
    <row r="16773" spans="5:5" x14ac:dyDescent="0.25">
      <c r="E16773" t="s">
        <v>16286</v>
      </c>
    </row>
    <row r="16774" spans="5:5" x14ac:dyDescent="0.25">
      <c r="E16774" t="s">
        <v>16287</v>
      </c>
    </row>
    <row r="16775" spans="5:5" x14ac:dyDescent="0.25">
      <c r="E16775" t="s">
        <v>16288</v>
      </c>
    </row>
    <row r="16776" spans="5:5" x14ac:dyDescent="0.25">
      <c r="E16776" t="s">
        <v>16289</v>
      </c>
    </row>
    <row r="16777" spans="5:5" x14ac:dyDescent="0.25">
      <c r="E16777" t="s">
        <v>16290</v>
      </c>
    </row>
    <row r="16778" spans="5:5" x14ac:dyDescent="0.25">
      <c r="E16778" t="s">
        <v>16291</v>
      </c>
    </row>
    <row r="16779" spans="5:5" x14ac:dyDescent="0.25">
      <c r="E16779" t="s">
        <v>16292</v>
      </c>
    </row>
    <row r="16780" spans="5:5" x14ac:dyDescent="0.25">
      <c r="E16780" t="s">
        <v>16293</v>
      </c>
    </row>
    <row r="16781" spans="5:5" x14ac:dyDescent="0.25">
      <c r="E16781" t="s">
        <v>16294</v>
      </c>
    </row>
    <row r="16782" spans="5:5" x14ac:dyDescent="0.25">
      <c r="E16782" t="s">
        <v>16295</v>
      </c>
    </row>
    <row r="16783" spans="5:5" x14ac:dyDescent="0.25">
      <c r="E16783" t="s">
        <v>16296</v>
      </c>
    </row>
    <row r="16784" spans="5:5" x14ac:dyDescent="0.25">
      <c r="E16784" t="s">
        <v>16297</v>
      </c>
    </row>
    <row r="16785" spans="5:5" x14ac:dyDescent="0.25">
      <c r="E16785" t="s">
        <v>16298</v>
      </c>
    </row>
    <row r="16786" spans="5:5" x14ac:dyDescent="0.25">
      <c r="E16786" t="s">
        <v>16299</v>
      </c>
    </row>
    <row r="16787" spans="5:5" x14ac:dyDescent="0.25">
      <c r="E16787" t="s">
        <v>16300</v>
      </c>
    </row>
    <row r="16788" spans="5:5" x14ac:dyDescent="0.25">
      <c r="E16788" t="s">
        <v>16301</v>
      </c>
    </row>
    <row r="16789" spans="5:5" x14ac:dyDescent="0.25">
      <c r="E16789" t="s">
        <v>16302</v>
      </c>
    </row>
    <row r="16790" spans="5:5" x14ac:dyDescent="0.25">
      <c r="E16790" t="s">
        <v>16303</v>
      </c>
    </row>
    <row r="16791" spans="5:5" x14ac:dyDescent="0.25">
      <c r="E16791" t="s">
        <v>16304</v>
      </c>
    </row>
    <row r="16792" spans="5:5" x14ac:dyDescent="0.25">
      <c r="E16792" t="s">
        <v>16305</v>
      </c>
    </row>
    <row r="16793" spans="5:5" x14ac:dyDescent="0.25">
      <c r="E16793" t="s">
        <v>16306</v>
      </c>
    </row>
    <row r="16794" spans="5:5" x14ac:dyDescent="0.25">
      <c r="E16794" t="s">
        <v>16307</v>
      </c>
    </row>
    <row r="16795" spans="5:5" x14ac:dyDescent="0.25">
      <c r="E16795" t="s">
        <v>16308</v>
      </c>
    </row>
    <row r="16796" spans="5:5" x14ac:dyDescent="0.25">
      <c r="E16796" t="s">
        <v>16309</v>
      </c>
    </row>
    <row r="16797" spans="5:5" x14ac:dyDescent="0.25">
      <c r="E16797" t="s">
        <v>16310</v>
      </c>
    </row>
    <row r="16798" spans="5:5" x14ac:dyDescent="0.25">
      <c r="E16798" t="s">
        <v>16311</v>
      </c>
    </row>
    <row r="16799" spans="5:5" x14ac:dyDescent="0.25">
      <c r="E16799" t="s">
        <v>16312</v>
      </c>
    </row>
    <row r="16800" spans="5:5" x14ac:dyDescent="0.25">
      <c r="E16800" t="s">
        <v>16313</v>
      </c>
    </row>
    <row r="16801" spans="5:5" x14ac:dyDescent="0.25">
      <c r="E16801" t="s">
        <v>16314</v>
      </c>
    </row>
    <row r="16802" spans="5:5" x14ac:dyDescent="0.25">
      <c r="E16802" t="s">
        <v>16315</v>
      </c>
    </row>
    <row r="16803" spans="5:5" x14ac:dyDescent="0.25">
      <c r="E16803" t="s">
        <v>16316</v>
      </c>
    </row>
    <row r="16804" spans="5:5" x14ac:dyDescent="0.25">
      <c r="E16804" t="s">
        <v>16317</v>
      </c>
    </row>
    <row r="16805" spans="5:5" x14ac:dyDescent="0.25">
      <c r="E16805" t="s">
        <v>16318</v>
      </c>
    </row>
    <row r="16806" spans="5:5" x14ac:dyDescent="0.25">
      <c r="E16806" t="s">
        <v>16319</v>
      </c>
    </row>
    <row r="16807" spans="5:5" x14ac:dyDescent="0.25">
      <c r="E16807" t="s">
        <v>16320</v>
      </c>
    </row>
    <row r="16808" spans="5:5" x14ac:dyDescent="0.25">
      <c r="E16808" t="s">
        <v>16321</v>
      </c>
    </row>
    <row r="16809" spans="5:5" x14ac:dyDescent="0.25">
      <c r="E16809" t="s">
        <v>16322</v>
      </c>
    </row>
    <row r="16810" spans="5:5" x14ac:dyDescent="0.25">
      <c r="E16810" t="s">
        <v>16323</v>
      </c>
    </row>
    <row r="16811" spans="5:5" x14ac:dyDescent="0.25">
      <c r="E16811" t="s">
        <v>16324</v>
      </c>
    </row>
    <row r="16812" spans="5:5" x14ac:dyDescent="0.25">
      <c r="E16812" t="s">
        <v>16325</v>
      </c>
    </row>
    <row r="16813" spans="5:5" x14ac:dyDescent="0.25">
      <c r="E16813" t="s">
        <v>16326</v>
      </c>
    </row>
    <row r="16814" spans="5:5" x14ac:dyDescent="0.25">
      <c r="E16814" t="s">
        <v>16327</v>
      </c>
    </row>
    <row r="16815" spans="5:5" x14ac:dyDescent="0.25">
      <c r="E16815" t="s">
        <v>16328</v>
      </c>
    </row>
    <row r="16816" spans="5:5" x14ac:dyDescent="0.25">
      <c r="E16816" t="s">
        <v>16329</v>
      </c>
    </row>
    <row r="16817" spans="5:5" x14ac:dyDescent="0.25">
      <c r="E16817" t="s">
        <v>16330</v>
      </c>
    </row>
    <row r="16818" spans="5:5" x14ac:dyDescent="0.25">
      <c r="E16818" t="s">
        <v>16331</v>
      </c>
    </row>
    <row r="16819" spans="5:5" x14ac:dyDescent="0.25">
      <c r="E16819" t="s">
        <v>16332</v>
      </c>
    </row>
    <row r="16820" spans="5:5" x14ac:dyDescent="0.25">
      <c r="E16820" t="s">
        <v>16333</v>
      </c>
    </row>
    <row r="16821" spans="5:5" x14ac:dyDescent="0.25">
      <c r="E16821" t="s">
        <v>16334</v>
      </c>
    </row>
    <row r="16822" spans="5:5" x14ac:dyDescent="0.25">
      <c r="E16822" t="s">
        <v>16335</v>
      </c>
    </row>
    <row r="16823" spans="5:5" x14ac:dyDescent="0.25">
      <c r="E16823" t="s">
        <v>16336</v>
      </c>
    </row>
    <row r="16824" spans="5:5" x14ac:dyDescent="0.25">
      <c r="E16824" t="s">
        <v>16337</v>
      </c>
    </row>
    <row r="16825" spans="5:5" x14ac:dyDescent="0.25">
      <c r="E16825" t="s">
        <v>16338</v>
      </c>
    </row>
    <row r="16826" spans="5:5" x14ac:dyDescent="0.25">
      <c r="E16826" t="s">
        <v>16339</v>
      </c>
    </row>
    <row r="16827" spans="5:5" x14ac:dyDescent="0.25">
      <c r="E16827" t="s">
        <v>16340</v>
      </c>
    </row>
    <row r="16828" spans="5:5" x14ac:dyDescent="0.25">
      <c r="E16828" t="s">
        <v>16341</v>
      </c>
    </row>
    <row r="16829" spans="5:5" x14ac:dyDescent="0.25">
      <c r="E16829" t="s">
        <v>16342</v>
      </c>
    </row>
    <row r="16830" spans="5:5" x14ac:dyDescent="0.25">
      <c r="E16830" t="s">
        <v>16343</v>
      </c>
    </row>
    <row r="16831" spans="5:5" x14ac:dyDescent="0.25">
      <c r="E16831" t="s">
        <v>16344</v>
      </c>
    </row>
    <row r="16832" spans="5:5" x14ac:dyDescent="0.25">
      <c r="E16832" t="s">
        <v>16345</v>
      </c>
    </row>
    <row r="16833" spans="5:5" x14ac:dyDescent="0.25">
      <c r="E16833" t="s">
        <v>16346</v>
      </c>
    </row>
    <row r="16834" spans="5:5" x14ac:dyDescent="0.25">
      <c r="E16834" t="s">
        <v>16347</v>
      </c>
    </row>
    <row r="16835" spans="5:5" x14ac:dyDescent="0.25">
      <c r="E16835" t="s">
        <v>16348</v>
      </c>
    </row>
    <row r="16836" spans="5:5" x14ac:dyDescent="0.25">
      <c r="E16836" t="s">
        <v>16349</v>
      </c>
    </row>
    <row r="16837" spans="5:5" x14ac:dyDescent="0.25">
      <c r="E16837" t="s">
        <v>16350</v>
      </c>
    </row>
    <row r="16838" spans="5:5" x14ac:dyDescent="0.25">
      <c r="E16838" t="s">
        <v>16351</v>
      </c>
    </row>
    <row r="16839" spans="5:5" x14ac:dyDescent="0.25">
      <c r="E16839" t="s">
        <v>16352</v>
      </c>
    </row>
    <row r="16840" spans="5:5" x14ac:dyDescent="0.25">
      <c r="E16840" t="s">
        <v>16353</v>
      </c>
    </row>
    <row r="16841" spans="5:5" x14ac:dyDescent="0.25">
      <c r="E16841" t="s">
        <v>16354</v>
      </c>
    </row>
    <row r="16842" spans="5:5" x14ac:dyDescent="0.25">
      <c r="E16842" t="s">
        <v>16355</v>
      </c>
    </row>
    <row r="16843" spans="5:5" x14ac:dyDescent="0.25">
      <c r="E16843" t="s">
        <v>16356</v>
      </c>
    </row>
    <row r="16844" spans="5:5" x14ac:dyDescent="0.25">
      <c r="E16844" t="s">
        <v>16357</v>
      </c>
    </row>
    <row r="16845" spans="5:5" x14ac:dyDescent="0.25">
      <c r="E16845" t="s">
        <v>16358</v>
      </c>
    </row>
    <row r="16846" spans="5:5" x14ac:dyDescent="0.25">
      <c r="E16846" t="s">
        <v>16359</v>
      </c>
    </row>
    <row r="16847" spans="5:5" x14ac:dyDescent="0.25">
      <c r="E16847" t="s">
        <v>16360</v>
      </c>
    </row>
    <row r="16848" spans="5:5" x14ac:dyDescent="0.25">
      <c r="E16848" t="s">
        <v>16361</v>
      </c>
    </row>
    <row r="16849" spans="5:5" x14ac:dyDescent="0.25">
      <c r="E16849" t="s">
        <v>16362</v>
      </c>
    </row>
    <row r="16850" spans="5:5" x14ac:dyDescent="0.25">
      <c r="E16850" t="s">
        <v>16363</v>
      </c>
    </row>
    <row r="16851" spans="5:5" x14ac:dyDescent="0.25">
      <c r="E16851" t="s">
        <v>16364</v>
      </c>
    </row>
    <row r="16852" spans="5:5" x14ac:dyDescent="0.25">
      <c r="E16852" t="s">
        <v>16365</v>
      </c>
    </row>
    <row r="16853" spans="5:5" x14ac:dyDescent="0.25">
      <c r="E16853" t="s">
        <v>16366</v>
      </c>
    </row>
    <row r="16854" spans="5:5" x14ac:dyDescent="0.25">
      <c r="E16854" t="s">
        <v>16367</v>
      </c>
    </row>
    <row r="16855" spans="5:5" x14ac:dyDescent="0.25">
      <c r="E16855" t="s">
        <v>16368</v>
      </c>
    </row>
    <row r="16856" spans="5:5" x14ac:dyDescent="0.25">
      <c r="E16856" t="s">
        <v>16369</v>
      </c>
    </row>
    <row r="16857" spans="5:5" x14ac:dyDescent="0.25">
      <c r="E16857" t="s">
        <v>16370</v>
      </c>
    </row>
    <row r="16858" spans="5:5" x14ac:dyDescent="0.25">
      <c r="E16858" t="s">
        <v>16371</v>
      </c>
    </row>
    <row r="16859" spans="5:5" x14ac:dyDescent="0.25">
      <c r="E16859" t="s">
        <v>16372</v>
      </c>
    </row>
    <row r="16860" spans="5:5" x14ac:dyDescent="0.25">
      <c r="E16860" t="s">
        <v>16373</v>
      </c>
    </row>
    <row r="16861" spans="5:5" x14ac:dyDescent="0.25">
      <c r="E16861" t="s">
        <v>16374</v>
      </c>
    </row>
    <row r="16862" spans="5:5" x14ac:dyDescent="0.25">
      <c r="E16862" t="s">
        <v>16375</v>
      </c>
    </row>
    <row r="16863" spans="5:5" x14ac:dyDescent="0.25">
      <c r="E16863" t="s">
        <v>16376</v>
      </c>
    </row>
    <row r="16864" spans="5:5" x14ac:dyDescent="0.25">
      <c r="E16864" t="s">
        <v>16377</v>
      </c>
    </row>
    <row r="16865" spans="5:5" x14ac:dyDescent="0.25">
      <c r="E16865" t="s">
        <v>16378</v>
      </c>
    </row>
    <row r="16866" spans="5:5" x14ac:dyDescent="0.25">
      <c r="E16866" t="s">
        <v>16379</v>
      </c>
    </row>
    <row r="16867" spans="5:5" x14ac:dyDescent="0.25">
      <c r="E16867" t="s">
        <v>16380</v>
      </c>
    </row>
    <row r="16868" spans="5:5" x14ac:dyDescent="0.25">
      <c r="E16868" t="s">
        <v>16381</v>
      </c>
    </row>
    <row r="16869" spans="5:5" x14ac:dyDescent="0.25">
      <c r="E16869" t="s">
        <v>16382</v>
      </c>
    </row>
    <row r="16870" spans="5:5" x14ac:dyDescent="0.25">
      <c r="E16870" t="s">
        <v>16383</v>
      </c>
    </row>
    <row r="16871" spans="5:5" x14ac:dyDescent="0.25">
      <c r="E16871" t="s">
        <v>16384</v>
      </c>
    </row>
    <row r="16872" spans="5:5" x14ac:dyDescent="0.25">
      <c r="E16872" t="s">
        <v>16385</v>
      </c>
    </row>
    <row r="16873" spans="5:5" x14ac:dyDescent="0.25">
      <c r="E16873" t="s">
        <v>16386</v>
      </c>
    </row>
    <row r="16874" spans="5:5" x14ac:dyDescent="0.25">
      <c r="E16874" t="s">
        <v>16387</v>
      </c>
    </row>
    <row r="16875" spans="5:5" x14ac:dyDescent="0.25">
      <c r="E16875" t="s">
        <v>16388</v>
      </c>
    </row>
    <row r="16876" spans="5:5" x14ac:dyDescent="0.25">
      <c r="E16876" t="s">
        <v>16389</v>
      </c>
    </row>
    <row r="16877" spans="5:5" x14ac:dyDescent="0.25">
      <c r="E16877" t="s">
        <v>16390</v>
      </c>
    </row>
    <row r="16880" spans="5:5" x14ac:dyDescent="0.25">
      <c r="E16880" t="s">
        <v>16391</v>
      </c>
    </row>
    <row r="16881" spans="5:5" x14ac:dyDescent="0.25">
      <c r="E16881" t="s">
        <v>16392</v>
      </c>
    </row>
    <row r="16882" spans="5:5" x14ac:dyDescent="0.25">
      <c r="E16882" t="s">
        <v>16393</v>
      </c>
    </row>
    <row r="16883" spans="5:5" x14ac:dyDescent="0.25">
      <c r="E16883" t="s">
        <v>16394</v>
      </c>
    </row>
    <row r="16884" spans="5:5" x14ac:dyDescent="0.25">
      <c r="E16884" t="s">
        <v>16395</v>
      </c>
    </row>
    <row r="16885" spans="5:5" x14ac:dyDescent="0.25">
      <c r="E16885" t="s">
        <v>16396</v>
      </c>
    </row>
    <row r="16886" spans="5:5" x14ac:dyDescent="0.25">
      <c r="E16886" t="s">
        <v>16397</v>
      </c>
    </row>
    <row r="16887" spans="5:5" x14ac:dyDescent="0.25">
      <c r="E16887" t="s">
        <v>16398</v>
      </c>
    </row>
    <row r="16888" spans="5:5" x14ac:dyDescent="0.25">
      <c r="E16888" t="s">
        <v>16399</v>
      </c>
    </row>
    <row r="16889" spans="5:5" x14ac:dyDescent="0.25">
      <c r="E16889" t="s">
        <v>16400</v>
      </c>
    </row>
    <row r="16890" spans="5:5" x14ac:dyDescent="0.25">
      <c r="E16890" t="s">
        <v>16401</v>
      </c>
    </row>
    <row r="16891" spans="5:5" x14ac:dyDescent="0.25">
      <c r="E16891" t="s">
        <v>16402</v>
      </c>
    </row>
    <row r="16892" spans="5:5" x14ac:dyDescent="0.25">
      <c r="E16892" t="s">
        <v>16403</v>
      </c>
    </row>
    <row r="16893" spans="5:5" x14ac:dyDescent="0.25">
      <c r="E16893" t="s">
        <v>16404</v>
      </c>
    </row>
    <row r="16894" spans="5:5" x14ac:dyDescent="0.25">
      <c r="E16894" t="s">
        <v>16405</v>
      </c>
    </row>
    <row r="16895" spans="5:5" x14ac:dyDescent="0.25">
      <c r="E16895" t="s">
        <v>16406</v>
      </c>
    </row>
    <row r="16896" spans="5:5" x14ac:dyDescent="0.25">
      <c r="E16896" t="s">
        <v>16407</v>
      </c>
    </row>
    <row r="16897" spans="5:5" x14ac:dyDescent="0.25">
      <c r="E16897" t="s">
        <v>16408</v>
      </c>
    </row>
    <row r="16898" spans="5:5" x14ac:dyDescent="0.25">
      <c r="E16898" t="s">
        <v>16409</v>
      </c>
    </row>
    <row r="16899" spans="5:5" x14ac:dyDescent="0.25">
      <c r="E16899" t="s">
        <v>16410</v>
      </c>
    </row>
    <row r="16900" spans="5:5" x14ac:dyDescent="0.25">
      <c r="E16900" t="s">
        <v>16411</v>
      </c>
    </row>
    <row r="16901" spans="5:5" x14ac:dyDescent="0.25">
      <c r="E16901" t="s">
        <v>16412</v>
      </c>
    </row>
    <row r="16902" spans="5:5" x14ac:dyDescent="0.25">
      <c r="E16902" t="s">
        <v>16413</v>
      </c>
    </row>
    <row r="16903" spans="5:5" x14ac:dyDescent="0.25">
      <c r="E16903" t="s">
        <v>16414</v>
      </c>
    </row>
    <row r="16904" spans="5:5" x14ac:dyDescent="0.25">
      <c r="E16904" t="s">
        <v>16415</v>
      </c>
    </row>
    <row r="16905" spans="5:5" x14ac:dyDescent="0.25">
      <c r="E16905" t="s">
        <v>16416</v>
      </c>
    </row>
    <row r="16906" spans="5:5" x14ac:dyDescent="0.25">
      <c r="E16906" t="s">
        <v>16417</v>
      </c>
    </row>
    <row r="16907" spans="5:5" x14ac:dyDescent="0.25">
      <c r="E16907" t="s">
        <v>16418</v>
      </c>
    </row>
    <row r="16908" spans="5:5" x14ac:dyDescent="0.25">
      <c r="E16908" t="s">
        <v>16419</v>
      </c>
    </row>
    <row r="16909" spans="5:5" x14ac:dyDescent="0.25">
      <c r="E16909" t="s">
        <v>16420</v>
      </c>
    </row>
    <row r="16910" spans="5:5" x14ac:dyDescent="0.25">
      <c r="E16910" t="s">
        <v>16421</v>
      </c>
    </row>
    <row r="16911" spans="5:5" x14ac:dyDescent="0.25">
      <c r="E16911" t="s">
        <v>16422</v>
      </c>
    </row>
    <row r="16912" spans="5:5" x14ac:dyDescent="0.25">
      <c r="E16912" t="s">
        <v>16423</v>
      </c>
    </row>
    <row r="16913" spans="5:5" x14ac:dyDescent="0.25">
      <c r="E16913" t="s">
        <v>16424</v>
      </c>
    </row>
    <row r="16914" spans="5:5" x14ac:dyDescent="0.25">
      <c r="E16914" t="s">
        <v>16425</v>
      </c>
    </row>
    <row r="16915" spans="5:5" x14ac:dyDescent="0.25">
      <c r="E16915" t="s">
        <v>16426</v>
      </c>
    </row>
    <row r="16916" spans="5:5" x14ac:dyDescent="0.25">
      <c r="E16916" t="s">
        <v>16427</v>
      </c>
    </row>
    <row r="16917" spans="5:5" x14ac:dyDescent="0.25">
      <c r="E16917" t="s">
        <v>16428</v>
      </c>
    </row>
    <row r="16918" spans="5:5" x14ac:dyDescent="0.25">
      <c r="E16918" t="s">
        <v>16429</v>
      </c>
    </row>
    <row r="16919" spans="5:5" x14ac:dyDescent="0.25">
      <c r="E16919" t="s">
        <v>16430</v>
      </c>
    </row>
    <row r="16920" spans="5:5" x14ac:dyDescent="0.25">
      <c r="E16920" t="s">
        <v>16431</v>
      </c>
    </row>
    <row r="16921" spans="5:5" x14ac:dyDescent="0.25">
      <c r="E16921" t="s">
        <v>16432</v>
      </c>
    </row>
    <row r="16922" spans="5:5" x14ac:dyDescent="0.25">
      <c r="E16922" t="s">
        <v>16433</v>
      </c>
    </row>
    <row r="16923" spans="5:5" x14ac:dyDescent="0.25">
      <c r="E16923" t="s">
        <v>16434</v>
      </c>
    </row>
    <row r="16924" spans="5:5" x14ac:dyDescent="0.25">
      <c r="E16924" t="s">
        <v>16435</v>
      </c>
    </row>
    <row r="16925" spans="5:5" x14ac:dyDescent="0.25">
      <c r="E16925" t="s">
        <v>16436</v>
      </c>
    </row>
    <row r="16926" spans="5:5" x14ac:dyDescent="0.25">
      <c r="E16926" t="s">
        <v>16437</v>
      </c>
    </row>
    <row r="16927" spans="5:5" x14ac:dyDescent="0.25">
      <c r="E16927" t="s">
        <v>16438</v>
      </c>
    </row>
    <row r="16928" spans="5:5" x14ac:dyDescent="0.25">
      <c r="E16928" t="s">
        <v>16439</v>
      </c>
    </row>
    <row r="16929" spans="5:5" x14ac:dyDescent="0.25">
      <c r="E16929" t="s">
        <v>16440</v>
      </c>
    </row>
    <row r="16930" spans="5:5" x14ac:dyDescent="0.25">
      <c r="E16930" t="s">
        <v>16441</v>
      </c>
    </row>
    <row r="16931" spans="5:5" x14ac:dyDescent="0.25">
      <c r="E16931" t="s">
        <v>16442</v>
      </c>
    </row>
    <row r="16932" spans="5:5" x14ac:dyDescent="0.25">
      <c r="E16932" t="s">
        <v>16443</v>
      </c>
    </row>
    <row r="16933" spans="5:5" x14ac:dyDescent="0.25">
      <c r="E16933" t="s">
        <v>16444</v>
      </c>
    </row>
    <row r="16934" spans="5:5" x14ac:dyDescent="0.25">
      <c r="E16934" t="s">
        <v>16445</v>
      </c>
    </row>
    <row r="16935" spans="5:5" x14ac:dyDescent="0.25">
      <c r="E16935" t="s">
        <v>16446</v>
      </c>
    </row>
    <row r="16936" spans="5:5" x14ac:dyDescent="0.25">
      <c r="E16936" t="s">
        <v>16447</v>
      </c>
    </row>
    <row r="16937" spans="5:5" x14ac:dyDescent="0.25">
      <c r="E16937" t="s">
        <v>16448</v>
      </c>
    </row>
    <row r="16938" spans="5:5" x14ac:dyDescent="0.25">
      <c r="E16938" t="s">
        <v>16449</v>
      </c>
    </row>
    <row r="16939" spans="5:5" x14ac:dyDescent="0.25">
      <c r="E16939" t="s">
        <v>16450</v>
      </c>
    </row>
    <row r="16940" spans="5:5" x14ac:dyDescent="0.25">
      <c r="E16940" t="s">
        <v>16451</v>
      </c>
    </row>
    <row r="16941" spans="5:5" x14ac:dyDescent="0.25">
      <c r="E16941" t="s">
        <v>16452</v>
      </c>
    </row>
    <row r="16942" spans="5:5" x14ac:dyDescent="0.25">
      <c r="E16942" t="s">
        <v>16453</v>
      </c>
    </row>
    <row r="16943" spans="5:5" x14ac:dyDescent="0.25">
      <c r="E16943" t="s">
        <v>16454</v>
      </c>
    </row>
    <row r="16944" spans="5:5" x14ac:dyDescent="0.25">
      <c r="E16944" t="s">
        <v>16455</v>
      </c>
    </row>
    <row r="16945" spans="5:5" x14ac:dyDescent="0.25">
      <c r="E16945" t="s">
        <v>16456</v>
      </c>
    </row>
    <row r="16946" spans="5:5" x14ac:dyDescent="0.25">
      <c r="E16946" t="s">
        <v>16457</v>
      </c>
    </row>
    <row r="16947" spans="5:5" x14ac:dyDescent="0.25">
      <c r="E16947" t="s">
        <v>16458</v>
      </c>
    </row>
    <row r="16948" spans="5:5" x14ac:dyDescent="0.25">
      <c r="E16948" t="s">
        <v>16459</v>
      </c>
    </row>
    <row r="16949" spans="5:5" x14ac:dyDescent="0.25">
      <c r="E16949" t="s">
        <v>16460</v>
      </c>
    </row>
    <row r="16950" spans="5:5" x14ac:dyDescent="0.25">
      <c r="E16950" t="s">
        <v>16461</v>
      </c>
    </row>
    <row r="16951" spans="5:5" x14ac:dyDescent="0.25">
      <c r="E16951" t="s">
        <v>16462</v>
      </c>
    </row>
    <row r="16952" spans="5:5" x14ac:dyDescent="0.25">
      <c r="E16952" t="s">
        <v>16463</v>
      </c>
    </row>
    <row r="16953" spans="5:5" x14ac:dyDescent="0.25">
      <c r="E16953" t="s">
        <v>16464</v>
      </c>
    </row>
    <row r="16954" spans="5:5" x14ac:dyDescent="0.25">
      <c r="E16954" t="s">
        <v>16465</v>
      </c>
    </row>
    <row r="16955" spans="5:5" x14ac:dyDescent="0.25">
      <c r="E16955" t="s">
        <v>16466</v>
      </c>
    </row>
    <row r="16956" spans="5:5" x14ac:dyDescent="0.25">
      <c r="E16956" t="s">
        <v>16467</v>
      </c>
    </row>
    <row r="16957" spans="5:5" x14ac:dyDescent="0.25">
      <c r="E16957" t="s">
        <v>16468</v>
      </c>
    </row>
    <row r="16958" spans="5:5" x14ac:dyDescent="0.25">
      <c r="E16958" t="s">
        <v>16469</v>
      </c>
    </row>
    <row r="16959" spans="5:5" x14ac:dyDescent="0.25">
      <c r="E16959" t="s">
        <v>16470</v>
      </c>
    </row>
    <row r="16960" spans="5:5" x14ac:dyDescent="0.25">
      <c r="E16960" t="s">
        <v>16471</v>
      </c>
    </row>
    <row r="16961" spans="5:5" x14ac:dyDescent="0.25">
      <c r="E16961" t="s">
        <v>16472</v>
      </c>
    </row>
    <row r="16962" spans="5:5" x14ac:dyDescent="0.25">
      <c r="E16962" t="s">
        <v>16473</v>
      </c>
    </row>
    <row r="16963" spans="5:5" x14ac:dyDescent="0.25">
      <c r="E16963" t="s">
        <v>16474</v>
      </c>
    </row>
    <row r="16964" spans="5:5" x14ac:dyDescent="0.25">
      <c r="E16964" t="s">
        <v>16475</v>
      </c>
    </row>
    <row r="16965" spans="5:5" x14ac:dyDescent="0.25">
      <c r="E16965" t="s">
        <v>16476</v>
      </c>
    </row>
    <row r="16966" spans="5:5" x14ac:dyDescent="0.25">
      <c r="E16966" t="s">
        <v>16477</v>
      </c>
    </row>
    <row r="16967" spans="5:5" x14ac:dyDescent="0.25">
      <c r="E16967" t="s">
        <v>16478</v>
      </c>
    </row>
    <row r="16968" spans="5:5" x14ac:dyDescent="0.25">
      <c r="E16968" t="s">
        <v>16479</v>
      </c>
    </row>
    <row r="16969" spans="5:5" x14ac:dyDescent="0.25">
      <c r="E16969" t="s">
        <v>16480</v>
      </c>
    </row>
    <row r="16970" spans="5:5" x14ac:dyDescent="0.25">
      <c r="E16970" t="s">
        <v>16481</v>
      </c>
    </row>
    <row r="16971" spans="5:5" x14ac:dyDescent="0.25">
      <c r="E16971" t="s">
        <v>16482</v>
      </c>
    </row>
    <row r="16972" spans="5:5" x14ac:dyDescent="0.25">
      <c r="E16972" t="s">
        <v>16483</v>
      </c>
    </row>
    <row r="16973" spans="5:5" x14ac:dyDescent="0.25">
      <c r="E16973" t="s">
        <v>16484</v>
      </c>
    </row>
    <row r="16974" spans="5:5" x14ac:dyDescent="0.25">
      <c r="E16974" t="s">
        <v>16485</v>
      </c>
    </row>
    <row r="16975" spans="5:5" x14ac:dyDescent="0.25">
      <c r="E16975" t="s">
        <v>16486</v>
      </c>
    </row>
    <row r="16976" spans="5:5" x14ac:dyDescent="0.25">
      <c r="E16976" t="s">
        <v>16487</v>
      </c>
    </row>
    <row r="16977" spans="5:5" x14ac:dyDescent="0.25">
      <c r="E16977" t="s">
        <v>16488</v>
      </c>
    </row>
    <row r="16978" spans="5:5" x14ac:dyDescent="0.25">
      <c r="E16978" t="s">
        <v>16489</v>
      </c>
    </row>
    <row r="16979" spans="5:5" x14ac:dyDescent="0.25">
      <c r="E16979" t="s">
        <v>16490</v>
      </c>
    </row>
    <row r="16980" spans="5:5" x14ac:dyDescent="0.25">
      <c r="E16980" t="s">
        <v>16491</v>
      </c>
    </row>
    <row r="16981" spans="5:5" x14ac:dyDescent="0.25">
      <c r="E16981" t="s">
        <v>16492</v>
      </c>
    </row>
    <row r="16982" spans="5:5" x14ac:dyDescent="0.25">
      <c r="E16982" t="s">
        <v>16493</v>
      </c>
    </row>
    <row r="16983" spans="5:5" x14ac:dyDescent="0.25">
      <c r="E16983" t="s">
        <v>16494</v>
      </c>
    </row>
    <row r="16984" spans="5:5" x14ac:dyDescent="0.25">
      <c r="E16984" t="s">
        <v>16495</v>
      </c>
    </row>
    <row r="16985" spans="5:5" x14ac:dyDescent="0.25">
      <c r="E16985" t="s">
        <v>16496</v>
      </c>
    </row>
    <row r="16986" spans="5:5" x14ac:dyDescent="0.25">
      <c r="E16986" t="s">
        <v>16497</v>
      </c>
    </row>
    <row r="16987" spans="5:5" x14ac:dyDescent="0.25">
      <c r="E16987" t="s">
        <v>16498</v>
      </c>
    </row>
    <row r="16988" spans="5:5" x14ac:dyDescent="0.25">
      <c r="E16988" t="s">
        <v>16499</v>
      </c>
    </row>
    <row r="16989" spans="5:5" x14ac:dyDescent="0.25">
      <c r="E16989" t="s">
        <v>16500</v>
      </c>
    </row>
    <row r="16990" spans="5:5" x14ac:dyDescent="0.25">
      <c r="E16990" t="s">
        <v>16501</v>
      </c>
    </row>
    <row r="16991" spans="5:5" x14ac:dyDescent="0.25">
      <c r="E16991" t="s">
        <v>16502</v>
      </c>
    </row>
    <row r="16992" spans="5:5" x14ac:dyDescent="0.25">
      <c r="E16992" t="s">
        <v>16503</v>
      </c>
    </row>
    <row r="16993" spans="5:5" x14ac:dyDescent="0.25">
      <c r="E16993" t="s">
        <v>16504</v>
      </c>
    </row>
    <row r="16994" spans="5:5" x14ac:dyDescent="0.25">
      <c r="E16994" t="s">
        <v>16505</v>
      </c>
    </row>
    <row r="16995" spans="5:5" x14ac:dyDescent="0.25">
      <c r="E16995" t="s">
        <v>16506</v>
      </c>
    </row>
    <row r="16996" spans="5:5" x14ac:dyDescent="0.25">
      <c r="E16996" t="s">
        <v>16507</v>
      </c>
    </row>
    <row r="16997" spans="5:5" x14ac:dyDescent="0.25">
      <c r="E16997" t="s">
        <v>16508</v>
      </c>
    </row>
    <row r="16998" spans="5:5" x14ac:dyDescent="0.25">
      <c r="E16998" t="s">
        <v>16509</v>
      </c>
    </row>
    <row r="16999" spans="5:5" x14ac:dyDescent="0.25">
      <c r="E16999" t="s">
        <v>16510</v>
      </c>
    </row>
    <row r="17000" spans="5:5" x14ac:dyDescent="0.25">
      <c r="E17000" t="s">
        <v>16511</v>
      </c>
    </row>
    <row r="17001" spans="5:5" x14ac:dyDescent="0.25">
      <c r="E17001" t="s">
        <v>16512</v>
      </c>
    </row>
    <row r="17002" spans="5:5" x14ac:dyDescent="0.25">
      <c r="E17002" t="s">
        <v>16513</v>
      </c>
    </row>
    <row r="17003" spans="5:5" x14ac:dyDescent="0.25">
      <c r="E17003" t="s">
        <v>16514</v>
      </c>
    </row>
    <row r="17004" spans="5:5" x14ac:dyDescent="0.25">
      <c r="E17004" t="s">
        <v>16515</v>
      </c>
    </row>
    <row r="17005" spans="5:5" x14ac:dyDescent="0.25">
      <c r="E17005" t="s">
        <v>16516</v>
      </c>
    </row>
    <row r="17006" spans="5:5" x14ac:dyDescent="0.25">
      <c r="E17006" t="s">
        <v>16517</v>
      </c>
    </row>
    <row r="17007" spans="5:5" x14ac:dyDescent="0.25">
      <c r="E17007" t="s">
        <v>16518</v>
      </c>
    </row>
    <row r="17008" spans="5:5" x14ac:dyDescent="0.25">
      <c r="E17008" t="s">
        <v>16519</v>
      </c>
    </row>
    <row r="17009" spans="5:5" x14ac:dyDescent="0.25">
      <c r="E17009" t="s">
        <v>16520</v>
      </c>
    </row>
    <row r="17010" spans="5:5" x14ac:dyDescent="0.25">
      <c r="E17010" t="s">
        <v>16521</v>
      </c>
    </row>
    <row r="17011" spans="5:5" x14ac:dyDescent="0.25">
      <c r="E17011" t="s">
        <v>16522</v>
      </c>
    </row>
    <row r="17012" spans="5:5" x14ac:dyDescent="0.25">
      <c r="E17012" t="s">
        <v>16523</v>
      </c>
    </row>
    <row r="17013" spans="5:5" x14ac:dyDescent="0.25">
      <c r="E17013" t="s">
        <v>16524</v>
      </c>
    </row>
    <row r="17014" spans="5:5" x14ac:dyDescent="0.25">
      <c r="E17014" t="s">
        <v>16525</v>
      </c>
    </row>
    <row r="17015" spans="5:5" x14ac:dyDescent="0.25">
      <c r="E17015" t="s">
        <v>16526</v>
      </c>
    </row>
    <row r="17016" spans="5:5" x14ac:dyDescent="0.25">
      <c r="E17016" t="s">
        <v>16527</v>
      </c>
    </row>
    <row r="17017" spans="5:5" x14ac:dyDescent="0.25">
      <c r="E17017" t="s">
        <v>16528</v>
      </c>
    </row>
    <row r="17018" spans="5:5" x14ac:dyDescent="0.25">
      <c r="E17018" t="s">
        <v>16529</v>
      </c>
    </row>
    <row r="17019" spans="5:5" x14ac:dyDescent="0.25">
      <c r="E17019" t="s">
        <v>16530</v>
      </c>
    </row>
    <row r="17020" spans="5:5" x14ac:dyDescent="0.25">
      <c r="E17020" t="s">
        <v>16531</v>
      </c>
    </row>
    <row r="17021" spans="5:5" x14ac:dyDescent="0.25">
      <c r="E17021" t="s">
        <v>16532</v>
      </c>
    </row>
    <row r="17022" spans="5:5" x14ac:dyDescent="0.25">
      <c r="E17022" t="s">
        <v>16533</v>
      </c>
    </row>
    <row r="17023" spans="5:5" x14ac:dyDescent="0.25">
      <c r="E17023" t="s">
        <v>16534</v>
      </c>
    </row>
    <row r="17024" spans="5:5" x14ac:dyDescent="0.25">
      <c r="E17024" t="s">
        <v>16535</v>
      </c>
    </row>
    <row r="17025" spans="5:5" x14ac:dyDescent="0.25">
      <c r="E17025" t="s">
        <v>16536</v>
      </c>
    </row>
    <row r="17026" spans="5:5" x14ac:dyDescent="0.25">
      <c r="E17026" t="s">
        <v>16537</v>
      </c>
    </row>
    <row r="17027" spans="5:5" x14ac:dyDescent="0.25">
      <c r="E17027" t="s">
        <v>16538</v>
      </c>
    </row>
    <row r="17028" spans="5:5" x14ac:dyDescent="0.25">
      <c r="E17028" t="s">
        <v>16539</v>
      </c>
    </row>
    <row r="17029" spans="5:5" x14ac:dyDescent="0.25">
      <c r="E17029" t="s">
        <v>16540</v>
      </c>
    </row>
    <row r="17030" spans="5:5" x14ac:dyDescent="0.25">
      <c r="E17030" t="s">
        <v>16541</v>
      </c>
    </row>
    <row r="17031" spans="5:5" x14ac:dyDescent="0.25">
      <c r="E17031" t="s">
        <v>16542</v>
      </c>
    </row>
    <row r="17032" spans="5:5" x14ac:dyDescent="0.25">
      <c r="E17032" t="s">
        <v>16543</v>
      </c>
    </row>
    <row r="17033" spans="5:5" x14ac:dyDescent="0.25">
      <c r="E17033" t="s">
        <v>16544</v>
      </c>
    </row>
    <row r="17034" spans="5:5" x14ac:dyDescent="0.25">
      <c r="E17034" t="s">
        <v>16545</v>
      </c>
    </row>
    <row r="17035" spans="5:5" x14ac:dyDescent="0.25">
      <c r="E17035" t="s">
        <v>16546</v>
      </c>
    </row>
    <row r="17036" spans="5:5" x14ac:dyDescent="0.25">
      <c r="E17036" t="s">
        <v>16547</v>
      </c>
    </row>
    <row r="17037" spans="5:5" x14ac:dyDescent="0.25">
      <c r="E17037" t="s">
        <v>16548</v>
      </c>
    </row>
    <row r="17038" spans="5:5" x14ac:dyDescent="0.25">
      <c r="E17038" t="s">
        <v>16549</v>
      </c>
    </row>
    <row r="17039" spans="5:5" x14ac:dyDescent="0.25">
      <c r="E17039" t="s">
        <v>16550</v>
      </c>
    </row>
    <row r="17040" spans="5:5" x14ac:dyDescent="0.25">
      <c r="E17040" t="s">
        <v>16551</v>
      </c>
    </row>
    <row r="17041" spans="5:5" x14ac:dyDescent="0.25">
      <c r="E17041" t="s">
        <v>16552</v>
      </c>
    </row>
    <row r="17042" spans="5:5" x14ac:dyDescent="0.25">
      <c r="E17042" t="s">
        <v>16553</v>
      </c>
    </row>
    <row r="17043" spans="5:5" x14ac:dyDescent="0.25">
      <c r="E17043" t="s">
        <v>16554</v>
      </c>
    </row>
    <row r="17044" spans="5:5" x14ac:dyDescent="0.25">
      <c r="E17044" t="s">
        <v>16555</v>
      </c>
    </row>
    <row r="17045" spans="5:5" x14ac:dyDescent="0.25">
      <c r="E17045" t="s">
        <v>16556</v>
      </c>
    </row>
    <row r="17046" spans="5:5" x14ac:dyDescent="0.25">
      <c r="E17046" t="s">
        <v>16557</v>
      </c>
    </row>
    <row r="17047" spans="5:5" x14ac:dyDescent="0.25">
      <c r="E17047" t="s">
        <v>16558</v>
      </c>
    </row>
    <row r="17048" spans="5:5" x14ac:dyDescent="0.25">
      <c r="E17048" t="s">
        <v>16559</v>
      </c>
    </row>
    <row r="17049" spans="5:5" x14ac:dyDescent="0.25">
      <c r="E17049" t="s">
        <v>16560</v>
      </c>
    </row>
    <row r="17050" spans="5:5" x14ac:dyDescent="0.25">
      <c r="E17050" t="s">
        <v>16561</v>
      </c>
    </row>
    <row r="17051" spans="5:5" x14ac:dyDescent="0.25">
      <c r="E17051" t="s">
        <v>16562</v>
      </c>
    </row>
    <row r="17052" spans="5:5" x14ac:dyDescent="0.25">
      <c r="E17052" t="s">
        <v>16563</v>
      </c>
    </row>
    <row r="17053" spans="5:5" x14ac:dyDescent="0.25">
      <c r="E17053" t="s">
        <v>16564</v>
      </c>
    </row>
    <row r="17054" spans="5:5" x14ac:dyDescent="0.25">
      <c r="E17054" t="s">
        <v>16565</v>
      </c>
    </row>
    <row r="17055" spans="5:5" x14ac:dyDescent="0.25">
      <c r="E17055" t="s">
        <v>16566</v>
      </c>
    </row>
    <row r="17056" spans="5:5" x14ac:dyDescent="0.25">
      <c r="E17056" t="s">
        <v>16567</v>
      </c>
    </row>
    <row r="17057" spans="5:5" x14ac:dyDescent="0.25">
      <c r="E17057" t="s">
        <v>16568</v>
      </c>
    </row>
    <row r="17058" spans="5:5" x14ac:dyDescent="0.25">
      <c r="E17058" t="s">
        <v>16569</v>
      </c>
    </row>
    <row r="17059" spans="5:5" x14ac:dyDescent="0.25">
      <c r="E17059" t="s">
        <v>16570</v>
      </c>
    </row>
    <row r="17060" spans="5:5" x14ac:dyDescent="0.25">
      <c r="E17060" t="s">
        <v>16571</v>
      </c>
    </row>
    <row r="17061" spans="5:5" x14ac:dyDescent="0.25">
      <c r="E17061" t="s">
        <v>16572</v>
      </c>
    </row>
    <row r="17062" spans="5:5" x14ac:dyDescent="0.25">
      <c r="E17062" t="s">
        <v>16573</v>
      </c>
    </row>
    <row r="17063" spans="5:5" x14ac:dyDescent="0.25">
      <c r="E17063" t="s">
        <v>16574</v>
      </c>
    </row>
    <row r="17064" spans="5:5" x14ac:dyDescent="0.25">
      <c r="E17064" t="s">
        <v>16575</v>
      </c>
    </row>
    <row r="17065" spans="5:5" x14ac:dyDescent="0.25">
      <c r="E17065" t="s">
        <v>16576</v>
      </c>
    </row>
    <row r="17066" spans="5:5" x14ac:dyDescent="0.25">
      <c r="E17066" t="s">
        <v>16577</v>
      </c>
    </row>
    <row r="17067" spans="5:5" x14ac:dyDescent="0.25">
      <c r="E17067" t="s">
        <v>16578</v>
      </c>
    </row>
    <row r="17068" spans="5:5" x14ac:dyDescent="0.25">
      <c r="E17068" t="s">
        <v>16579</v>
      </c>
    </row>
    <row r="17069" spans="5:5" x14ac:dyDescent="0.25">
      <c r="E17069" t="s">
        <v>16580</v>
      </c>
    </row>
    <row r="17070" spans="5:5" x14ac:dyDescent="0.25">
      <c r="E17070" t="s">
        <v>16581</v>
      </c>
    </row>
    <row r="17071" spans="5:5" x14ac:dyDescent="0.25">
      <c r="E17071" t="s">
        <v>16582</v>
      </c>
    </row>
    <row r="17072" spans="5:5" x14ac:dyDescent="0.25">
      <c r="E17072" t="s">
        <v>16583</v>
      </c>
    </row>
    <row r="17073" spans="5:5" x14ac:dyDescent="0.25">
      <c r="E17073" t="s">
        <v>16584</v>
      </c>
    </row>
    <row r="17074" spans="5:5" x14ac:dyDescent="0.25">
      <c r="E17074" t="s">
        <v>16585</v>
      </c>
    </row>
    <row r="17075" spans="5:5" x14ac:dyDescent="0.25">
      <c r="E17075" t="s">
        <v>16586</v>
      </c>
    </row>
    <row r="17076" spans="5:5" x14ac:dyDescent="0.25">
      <c r="E17076" t="s">
        <v>16587</v>
      </c>
    </row>
    <row r="17077" spans="5:5" x14ac:dyDescent="0.25">
      <c r="E17077" t="s">
        <v>16588</v>
      </c>
    </row>
    <row r="17078" spans="5:5" x14ac:dyDescent="0.25">
      <c r="E17078" t="s">
        <v>16589</v>
      </c>
    </row>
    <row r="17079" spans="5:5" x14ac:dyDescent="0.25">
      <c r="E17079" t="s">
        <v>16590</v>
      </c>
    </row>
    <row r="17080" spans="5:5" x14ac:dyDescent="0.25">
      <c r="E17080" t="s">
        <v>16591</v>
      </c>
    </row>
    <row r="17081" spans="5:5" x14ac:dyDescent="0.25">
      <c r="E17081" t="s">
        <v>16592</v>
      </c>
    </row>
    <row r="17082" spans="5:5" x14ac:dyDescent="0.25">
      <c r="E17082" t="s">
        <v>16593</v>
      </c>
    </row>
    <row r="17083" spans="5:5" x14ac:dyDescent="0.25">
      <c r="E17083" t="s">
        <v>16594</v>
      </c>
    </row>
    <row r="17084" spans="5:5" x14ac:dyDescent="0.25">
      <c r="E17084" t="s">
        <v>16595</v>
      </c>
    </row>
    <row r="17085" spans="5:5" x14ac:dyDescent="0.25">
      <c r="E17085" t="s">
        <v>16596</v>
      </c>
    </row>
    <row r="17086" spans="5:5" x14ac:dyDescent="0.25">
      <c r="E17086" t="s">
        <v>16597</v>
      </c>
    </row>
    <row r="17087" spans="5:5" x14ac:dyDescent="0.25">
      <c r="E17087" t="s">
        <v>16598</v>
      </c>
    </row>
    <row r="17088" spans="5:5" x14ac:dyDescent="0.25">
      <c r="E17088" t="s">
        <v>16599</v>
      </c>
    </row>
    <row r="17089" spans="5:5" x14ac:dyDescent="0.25">
      <c r="E17089" t="s">
        <v>16600</v>
      </c>
    </row>
    <row r="17090" spans="5:5" x14ac:dyDescent="0.25">
      <c r="E17090" t="s">
        <v>16601</v>
      </c>
    </row>
    <row r="17091" spans="5:5" x14ac:dyDescent="0.25">
      <c r="E17091" t="s">
        <v>16602</v>
      </c>
    </row>
    <row r="17092" spans="5:5" x14ac:dyDescent="0.25">
      <c r="E17092" t="s">
        <v>16603</v>
      </c>
    </row>
    <row r="17093" spans="5:5" x14ac:dyDescent="0.25">
      <c r="E17093" t="s">
        <v>16604</v>
      </c>
    </row>
    <row r="17094" spans="5:5" x14ac:dyDescent="0.25">
      <c r="E17094" t="s">
        <v>16605</v>
      </c>
    </row>
    <row r="17095" spans="5:5" x14ac:dyDescent="0.25">
      <c r="E17095" t="s">
        <v>16606</v>
      </c>
    </row>
    <row r="17096" spans="5:5" x14ac:dyDescent="0.25">
      <c r="E17096" t="s">
        <v>16607</v>
      </c>
    </row>
    <row r="17097" spans="5:5" x14ac:dyDescent="0.25">
      <c r="E17097" t="s">
        <v>16608</v>
      </c>
    </row>
    <row r="17098" spans="5:5" x14ac:dyDescent="0.25">
      <c r="E17098" t="s">
        <v>16609</v>
      </c>
    </row>
    <row r="17099" spans="5:5" x14ac:dyDescent="0.25">
      <c r="E17099" t="s">
        <v>16610</v>
      </c>
    </row>
    <row r="17100" spans="5:5" x14ac:dyDescent="0.25">
      <c r="E17100" t="s">
        <v>16611</v>
      </c>
    </row>
    <row r="17101" spans="5:5" x14ac:dyDescent="0.25">
      <c r="E17101" t="s">
        <v>16612</v>
      </c>
    </row>
    <row r="17102" spans="5:5" x14ac:dyDescent="0.25">
      <c r="E17102" t="s">
        <v>16613</v>
      </c>
    </row>
    <row r="17103" spans="5:5" x14ac:dyDescent="0.25">
      <c r="E17103" t="s">
        <v>16614</v>
      </c>
    </row>
    <row r="17104" spans="5:5" x14ac:dyDescent="0.25">
      <c r="E17104" t="s">
        <v>16615</v>
      </c>
    </row>
    <row r="17105" spans="5:5" x14ac:dyDescent="0.25">
      <c r="E17105" t="s">
        <v>16616</v>
      </c>
    </row>
    <row r="17106" spans="5:5" x14ac:dyDescent="0.25">
      <c r="E17106" t="s">
        <v>16617</v>
      </c>
    </row>
    <row r="17107" spans="5:5" x14ac:dyDescent="0.25">
      <c r="E17107" t="s">
        <v>16618</v>
      </c>
    </row>
    <row r="17108" spans="5:5" x14ac:dyDescent="0.25">
      <c r="E17108" t="s">
        <v>16619</v>
      </c>
    </row>
    <row r="17109" spans="5:5" x14ac:dyDescent="0.25">
      <c r="E17109" t="s">
        <v>16620</v>
      </c>
    </row>
    <row r="17110" spans="5:5" x14ac:dyDescent="0.25">
      <c r="E17110" t="s">
        <v>16621</v>
      </c>
    </row>
    <row r="17111" spans="5:5" x14ac:dyDescent="0.25">
      <c r="E17111" t="s">
        <v>16622</v>
      </c>
    </row>
    <row r="17112" spans="5:5" x14ac:dyDescent="0.25">
      <c r="E17112" t="s">
        <v>16623</v>
      </c>
    </row>
    <row r="17113" spans="5:5" x14ac:dyDescent="0.25">
      <c r="E17113" t="s">
        <v>16624</v>
      </c>
    </row>
    <row r="17114" spans="5:5" x14ac:dyDescent="0.25">
      <c r="E17114" t="s">
        <v>16625</v>
      </c>
    </row>
    <row r="17115" spans="5:5" x14ac:dyDescent="0.25">
      <c r="E17115" t="s">
        <v>16626</v>
      </c>
    </row>
    <row r="17116" spans="5:5" x14ac:dyDescent="0.25">
      <c r="E17116" t="s">
        <v>16627</v>
      </c>
    </row>
    <row r="17117" spans="5:5" x14ac:dyDescent="0.25">
      <c r="E17117" t="s">
        <v>16628</v>
      </c>
    </row>
    <row r="17118" spans="5:5" x14ac:dyDescent="0.25">
      <c r="E17118" t="s">
        <v>16629</v>
      </c>
    </row>
    <row r="17119" spans="5:5" x14ac:dyDescent="0.25">
      <c r="E17119" t="s">
        <v>16630</v>
      </c>
    </row>
    <row r="17120" spans="5:5" x14ac:dyDescent="0.25">
      <c r="E17120" t="s">
        <v>16631</v>
      </c>
    </row>
    <row r="17121" spans="5:5" x14ac:dyDescent="0.25">
      <c r="E17121" t="s">
        <v>16632</v>
      </c>
    </row>
    <row r="17122" spans="5:5" x14ac:dyDescent="0.25">
      <c r="E17122" t="s">
        <v>16633</v>
      </c>
    </row>
    <row r="17123" spans="5:5" x14ac:dyDescent="0.25">
      <c r="E17123" t="s">
        <v>16634</v>
      </c>
    </row>
    <row r="17124" spans="5:5" x14ac:dyDescent="0.25">
      <c r="E17124" t="s">
        <v>16635</v>
      </c>
    </row>
    <row r="17125" spans="5:5" x14ac:dyDescent="0.25">
      <c r="E17125" t="s">
        <v>16636</v>
      </c>
    </row>
    <row r="17126" spans="5:5" x14ac:dyDescent="0.25">
      <c r="E17126" t="s">
        <v>16637</v>
      </c>
    </row>
    <row r="17127" spans="5:5" x14ac:dyDescent="0.25">
      <c r="E17127" t="s">
        <v>16638</v>
      </c>
    </row>
    <row r="17128" spans="5:5" x14ac:dyDescent="0.25">
      <c r="E17128" t="s">
        <v>16639</v>
      </c>
    </row>
    <row r="17129" spans="5:5" x14ac:dyDescent="0.25">
      <c r="E17129" t="s">
        <v>16640</v>
      </c>
    </row>
    <row r="17130" spans="5:5" x14ac:dyDescent="0.25">
      <c r="E17130" t="s">
        <v>16641</v>
      </c>
    </row>
    <row r="17131" spans="5:5" x14ac:dyDescent="0.25">
      <c r="E17131" t="s">
        <v>16642</v>
      </c>
    </row>
    <row r="17132" spans="5:5" x14ac:dyDescent="0.25">
      <c r="E17132" t="s">
        <v>16643</v>
      </c>
    </row>
    <row r="17133" spans="5:5" x14ac:dyDescent="0.25">
      <c r="E17133" t="s">
        <v>16644</v>
      </c>
    </row>
    <row r="17134" spans="5:5" x14ac:dyDescent="0.25">
      <c r="E17134" t="s">
        <v>16645</v>
      </c>
    </row>
    <row r="17135" spans="5:5" x14ac:dyDescent="0.25">
      <c r="E17135" t="s">
        <v>16646</v>
      </c>
    </row>
    <row r="17136" spans="5:5" x14ac:dyDescent="0.25">
      <c r="E17136" t="s">
        <v>16647</v>
      </c>
    </row>
    <row r="17137" spans="5:5" x14ac:dyDescent="0.25">
      <c r="E17137" t="s">
        <v>16648</v>
      </c>
    </row>
    <row r="17138" spans="5:5" x14ac:dyDescent="0.25">
      <c r="E17138" t="s">
        <v>16649</v>
      </c>
    </row>
    <row r="17139" spans="5:5" x14ac:dyDescent="0.25">
      <c r="E17139" t="s">
        <v>16650</v>
      </c>
    </row>
    <row r="17140" spans="5:5" x14ac:dyDescent="0.25">
      <c r="E17140" t="s">
        <v>16651</v>
      </c>
    </row>
    <row r="17141" spans="5:5" x14ac:dyDescent="0.25">
      <c r="E17141" t="s">
        <v>16652</v>
      </c>
    </row>
    <row r="17142" spans="5:5" x14ac:dyDescent="0.25">
      <c r="E17142" t="s">
        <v>16653</v>
      </c>
    </row>
    <row r="17143" spans="5:5" x14ac:dyDescent="0.25">
      <c r="E17143" t="s">
        <v>16654</v>
      </c>
    </row>
    <row r="17144" spans="5:5" x14ac:dyDescent="0.25">
      <c r="E17144" t="s">
        <v>16655</v>
      </c>
    </row>
    <row r="17145" spans="5:5" x14ac:dyDescent="0.25">
      <c r="E17145" t="s">
        <v>16656</v>
      </c>
    </row>
    <row r="17146" spans="5:5" x14ac:dyDescent="0.25">
      <c r="E17146" t="s">
        <v>16657</v>
      </c>
    </row>
    <row r="17147" spans="5:5" x14ac:dyDescent="0.25">
      <c r="E17147" t="s">
        <v>16658</v>
      </c>
    </row>
    <row r="17148" spans="5:5" x14ac:dyDescent="0.25">
      <c r="E17148" t="s">
        <v>16659</v>
      </c>
    </row>
    <row r="17149" spans="5:5" x14ac:dyDescent="0.25">
      <c r="E17149" t="s">
        <v>16660</v>
      </c>
    </row>
    <row r="17150" spans="5:5" x14ac:dyDescent="0.25">
      <c r="E17150" t="s">
        <v>16661</v>
      </c>
    </row>
    <row r="17151" spans="5:5" x14ac:dyDescent="0.25">
      <c r="E17151" t="s">
        <v>16662</v>
      </c>
    </row>
    <row r="17152" spans="5:5" x14ac:dyDescent="0.25">
      <c r="E17152" t="s">
        <v>16663</v>
      </c>
    </row>
    <row r="17153" spans="5:5" x14ac:dyDescent="0.25">
      <c r="E17153" t="s">
        <v>16664</v>
      </c>
    </row>
    <row r="17154" spans="5:5" x14ac:dyDescent="0.25">
      <c r="E17154" t="s">
        <v>16665</v>
      </c>
    </row>
    <row r="17155" spans="5:5" x14ac:dyDescent="0.25">
      <c r="E17155" t="s">
        <v>16666</v>
      </c>
    </row>
    <row r="17156" spans="5:5" x14ac:dyDescent="0.25">
      <c r="E17156" t="s">
        <v>16667</v>
      </c>
    </row>
    <row r="17157" spans="5:5" x14ac:dyDescent="0.25">
      <c r="E17157" t="s">
        <v>16668</v>
      </c>
    </row>
    <row r="17158" spans="5:5" x14ac:dyDescent="0.25">
      <c r="E17158" t="s">
        <v>16669</v>
      </c>
    </row>
    <row r="17159" spans="5:5" x14ac:dyDescent="0.25">
      <c r="E17159" t="s">
        <v>16670</v>
      </c>
    </row>
    <row r="17160" spans="5:5" x14ac:dyDescent="0.25">
      <c r="E17160" t="s">
        <v>16671</v>
      </c>
    </row>
    <row r="17161" spans="5:5" x14ac:dyDescent="0.25">
      <c r="E17161" t="s">
        <v>16672</v>
      </c>
    </row>
    <row r="17162" spans="5:5" x14ac:dyDescent="0.25">
      <c r="E17162" t="s">
        <v>16673</v>
      </c>
    </row>
    <row r="17163" spans="5:5" x14ac:dyDescent="0.25">
      <c r="E17163" t="s">
        <v>16674</v>
      </c>
    </row>
    <row r="17164" spans="5:5" x14ac:dyDescent="0.25">
      <c r="E17164" t="s">
        <v>16675</v>
      </c>
    </row>
    <row r="17165" spans="5:5" x14ac:dyDescent="0.25">
      <c r="E17165" t="s">
        <v>16676</v>
      </c>
    </row>
    <row r="17166" spans="5:5" x14ac:dyDescent="0.25">
      <c r="E17166" t="s">
        <v>16677</v>
      </c>
    </row>
    <row r="17167" spans="5:5" x14ac:dyDescent="0.25">
      <c r="E17167" t="s">
        <v>16678</v>
      </c>
    </row>
    <row r="17168" spans="5:5" x14ac:dyDescent="0.25">
      <c r="E17168" t="s">
        <v>16679</v>
      </c>
    </row>
    <row r="17169" spans="5:5" x14ac:dyDescent="0.25">
      <c r="E17169" t="s">
        <v>16680</v>
      </c>
    </row>
    <row r="17170" spans="5:5" x14ac:dyDescent="0.25">
      <c r="E17170" t="s">
        <v>16681</v>
      </c>
    </row>
    <row r="17171" spans="5:5" x14ac:dyDescent="0.25">
      <c r="E17171" t="s">
        <v>16682</v>
      </c>
    </row>
    <row r="17172" spans="5:5" x14ac:dyDescent="0.25">
      <c r="E17172" t="s">
        <v>16683</v>
      </c>
    </row>
    <row r="17173" spans="5:5" x14ac:dyDescent="0.25">
      <c r="E17173" t="s">
        <v>16684</v>
      </c>
    </row>
    <row r="17174" spans="5:5" x14ac:dyDescent="0.25">
      <c r="E17174" t="s">
        <v>16685</v>
      </c>
    </row>
    <row r="17175" spans="5:5" x14ac:dyDescent="0.25">
      <c r="E17175" t="s">
        <v>16686</v>
      </c>
    </row>
    <row r="17176" spans="5:5" x14ac:dyDescent="0.25">
      <c r="E17176" t="s">
        <v>16687</v>
      </c>
    </row>
    <row r="17177" spans="5:5" x14ac:dyDescent="0.25">
      <c r="E17177" t="s">
        <v>16688</v>
      </c>
    </row>
    <row r="17178" spans="5:5" x14ac:dyDescent="0.25">
      <c r="E17178" t="s">
        <v>16689</v>
      </c>
    </row>
    <row r="17179" spans="5:5" x14ac:dyDescent="0.25">
      <c r="E17179" t="s">
        <v>16690</v>
      </c>
    </row>
    <row r="17180" spans="5:5" x14ac:dyDescent="0.25">
      <c r="E17180" t="s">
        <v>16691</v>
      </c>
    </row>
    <row r="17181" spans="5:5" x14ac:dyDescent="0.25">
      <c r="E17181" t="s">
        <v>16692</v>
      </c>
    </row>
    <row r="17182" spans="5:5" x14ac:dyDescent="0.25">
      <c r="E17182" t="s">
        <v>16693</v>
      </c>
    </row>
    <row r="17183" spans="5:5" x14ac:dyDescent="0.25">
      <c r="E17183" t="s">
        <v>16694</v>
      </c>
    </row>
    <row r="17184" spans="5:5" x14ac:dyDescent="0.25">
      <c r="E17184" t="s">
        <v>16695</v>
      </c>
    </row>
    <row r="17185" spans="5:5" x14ac:dyDescent="0.25">
      <c r="E17185" t="s">
        <v>16696</v>
      </c>
    </row>
    <row r="17186" spans="5:5" x14ac:dyDescent="0.25">
      <c r="E17186" t="s">
        <v>16697</v>
      </c>
    </row>
    <row r="17187" spans="5:5" x14ac:dyDescent="0.25">
      <c r="E17187" t="s">
        <v>16698</v>
      </c>
    </row>
    <row r="17188" spans="5:5" x14ac:dyDescent="0.25">
      <c r="E17188" t="s">
        <v>16699</v>
      </c>
    </row>
    <row r="17189" spans="5:5" x14ac:dyDescent="0.25">
      <c r="E17189" t="s">
        <v>16700</v>
      </c>
    </row>
    <row r="17190" spans="5:5" x14ac:dyDescent="0.25">
      <c r="E17190" t="s">
        <v>16701</v>
      </c>
    </row>
    <row r="17191" spans="5:5" x14ac:dyDescent="0.25">
      <c r="E17191" t="s">
        <v>16702</v>
      </c>
    </row>
    <row r="17192" spans="5:5" x14ac:dyDescent="0.25">
      <c r="E17192" t="s">
        <v>16703</v>
      </c>
    </row>
    <row r="17193" spans="5:5" x14ac:dyDescent="0.25">
      <c r="E17193" t="s">
        <v>16704</v>
      </c>
    </row>
    <row r="17194" spans="5:5" x14ac:dyDescent="0.25">
      <c r="E17194" t="s">
        <v>16705</v>
      </c>
    </row>
    <row r="17195" spans="5:5" x14ac:dyDescent="0.25">
      <c r="E17195" t="s">
        <v>16706</v>
      </c>
    </row>
    <row r="17196" spans="5:5" x14ac:dyDescent="0.25">
      <c r="E17196" t="s">
        <v>16707</v>
      </c>
    </row>
    <row r="17197" spans="5:5" x14ac:dyDescent="0.25">
      <c r="E17197" t="s">
        <v>16708</v>
      </c>
    </row>
    <row r="17198" spans="5:5" x14ac:dyDescent="0.25">
      <c r="E17198" t="s">
        <v>16709</v>
      </c>
    </row>
    <row r="17199" spans="5:5" x14ac:dyDescent="0.25">
      <c r="E17199" t="s">
        <v>16710</v>
      </c>
    </row>
    <row r="17200" spans="5:5" x14ac:dyDescent="0.25">
      <c r="E17200" t="s">
        <v>16711</v>
      </c>
    </row>
    <row r="17201" spans="5:5" x14ac:dyDescent="0.25">
      <c r="E17201" t="s">
        <v>16712</v>
      </c>
    </row>
    <row r="17202" spans="5:5" x14ac:dyDescent="0.25">
      <c r="E17202" t="s">
        <v>16713</v>
      </c>
    </row>
    <row r="17203" spans="5:5" x14ac:dyDescent="0.25">
      <c r="E17203" t="s">
        <v>16714</v>
      </c>
    </row>
    <row r="17204" spans="5:5" x14ac:dyDescent="0.25">
      <c r="E17204" t="s">
        <v>16715</v>
      </c>
    </row>
    <row r="17205" spans="5:5" x14ac:dyDescent="0.25">
      <c r="E17205" t="s">
        <v>16716</v>
      </c>
    </row>
    <row r="17206" spans="5:5" x14ac:dyDescent="0.25">
      <c r="E17206" t="s">
        <v>16717</v>
      </c>
    </row>
    <row r="17207" spans="5:5" x14ac:dyDescent="0.25">
      <c r="E17207" t="s">
        <v>16718</v>
      </c>
    </row>
    <row r="17208" spans="5:5" x14ac:dyDescent="0.25">
      <c r="E17208" t="s">
        <v>16719</v>
      </c>
    </row>
    <row r="17209" spans="5:5" x14ac:dyDescent="0.25">
      <c r="E17209" t="s">
        <v>16720</v>
      </c>
    </row>
    <row r="17210" spans="5:5" x14ac:dyDescent="0.25">
      <c r="E17210" t="s">
        <v>16721</v>
      </c>
    </row>
    <row r="17211" spans="5:5" x14ac:dyDescent="0.25">
      <c r="E17211" t="s">
        <v>16722</v>
      </c>
    </row>
    <row r="17212" spans="5:5" x14ac:dyDescent="0.25">
      <c r="E17212" t="s">
        <v>16723</v>
      </c>
    </row>
    <row r="17213" spans="5:5" x14ac:dyDescent="0.25">
      <c r="E17213" t="s">
        <v>16724</v>
      </c>
    </row>
    <row r="17214" spans="5:5" x14ac:dyDescent="0.25">
      <c r="E17214" t="s">
        <v>16725</v>
      </c>
    </row>
    <row r="17215" spans="5:5" x14ac:dyDescent="0.25">
      <c r="E17215" t="s">
        <v>16726</v>
      </c>
    </row>
    <row r="17216" spans="5:5" x14ac:dyDescent="0.25">
      <c r="E17216" t="s">
        <v>16727</v>
      </c>
    </row>
    <row r="17217" spans="5:5" x14ac:dyDescent="0.25">
      <c r="E17217" t="s">
        <v>16728</v>
      </c>
    </row>
    <row r="17218" spans="5:5" x14ac:dyDescent="0.25">
      <c r="E17218" t="s">
        <v>16729</v>
      </c>
    </row>
    <row r="17219" spans="5:5" x14ac:dyDescent="0.25">
      <c r="E17219" t="s">
        <v>16730</v>
      </c>
    </row>
    <row r="17220" spans="5:5" x14ac:dyDescent="0.25">
      <c r="E17220" t="s">
        <v>16731</v>
      </c>
    </row>
    <row r="17221" spans="5:5" x14ac:dyDescent="0.25">
      <c r="E17221" t="s">
        <v>16732</v>
      </c>
    </row>
    <row r="17222" spans="5:5" x14ac:dyDescent="0.25">
      <c r="E17222" t="s">
        <v>16733</v>
      </c>
    </row>
    <row r="17223" spans="5:5" x14ac:dyDescent="0.25">
      <c r="E17223" t="s">
        <v>16734</v>
      </c>
    </row>
    <row r="17224" spans="5:5" x14ac:dyDescent="0.25">
      <c r="E17224" t="s">
        <v>16735</v>
      </c>
    </row>
    <row r="17225" spans="5:5" x14ac:dyDescent="0.25">
      <c r="E17225" t="s">
        <v>16736</v>
      </c>
    </row>
    <row r="17226" spans="5:5" x14ac:dyDescent="0.25">
      <c r="E17226" t="s">
        <v>16737</v>
      </c>
    </row>
    <row r="17227" spans="5:5" x14ac:dyDescent="0.25">
      <c r="E17227" t="s">
        <v>16738</v>
      </c>
    </row>
    <row r="17228" spans="5:5" x14ac:dyDescent="0.25">
      <c r="E17228" t="s">
        <v>16739</v>
      </c>
    </row>
    <row r="17229" spans="5:5" x14ac:dyDescent="0.25">
      <c r="E17229" t="s">
        <v>16740</v>
      </c>
    </row>
    <row r="17230" spans="5:5" x14ac:dyDescent="0.25">
      <c r="E17230" t="s">
        <v>16741</v>
      </c>
    </row>
    <row r="17231" spans="5:5" x14ac:dyDescent="0.25">
      <c r="E17231" t="s">
        <v>16742</v>
      </c>
    </row>
    <row r="17232" spans="5:5" x14ac:dyDescent="0.25">
      <c r="E17232" t="s">
        <v>16743</v>
      </c>
    </row>
    <row r="17233" spans="5:5" x14ac:dyDescent="0.25">
      <c r="E17233" t="s">
        <v>16744</v>
      </c>
    </row>
    <row r="17234" spans="5:5" x14ac:dyDescent="0.25">
      <c r="E17234" t="s">
        <v>16745</v>
      </c>
    </row>
    <row r="17235" spans="5:5" x14ac:dyDescent="0.25">
      <c r="E17235" t="s">
        <v>16746</v>
      </c>
    </row>
    <row r="17236" spans="5:5" x14ac:dyDescent="0.25">
      <c r="E17236" t="s">
        <v>16747</v>
      </c>
    </row>
    <row r="17237" spans="5:5" x14ac:dyDescent="0.25">
      <c r="E17237" t="s">
        <v>16748</v>
      </c>
    </row>
    <row r="17238" spans="5:5" x14ac:dyDescent="0.25">
      <c r="E17238" t="s">
        <v>16749</v>
      </c>
    </row>
    <row r="17239" spans="5:5" x14ac:dyDescent="0.25">
      <c r="E17239" t="s">
        <v>16750</v>
      </c>
    </row>
    <row r="17240" spans="5:5" x14ac:dyDescent="0.25">
      <c r="E17240" t="s">
        <v>16751</v>
      </c>
    </row>
    <row r="17241" spans="5:5" x14ac:dyDescent="0.25">
      <c r="E17241" t="s">
        <v>16752</v>
      </c>
    </row>
    <row r="17242" spans="5:5" x14ac:dyDescent="0.25">
      <c r="E17242" t="s">
        <v>16753</v>
      </c>
    </row>
    <row r="17243" spans="5:5" x14ac:dyDescent="0.25">
      <c r="E17243" t="s">
        <v>16754</v>
      </c>
    </row>
    <row r="17244" spans="5:5" x14ac:dyDescent="0.25">
      <c r="E17244" t="s">
        <v>16755</v>
      </c>
    </row>
    <row r="17245" spans="5:5" x14ac:dyDescent="0.25">
      <c r="E17245" t="s">
        <v>16756</v>
      </c>
    </row>
    <row r="17246" spans="5:5" x14ac:dyDescent="0.25">
      <c r="E17246" t="s">
        <v>16757</v>
      </c>
    </row>
    <row r="17247" spans="5:5" x14ac:dyDescent="0.25">
      <c r="E17247" t="s">
        <v>16758</v>
      </c>
    </row>
    <row r="17248" spans="5:5" x14ac:dyDescent="0.25">
      <c r="E17248" t="s">
        <v>16759</v>
      </c>
    </row>
    <row r="17249" spans="5:5" x14ac:dyDescent="0.25">
      <c r="E17249" t="s">
        <v>16760</v>
      </c>
    </row>
    <row r="17250" spans="5:5" x14ac:dyDescent="0.25">
      <c r="E17250" t="s">
        <v>16761</v>
      </c>
    </row>
    <row r="17251" spans="5:5" x14ac:dyDescent="0.25">
      <c r="E17251" t="s">
        <v>16762</v>
      </c>
    </row>
    <row r="17252" spans="5:5" x14ac:dyDescent="0.25">
      <c r="E17252" t="s">
        <v>16763</v>
      </c>
    </row>
    <row r="17253" spans="5:5" x14ac:dyDescent="0.25">
      <c r="E17253" t="s">
        <v>16764</v>
      </c>
    </row>
    <row r="17254" spans="5:5" x14ac:dyDescent="0.25">
      <c r="E17254" t="s">
        <v>16765</v>
      </c>
    </row>
    <row r="17255" spans="5:5" x14ac:dyDescent="0.25">
      <c r="E17255" t="s">
        <v>16766</v>
      </c>
    </row>
    <row r="17256" spans="5:5" x14ac:dyDescent="0.25">
      <c r="E17256" t="s">
        <v>16767</v>
      </c>
    </row>
    <row r="17257" spans="5:5" x14ac:dyDescent="0.25">
      <c r="E17257" t="s">
        <v>16768</v>
      </c>
    </row>
    <row r="17258" spans="5:5" x14ac:dyDescent="0.25">
      <c r="E17258" t="s">
        <v>16769</v>
      </c>
    </row>
    <row r="17259" spans="5:5" x14ac:dyDescent="0.25">
      <c r="E17259" t="s">
        <v>16770</v>
      </c>
    </row>
    <row r="17260" spans="5:5" x14ac:dyDescent="0.25">
      <c r="E17260" t="s">
        <v>16771</v>
      </c>
    </row>
    <row r="17261" spans="5:5" x14ac:dyDescent="0.25">
      <c r="E17261" t="s">
        <v>16772</v>
      </c>
    </row>
    <row r="17262" spans="5:5" x14ac:dyDescent="0.25">
      <c r="E17262" t="s">
        <v>16773</v>
      </c>
    </row>
    <row r="17263" spans="5:5" x14ac:dyDescent="0.25">
      <c r="E17263" t="s">
        <v>16774</v>
      </c>
    </row>
    <row r="17264" spans="5:5" x14ac:dyDescent="0.25">
      <c r="E17264" t="s">
        <v>16775</v>
      </c>
    </row>
    <row r="17265" spans="5:5" x14ac:dyDescent="0.25">
      <c r="E17265" t="s">
        <v>16776</v>
      </c>
    </row>
    <row r="17266" spans="5:5" x14ac:dyDescent="0.25">
      <c r="E17266" t="s">
        <v>16777</v>
      </c>
    </row>
    <row r="17267" spans="5:5" x14ac:dyDescent="0.25">
      <c r="E17267" t="s">
        <v>16778</v>
      </c>
    </row>
    <row r="17268" spans="5:5" x14ac:dyDescent="0.25">
      <c r="E17268" t="s">
        <v>16779</v>
      </c>
    </row>
    <row r="17269" spans="5:5" x14ac:dyDescent="0.25">
      <c r="E17269" t="s">
        <v>16780</v>
      </c>
    </row>
    <row r="17270" spans="5:5" x14ac:dyDescent="0.25">
      <c r="E17270" t="s">
        <v>16781</v>
      </c>
    </row>
    <row r="17271" spans="5:5" x14ac:dyDescent="0.25">
      <c r="E17271" t="s">
        <v>16782</v>
      </c>
    </row>
    <row r="17272" spans="5:5" x14ac:dyDescent="0.25">
      <c r="E17272" t="s">
        <v>16783</v>
      </c>
    </row>
    <row r="17273" spans="5:5" x14ac:dyDescent="0.25">
      <c r="E17273" t="s">
        <v>16784</v>
      </c>
    </row>
    <row r="17274" spans="5:5" x14ac:dyDescent="0.25">
      <c r="E17274" t="s">
        <v>16785</v>
      </c>
    </row>
    <row r="17275" spans="5:5" x14ac:dyDescent="0.25">
      <c r="E17275" t="s">
        <v>16786</v>
      </c>
    </row>
    <row r="17276" spans="5:5" x14ac:dyDescent="0.25">
      <c r="E17276" t="s">
        <v>16787</v>
      </c>
    </row>
    <row r="17277" spans="5:5" x14ac:dyDescent="0.25">
      <c r="E17277" t="s">
        <v>16788</v>
      </c>
    </row>
    <row r="17278" spans="5:5" x14ac:dyDescent="0.25">
      <c r="E17278" t="s">
        <v>16789</v>
      </c>
    </row>
    <row r="17279" spans="5:5" x14ac:dyDescent="0.25">
      <c r="E17279" t="s">
        <v>16790</v>
      </c>
    </row>
    <row r="17280" spans="5:5" x14ac:dyDescent="0.25">
      <c r="E17280" t="s">
        <v>16791</v>
      </c>
    </row>
    <row r="17281" spans="5:5" x14ac:dyDescent="0.25">
      <c r="E17281" t="s">
        <v>16792</v>
      </c>
    </row>
    <row r="17282" spans="5:5" x14ac:dyDescent="0.25">
      <c r="E17282" t="s">
        <v>16793</v>
      </c>
    </row>
    <row r="17283" spans="5:5" x14ac:dyDescent="0.25">
      <c r="E17283" t="s">
        <v>16794</v>
      </c>
    </row>
    <row r="17284" spans="5:5" x14ac:dyDescent="0.25">
      <c r="E17284" t="s">
        <v>16795</v>
      </c>
    </row>
    <row r="17285" spans="5:5" x14ac:dyDescent="0.25">
      <c r="E17285" t="s">
        <v>16796</v>
      </c>
    </row>
    <row r="17286" spans="5:5" x14ac:dyDescent="0.25">
      <c r="E17286" t="s">
        <v>16797</v>
      </c>
    </row>
    <row r="17287" spans="5:5" x14ac:dyDescent="0.25">
      <c r="E17287" t="s">
        <v>16798</v>
      </c>
    </row>
    <row r="17288" spans="5:5" x14ac:dyDescent="0.25">
      <c r="E17288" t="s">
        <v>16799</v>
      </c>
    </row>
    <row r="17289" spans="5:5" x14ac:dyDescent="0.25">
      <c r="E17289" t="s">
        <v>16800</v>
      </c>
    </row>
    <row r="17290" spans="5:5" x14ac:dyDescent="0.25">
      <c r="E17290" t="s">
        <v>16801</v>
      </c>
    </row>
    <row r="17291" spans="5:5" x14ac:dyDescent="0.25">
      <c r="E17291" t="s">
        <v>16802</v>
      </c>
    </row>
    <row r="17292" spans="5:5" x14ac:dyDescent="0.25">
      <c r="E17292" t="s">
        <v>16803</v>
      </c>
    </row>
    <row r="17293" spans="5:5" x14ac:dyDescent="0.25">
      <c r="E17293" t="s">
        <v>16804</v>
      </c>
    </row>
    <row r="17294" spans="5:5" x14ac:dyDescent="0.25">
      <c r="E17294" t="s">
        <v>16805</v>
      </c>
    </row>
    <row r="17295" spans="5:5" x14ac:dyDescent="0.25">
      <c r="E17295" t="s">
        <v>16806</v>
      </c>
    </row>
    <row r="17296" spans="5:5" x14ac:dyDescent="0.25">
      <c r="E17296" t="s">
        <v>16807</v>
      </c>
    </row>
    <row r="17297" spans="5:5" x14ac:dyDescent="0.25">
      <c r="E17297" t="s">
        <v>16808</v>
      </c>
    </row>
    <row r="17298" spans="5:5" x14ac:dyDescent="0.25">
      <c r="E17298" t="s">
        <v>16809</v>
      </c>
    </row>
    <row r="17299" spans="5:5" x14ac:dyDescent="0.25">
      <c r="E17299" t="s">
        <v>16810</v>
      </c>
    </row>
    <row r="17300" spans="5:5" x14ac:dyDescent="0.25">
      <c r="E17300" t="s">
        <v>16811</v>
      </c>
    </row>
    <row r="17301" spans="5:5" x14ac:dyDescent="0.25">
      <c r="E17301" t="s">
        <v>16812</v>
      </c>
    </row>
    <row r="17302" spans="5:5" x14ac:dyDescent="0.25">
      <c r="E17302" t="s">
        <v>16813</v>
      </c>
    </row>
    <row r="17303" spans="5:5" x14ac:dyDescent="0.25">
      <c r="E17303" t="s">
        <v>16814</v>
      </c>
    </row>
    <row r="17304" spans="5:5" x14ac:dyDescent="0.25">
      <c r="E17304" t="s">
        <v>16815</v>
      </c>
    </row>
    <row r="17305" spans="5:5" x14ac:dyDescent="0.25">
      <c r="E17305" t="s">
        <v>16816</v>
      </c>
    </row>
    <row r="17306" spans="5:5" x14ac:dyDescent="0.25">
      <c r="E17306" t="s">
        <v>16817</v>
      </c>
    </row>
    <row r="17307" spans="5:5" x14ac:dyDescent="0.25">
      <c r="E17307" t="s">
        <v>16818</v>
      </c>
    </row>
    <row r="17308" spans="5:5" x14ac:dyDescent="0.25">
      <c r="E17308" t="s">
        <v>16819</v>
      </c>
    </row>
    <row r="17309" spans="5:5" x14ac:dyDescent="0.25">
      <c r="E17309" t="s">
        <v>16820</v>
      </c>
    </row>
    <row r="17310" spans="5:5" x14ac:dyDescent="0.25">
      <c r="E17310" t="s">
        <v>16821</v>
      </c>
    </row>
    <row r="17311" spans="5:5" x14ac:dyDescent="0.25">
      <c r="E17311" t="s">
        <v>16822</v>
      </c>
    </row>
    <row r="17312" spans="5:5" x14ac:dyDescent="0.25">
      <c r="E17312" t="s">
        <v>16823</v>
      </c>
    </row>
    <row r="17313" spans="5:5" x14ac:dyDescent="0.25">
      <c r="E17313" t="s">
        <v>16824</v>
      </c>
    </row>
    <row r="17314" spans="5:5" x14ac:dyDescent="0.25">
      <c r="E17314" t="s">
        <v>16825</v>
      </c>
    </row>
    <row r="17315" spans="5:5" x14ac:dyDescent="0.25">
      <c r="E17315" t="s">
        <v>16826</v>
      </c>
    </row>
    <row r="17316" spans="5:5" x14ac:dyDescent="0.25">
      <c r="E17316" t="s">
        <v>16827</v>
      </c>
    </row>
    <row r="17317" spans="5:5" x14ac:dyDescent="0.25">
      <c r="E17317" t="s">
        <v>16828</v>
      </c>
    </row>
    <row r="17318" spans="5:5" x14ac:dyDescent="0.25">
      <c r="E17318" t="s">
        <v>16829</v>
      </c>
    </row>
    <row r="17319" spans="5:5" x14ac:dyDescent="0.25">
      <c r="E17319" t="s">
        <v>16830</v>
      </c>
    </row>
    <row r="17320" spans="5:5" x14ac:dyDescent="0.25">
      <c r="E17320" t="s">
        <v>16831</v>
      </c>
    </row>
    <row r="17321" spans="5:5" x14ac:dyDescent="0.25">
      <c r="E17321" t="s">
        <v>16832</v>
      </c>
    </row>
    <row r="17322" spans="5:5" x14ac:dyDescent="0.25">
      <c r="E17322" t="s">
        <v>16833</v>
      </c>
    </row>
    <row r="17323" spans="5:5" x14ac:dyDescent="0.25">
      <c r="E17323" t="s">
        <v>16834</v>
      </c>
    </row>
    <row r="17324" spans="5:5" x14ac:dyDescent="0.25">
      <c r="E17324" t="s">
        <v>16835</v>
      </c>
    </row>
    <row r="17325" spans="5:5" x14ac:dyDescent="0.25">
      <c r="E17325" t="s">
        <v>16836</v>
      </c>
    </row>
    <row r="17326" spans="5:5" x14ac:dyDescent="0.25">
      <c r="E17326" t="s">
        <v>16837</v>
      </c>
    </row>
    <row r="17327" spans="5:5" x14ac:dyDescent="0.25">
      <c r="E17327" t="s">
        <v>16838</v>
      </c>
    </row>
    <row r="17328" spans="5:5" x14ac:dyDescent="0.25">
      <c r="E17328" t="s">
        <v>16839</v>
      </c>
    </row>
    <row r="17329" spans="5:5" x14ac:dyDescent="0.25">
      <c r="E17329" t="s">
        <v>16840</v>
      </c>
    </row>
    <row r="17330" spans="5:5" x14ac:dyDescent="0.25">
      <c r="E17330" t="s">
        <v>16841</v>
      </c>
    </row>
    <row r="17331" spans="5:5" x14ac:dyDescent="0.25">
      <c r="E17331" t="s">
        <v>16842</v>
      </c>
    </row>
    <row r="17332" spans="5:5" x14ac:dyDescent="0.25">
      <c r="E17332" t="s">
        <v>16843</v>
      </c>
    </row>
    <row r="17333" spans="5:5" x14ac:dyDescent="0.25">
      <c r="E17333" t="s">
        <v>16844</v>
      </c>
    </row>
    <row r="17334" spans="5:5" x14ac:dyDescent="0.25">
      <c r="E17334" t="s">
        <v>16845</v>
      </c>
    </row>
    <row r="17335" spans="5:5" x14ac:dyDescent="0.25">
      <c r="E17335" t="s">
        <v>16846</v>
      </c>
    </row>
    <row r="17336" spans="5:5" x14ac:dyDescent="0.25">
      <c r="E17336" t="s">
        <v>16847</v>
      </c>
    </row>
    <row r="17337" spans="5:5" x14ac:dyDescent="0.25">
      <c r="E17337" t="s">
        <v>16848</v>
      </c>
    </row>
    <row r="17338" spans="5:5" x14ac:dyDescent="0.25">
      <c r="E17338" t="s">
        <v>16849</v>
      </c>
    </row>
    <row r="17339" spans="5:5" x14ac:dyDescent="0.25">
      <c r="E17339" t="s">
        <v>16850</v>
      </c>
    </row>
    <row r="17340" spans="5:5" x14ac:dyDescent="0.25">
      <c r="E17340" t="s">
        <v>16851</v>
      </c>
    </row>
    <row r="17341" spans="5:5" x14ac:dyDescent="0.25">
      <c r="E17341" t="s">
        <v>16852</v>
      </c>
    </row>
    <row r="17342" spans="5:5" x14ac:dyDescent="0.25">
      <c r="E17342" t="s">
        <v>16853</v>
      </c>
    </row>
    <row r="17343" spans="5:5" x14ac:dyDescent="0.25">
      <c r="E17343" t="s">
        <v>16854</v>
      </c>
    </row>
    <row r="17344" spans="5:5" x14ac:dyDescent="0.25">
      <c r="E17344" t="s">
        <v>16855</v>
      </c>
    </row>
    <row r="17345" spans="5:5" x14ac:dyDescent="0.25">
      <c r="E17345" t="s">
        <v>16856</v>
      </c>
    </row>
    <row r="17346" spans="5:5" x14ac:dyDescent="0.25">
      <c r="E17346" t="s">
        <v>16857</v>
      </c>
    </row>
    <row r="17347" spans="5:5" x14ac:dyDescent="0.25">
      <c r="E17347" t="s">
        <v>16858</v>
      </c>
    </row>
    <row r="17348" spans="5:5" x14ac:dyDescent="0.25">
      <c r="E17348" t="s">
        <v>16859</v>
      </c>
    </row>
    <row r="17349" spans="5:5" x14ac:dyDescent="0.25">
      <c r="E17349" t="s">
        <v>16860</v>
      </c>
    </row>
    <row r="17350" spans="5:5" x14ac:dyDescent="0.25">
      <c r="E17350" t="s">
        <v>16861</v>
      </c>
    </row>
    <row r="17351" spans="5:5" x14ac:dyDescent="0.25">
      <c r="E17351" t="s">
        <v>16862</v>
      </c>
    </row>
    <row r="17352" spans="5:5" x14ac:dyDescent="0.25">
      <c r="E17352" t="s">
        <v>16863</v>
      </c>
    </row>
    <row r="17353" spans="5:5" x14ac:dyDescent="0.25">
      <c r="E17353" t="s">
        <v>16864</v>
      </c>
    </row>
    <row r="17354" spans="5:5" x14ac:dyDescent="0.25">
      <c r="E17354" t="s">
        <v>16865</v>
      </c>
    </row>
    <row r="17355" spans="5:5" x14ac:dyDescent="0.25">
      <c r="E17355" t="s">
        <v>16866</v>
      </c>
    </row>
    <row r="17356" spans="5:5" x14ac:dyDescent="0.25">
      <c r="E17356" t="s">
        <v>16867</v>
      </c>
    </row>
    <row r="17357" spans="5:5" x14ac:dyDescent="0.25">
      <c r="E17357" t="s">
        <v>16868</v>
      </c>
    </row>
    <row r="17358" spans="5:5" x14ac:dyDescent="0.25">
      <c r="E17358" t="s">
        <v>16869</v>
      </c>
    </row>
    <row r="17359" spans="5:5" x14ac:dyDescent="0.25">
      <c r="E17359" t="s">
        <v>16870</v>
      </c>
    </row>
    <row r="17360" spans="5:5" x14ac:dyDescent="0.25">
      <c r="E17360" t="s">
        <v>16871</v>
      </c>
    </row>
    <row r="17361" spans="5:5" x14ac:dyDescent="0.25">
      <c r="E17361" t="s">
        <v>16872</v>
      </c>
    </row>
    <row r="17362" spans="5:5" x14ac:dyDescent="0.25">
      <c r="E17362" t="s">
        <v>16873</v>
      </c>
    </row>
    <row r="17363" spans="5:5" x14ac:dyDescent="0.25">
      <c r="E17363" t="s">
        <v>16874</v>
      </c>
    </row>
    <row r="17364" spans="5:5" x14ac:dyDescent="0.25">
      <c r="E17364" t="s">
        <v>16875</v>
      </c>
    </row>
    <row r="17365" spans="5:5" x14ac:dyDescent="0.25">
      <c r="E17365" t="s">
        <v>16876</v>
      </c>
    </row>
    <row r="17366" spans="5:5" x14ac:dyDescent="0.25">
      <c r="E17366" t="s">
        <v>16877</v>
      </c>
    </row>
    <row r="17367" spans="5:5" x14ac:dyDescent="0.25">
      <c r="E17367" t="s">
        <v>16878</v>
      </c>
    </row>
    <row r="17368" spans="5:5" x14ac:dyDescent="0.25">
      <c r="E17368" t="s">
        <v>16879</v>
      </c>
    </row>
    <row r="17369" spans="5:5" x14ac:dyDescent="0.25">
      <c r="E17369" t="s">
        <v>16880</v>
      </c>
    </row>
    <row r="17370" spans="5:5" x14ac:dyDescent="0.25">
      <c r="E17370" t="s">
        <v>16881</v>
      </c>
    </row>
    <row r="17371" spans="5:5" x14ac:dyDescent="0.25">
      <c r="E17371" t="s">
        <v>16882</v>
      </c>
    </row>
    <row r="17372" spans="5:5" x14ac:dyDescent="0.25">
      <c r="E17372" t="s">
        <v>16883</v>
      </c>
    </row>
    <row r="17373" spans="5:5" x14ac:dyDescent="0.25">
      <c r="E17373" t="s">
        <v>16884</v>
      </c>
    </row>
    <row r="17374" spans="5:5" x14ac:dyDescent="0.25">
      <c r="E17374" t="s">
        <v>16885</v>
      </c>
    </row>
    <row r="17375" spans="5:5" x14ac:dyDescent="0.25">
      <c r="E17375" t="s">
        <v>16886</v>
      </c>
    </row>
    <row r="17376" spans="5:5" x14ac:dyDescent="0.25">
      <c r="E17376" t="s">
        <v>16887</v>
      </c>
    </row>
    <row r="17377" spans="5:5" x14ac:dyDescent="0.25">
      <c r="E17377" t="s">
        <v>16888</v>
      </c>
    </row>
    <row r="17378" spans="5:5" x14ac:dyDescent="0.25">
      <c r="E17378" t="s">
        <v>16889</v>
      </c>
    </row>
    <row r="17379" spans="5:5" x14ac:dyDescent="0.25">
      <c r="E17379" t="s">
        <v>16890</v>
      </c>
    </row>
    <row r="17380" spans="5:5" x14ac:dyDescent="0.25">
      <c r="E17380" t="s">
        <v>16891</v>
      </c>
    </row>
    <row r="17381" spans="5:5" x14ac:dyDescent="0.25">
      <c r="E17381" t="s">
        <v>16892</v>
      </c>
    </row>
    <row r="17382" spans="5:5" x14ac:dyDescent="0.25">
      <c r="E17382" t="s">
        <v>16893</v>
      </c>
    </row>
    <row r="17383" spans="5:5" x14ac:dyDescent="0.25">
      <c r="E17383" t="s">
        <v>16894</v>
      </c>
    </row>
    <row r="17384" spans="5:5" x14ac:dyDescent="0.25">
      <c r="E17384" t="s">
        <v>16895</v>
      </c>
    </row>
    <row r="17385" spans="5:5" x14ac:dyDescent="0.25">
      <c r="E17385" t="s">
        <v>16896</v>
      </c>
    </row>
    <row r="17386" spans="5:5" x14ac:dyDescent="0.25">
      <c r="E17386" t="s">
        <v>16897</v>
      </c>
    </row>
    <row r="17387" spans="5:5" x14ac:dyDescent="0.25">
      <c r="E17387" t="s">
        <v>16898</v>
      </c>
    </row>
    <row r="17388" spans="5:5" x14ac:dyDescent="0.25">
      <c r="E17388" t="s">
        <v>16899</v>
      </c>
    </row>
    <row r="17389" spans="5:5" x14ac:dyDescent="0.25">
      <c r="E17389" t="s">
        <v>16900</v>
      </c>
    </row>
    <row r="17390" spans="5:5" x14ac:dyDescent="0.25">
      <c r="E17390" t="s">
        <v>16901</v>
      </c>
    </row>
    <row r="17391" spans="5:5" x14ac:dyDescent="0.25">
      <c r="E17391" t="s">
        <v>16902</v>
      </c>
    </row>
    <row r="17392" spans="5:5" x14ac:dyDescent="0.25">
      <c r="E17392" t="s">
        <v>16903</v>
      </c>
    </row>
    <row r="17393" spans="5:5" x14ac:dyDescent="0.25">
      <c r="E17393" t="s">
        <v>16904</v>
      </c>
    </row>
    <row r="17394" spans="5:5" x14ac:dyDescent="0.25">
      <c r="E17394" t="s">
        <v>16905</v>
      </c>
    </row>
    <row r="17395" spans="5:5" x14ac:dyDescent="0.25">
      <c r="E17395" t="s">
        <v>16906</v>
      </c>
    </row>
    <row r="17396" spans="5:5" x14ac:dyDescent="0.25">
      <c r="E17396" t="s">
        <v>16907</v>
      </c>
    </row>
    <row r="17397" spans="5:5" x14ac:dyDescent="0.25">
      <c r="E17397" t="s">
        <v>16908</v>
      </c>
    </row>
    <row r="17398" spans="5:5" x14ac:dyDescent="0.25">
      <c r="E17398" t="s">
        <v>16909</v>
      </c>
    </row>
    <row r="17399" spans="5:5" x14ac:dyDescent="0.25">
      <c r="E17399" t="s">
        <v>16910</v>
      </c>
    </row>
    <row r="17400" spans="5:5" x14ac:dyDescent="0.25">
      <c r="E17400" t="s">
        <v>16911</v>
      </c>
    </row>
    <row r="17401" spans="5:5" x14ac:dyDescent="0.25">
      <c r="E17401" t="s">
        <v>16912</v>
      </c>
    </row>
    <row r="17402" spans="5:5" x14ac:dyDescent="0.25">
      <c r="E17402" t="s">
        <v>16913</v>
      </c>
    </row>
    <row r="17403" spans="5:5" x14ac:dyDescent="0.25">
      <c r="E17403" t="s">
        <v>16914</v>
      </c>
    </row>
    <row r="17404" spans="5:5" x14ac:dyDescent="0.25">
      <c r="E17404" t="s">
        <v>16915</v>
      </c>
    </row>
    <row r="17405" spans="5:5" x14ac:dyDescent="0.25">
      <c r="E17405" t="s">
        <v>16916</v>
      </c>
    </row>
    <row r="17406" spans="5:5" x14ac:dyDescent="0.25">
      <c r="E17406" t="s">
        <v>16917</v>
      </c>
    </row>
    <row r="17407" spans="5:5" x14ac:dyDescent="0.25">
      <c r="E17407" t="s">
        <v>16918</v>
      </c>
    </row>
    <row r="17408" spans="5:5" x14ac:dyDescent="0.25">
      <c r="E17408" t="s">
        <v>16919</v>
      </c>
    </row>
    <row r="17409" spans="5:5" x14ac:dyDescent="0.25">
      <c r="E17409" t="s">
        <v>16920</v>
      </c>
    </row>
    <row r="17410" spans="5:5" x14ac:dyDescent="0.25">
      <c r="E17410" t="s">
        <v>16921</v>
      </c>
    </row>
    <row r="17411" spans="5:5" x14ac:dyDescent="0.25">
      <c r="E17411" t="s">
        <v>16922</v>
      </c>
    </row>
    <row r="17412" spans="5:5" x14ac:dyDescent="0.25">
      <c r="E17412" t="s">
        <v>16923</v>
      </c>
    </row>
    <row r="17413" spans="5:5" x14ac:dyDescent="0.25">
      <c r="E17413" t="s">
        <v>16924</v>
      </c>
    </row>
    <row r="17414" spans="5:5" x14ac:dyDescent="0.25">
      <c r="E17414" t="s">
        <v>16925</v>
      </c>
    </row>
    <row r="17415" spans="5:5" x14ac:dyDescent="0.25">
      <c r="E17415" t="s">
        <v>16926</v>
      </c>
    </row>
    <row r="17416" spans="5:5" x14ac:dyDescent="0.25">
      <c r="E17416" t="s">
        <v>16927</v>
      </c>
    </row>
    <row r="17417" spans="5:5" x14ac:dyDescent="0.25">
      <c r="E17417" t="s">
        <v>16928</v>
      </c>
    </row>
    <row r="17418" spans="5:5" x14ac:dyDescent="0.25">
      <c r="E17418" t="s">
        <v>16929</v>
      </c>
    </row>
    <row r="17419" spans="5:5" x14ac:dyDescent="0.25">
      <c r="E17419" t="s">
        <v>16930</v>
      </c>
    </row>
    <row r="17420" spans="5:5" x14ac:dyDescent="0.25">
      <c r="E17420" t="s">
        <v>16931</v>
      </c>
    </row>
    <row r="17421" spans="5:5" x14ac:dyDescent="0.25">
      <c r="E17421" t="s">
        <v>16932</v>
      </c>
    </row>
    <row r="17422" spans="5:5" x14ac:dyDescent="0.25">
      <c r="E17422" t="s">
        <v>16933</v>
      </c>
    </row>
    <row r="17423" spans="5:5" x14ac:dyDescent="0.25">
      <c r="E17423" t="s">
        <v>16934</v>
      </c>
    </row>
    <row r="17424" spans="5:5" x14ac:dyDescent="0.25">
      <c r="E17424" t="s">
        <v>16935</v>
      </c>
    </row>
    <row r="17425" spans="5:5" x14ac:dyDescent="0.25">
      <c r="E17425" t="s">
        <v>16936</v>
      </c>
    </row>
    <row r="17426" spans="5:5" x14ac:dyDescent="0.25">
      <c r="E17426" t="s">
        <v>16937</v>
      </c>
    </row>
    <row r="17427" spans="5:5" x14ac:dyDescent="0.25">
      <c r="E17427" t="s">
        <v>16938</v>
      </c>
    </row>
    <row r="17428" spans="5:5" x14ac:dyDescent="0.25">
      <c r="E17428" t="s">
        <v>16939</v>
      </c>
    </row>
    <row r="17429" spans="5:5" x14ac:dyDescent="0.25">
      <c r="E17429" t="s">
        <v>16940</v>
      </c>
    </row>
    <row r="17430" spans="5:5" x14ac:dyDescent="0.25">
      <c r="E17430" t="s">
        <v>16941</v>
      </c>
    </row>
    <row r="17431" spans="5:5" x14ac:dyDescent="0.25">
      <c r="E17431" t="s">
        <v>16942</v>
      </c>
    </row>
    <row r="17432" spans="5:5" x14ac:dyDescent="0.25">
      <c r="E17432" t="s">
        <v>16943</v>
      </c>
    </row>
    <row r="17433" spans="5:5" x14ac:dyDescent="0.25">
      <c r="E17433" t="s">
        <v>16944</v>
      </c>
    </row>
    <row r="17434" spans="5:5" x14ac:dyDescent="0.25">
      <c r="E17434" t="s">
        <v>16945</v>
      </c>
    </row>
    <row r="17435" spans="5:5" x14ac:dyDescent="0.25">
      <c r="E17435" t="s">
        <v>16946</v>
      </c>
    </row>
    <row r="17436" spans="5:5" x14ac:dyDescent="0.25">
      <c r="E17436" t="s">
        <v>16947</v>
      </c>
    </row>
    <row r="17437" spans="5:5" x14ac:dyDescent="0.25">
      <c r="E17437" t="s">
        <v>16948</v>
      </c>
    </row>
    <row r="17438" spans="5:5" x14ac:dyDescent="0.25">
      <c r="E17438" t="s">
        <v>16949</v>
      </c>
    </row>
    <row r="17439" spans="5:5" x14ac:dyDescent="0.25">
      <c r="E17439" t="s">
        <v>16950</v>
      </c>
    </row>
    <row r="17440" spans="5:5" x14ac:dyDescent="0.25">
      <c r="E17440" t="s">
        <v>16951</v>
      </c>
    </row>
    <row r="17441" spans="5:5" x14ac:dyDescent="0.25">
      <c r="E17441" t="s">
        <v>16952</v>
      </c>
    </row>
    <row r="17442" spans="5:5" x14ac:dyDescent="0.25">
      <c r="E17442" t="s">
        <v>16953</v>
      </c>
    </row>
    <row r="17443" spans="5:5" x14ac:dyDescent="0.25">
      <c r="E17443" t="s">
        <v>16954</v>
      </c>
    </row>
    <row r="17444" spans="5:5" x14ac:dyDescent="0.25">
      <c r="E17444" t="s">
        <v>16955</v>
      </c>
    </row>
    <row r="17445" spans="5:5" x14ac:dyDescent="0.25">
      <c r="E17445" t="s">
        <v>16956</v>
      </c>
    </row>
    <row r="17446" spans="5:5" x14ac:dyDescent="0.25">
      <c r="E17446" t="s">
        <v>16957</v>
      </c>
    </row>
    <row r="17447" spans="5:5" x14ac:dyDescent="0.25">
      <c r="E17447" t="s">
        <v>16958</v>
      </c>
    </row>
    <row r="17448" spans="5:5" x14ac:dyDescent="0.25">
      <c r="E17448" t="s">
        <v>16959</v>
      </c>
    </row>
    <row r="17449" spans="5:5" x14ac:dyDescent="0.25">
      <c r="E17449" t="s">
        <v>16960</v>
      </c>
    </row>
    <row r="17450" spans="5:5" x14ac:dyDescent="0.25">
      <c r="E17450" t="s">
        <v>16961</v>
      </c>
    </row>
    <row r="17451" spans="5:5" x14ac:dyDescent="0.25">
      <c r="E17451" t="s">
        <v>16962</v>
      </c>
    </row>
    <row r="17452" spans="5:5" x14ac:dyDescent="0.25">
      <c r="E17452" t="s">
        <v>16963</v>
      </c>
    </row>
    <row r="17453" spans="5:5" x14ac:dyDescent="0.25">
      <c r="E17453" t="s">
        <v>16964</v>
      </c>
    </row>
    <row r="17454" spans="5:5" x14ac:dyDescent="0.25">
      <c r="E17454" t="s">
        <v>16965</v>
      </c>
    </row>
    <row r="17455" spans="5:5" x14ac:dyDescent="0.25">
      <c r="E17455" t="s">
        <v>16966</v>
      </c>
    </row>
    <row r="17456" spans="5:5" x14ac:dyDescent="0.25">
      <c r="E17456" t="s">
        <v>16967</v>
      </c>
    </row>
    <row r="17457" spans="5:5" x14ac:dyDescent="0.25">
      <c r="E17457" t="s">
        <v>16968</v>
      </c>
    </row>
    <row r="17458" spans="5:5" x14ac:dyDescent="0.25">
      <c r="E17458" t="s">
        <v>16969</v>
      </c>
    </row>
    <row r="17459" spans="5:5" x14ac:dyDescent="0.25">
      <c r="E17459" t="s">
        <v>16970</v>
      </c>
    </row>
    <row r="17460" spans="5:5" x14ac:dyDescent="0.25">
      <c r="E17460" t="s">
        <v>16971</v>
      </c>
    </row>
    <row r="17461" spans="5:5" x14ac:dyDescent="0.25">
      <c r="E17461" t="s">
        <v>16972</v>
      </c>
    </row>
    <row r="17462" spans="5:5" x14ac:dyDescent="0.25">
      <c r="E17462" t="s">
        <v>16973</v>
      </c>
    </row>
    <row r="17463" spans="5:5" x14ac:dyDescent="0.25">
      <c r="E17463" t="s">
        <v>16974</v>
      </c>
    </row>
    <row r="17464" spans="5:5" x14ac:dyDescent="0.25">
      <c r="E17464" t="s">
        <v>16975</v>
      </c>
    </row>
    <row r="17465" spans="5:5" x14ac:dyDescent="0.25">
      <c r="E17465" t="s">
        <v>16976</v>
      </c>
    </row>
    <row r="17466" spans="5:5" x14ac:dyDescent="0.25">
      <c r="E17466" t="s">
        <v>16977</v>
      </c>
    </row>
    <row r="17467" spans="5:5" x14ac:dyDescent="0.25">
      <c r="E17467" t="s">
        <v>16978</v>
      </c>
    </row>
    <row r="17468" spans="5:5" x14ac:dyDescent="0.25">
      <c r="E17468" t="s">
        <v>16979</v>
      </c>
    </row>
    <row r="17469" spans="5:5" x14ac:dyDescent="0.25">
      <c r="E17469" t="s">
        <v>16980</v>
      </c>
    </row>
    <row r="17471" spans="5:5" x14ac:dyDescent="0.25">
      <c r="E17471" t="s">
        <v>16981</v>
      </c>
    </row>
    <row r="17473" spans="5:5" x14ac:dyDescent="0.25">
      <c r="E17473" t="s">
        <v>16982</v>
      </c>
    </row>
    <row r="17474" spans="5:5" x14ac:dyDescent="0.25">
      <c r="E17474" t="s">
        <v>16983</v>
      </c>
    </row>
    <row r="17475" spans="5:5" x14ac:dyDescent="0.25">
      <c r="E17475" t="s">
        <v>16984</v>
      </c>
    </row>
    <row r="17476" spans="5:5" x14ac:dyDescent="0.25">
      <c r="E17476" t="s">
        <v>16985</v>
      </c>
    </row>
    <row r="17477" spans="5:5" x14ac:dyDescent="0.25">
      <c r="E17477" t="s">
        <v>16986</v>
      </c>
    </row>
    <row r="17478" spans="5:5" x14ac:dyDescent="0.25">
      <c r="E17478" t="s">
        <v>16987</v>
      </c>
    </row>
    <row r="17479" spans="5:5" x14ac:dyDescent="0.25">
      <c r="E17479" t="s">
        <v>16988</v>
      </c>
    </row>
    <row r="17480" spans="5:5" x14ac:dyDescent="0.25">
      <c r="E17480" t="s">
        <v>16989</v>
      </c>
    </row>
    <row r="17481" spans="5:5" x14ac:dyDescent="0.25">
      <c r="E17481" t="s">
        <v>16990</v>
      </c>
    </row>
    <row r="17482" spans="5:5" x14ac:dyDescent="0.25">
      <c r="E17482" t="s">
        <v>16991</v>
      </c>
    </row>
    <row r="17483" spans="5:5" x14ac:dyDescent="0.25">
      <c r="E17483" t="s">
        <v>16992</v>
      </c>
    </row>
    <row r="17484" spans="5:5" x14ac:dyDescent="0.25">
      <c r="E17484" t="s">
        <v>16993</v>
      </c>
    </row>
    <row r="17485" spans="5:5" x14ac:dyDescent="0.25">
      <c r="E17485" t="s">
        <v>16994</v>
      </c>
    </row>
    <row r="17486" spans="5:5" x14ac:dyDescent="0.25">
      <c r="E17486" t="s">
        <v>16995</v>
      </c>
    </row>
    <row r="17487" spans="5:5" x14ac:dyDescent="0.25">
      <c r="E17487" t="s">
        <v>16996</v>
      </c>
    </row>
    <row r="17488" spans="5:5" x14ac:dyDescent="0.25">
      <c r="E17488" t="s">
        <v>16997</v>
      </c>
    </row>
    <row r="17489" spans="5:5" x14ac:dyDescent="0.25">
      <c r="E17489" t="s">
        <v>16998</v>
      </c>
    </row>
    <row r="17490" spans="5:5" x14ac:dyDescent="0.25">
      <c r="E17490" t="s">
        <v>16999</v>
      </c>
    </row>
    <row r="17491" spans="5:5" x14ac:dyDescent="0.25">
      <c r="E17491" t="s">
        <v>17000</v>
      </c>
    </row>
    <row r="17492" spans="5:5" x14ac:dyDescent="0.25">
      <c r="E17492" t="s">
        <v>17001</v>
      </c>
    </row>
    <row r="17493" spans="5:5" x14ac:dyDescent="0.25">
      <c r="E17493" t="s">
        <v>17002</v>
      </c>
    </row>
    <row r="17494" spans="5:5" x14ac:dyDescent="0.25">
      <c r="E17494" t="s">
        <v>17003</v>
      </c>
    </row>
    <row r="17495" spans="5:5" x14ac:dyDescent="0.25">
      <c r="E17495" t="s">
        <v>17004</v>
      </c>
    </row>
    <row r="17496" spans="5:5" x14ac:dyDescent="0.25">
      <c r="E17496" t="s">
        <v>17005</v>
      </c>
    </row>
    <row r="17497" spans="5:5" x14ac:dyDescent="0.25">
      <c r="E17497" t="s">
        <v>17006</v>
      </c>
    </row>
    <row r="17498" spans="5:5" x14ac:dyDescent="0.25">
      <c r="E17498" t="s">
        <v>17007</v>
      </c>
    </row>
    <row r="17499" spans="5:5" x14ac:dyDescent="0.25">
      <c r="E17499" t="s">
        <v>17008</v>
      </c>
    </row>
    <row r="17500" spans="5:5" x14ac:dyDescent="0.25">
      <c r="E17500" t="s">
        <v>17009</v>
      </c>
    </row>
    <row r="17501" spans="5:5" x14ac:dyDescent="0.25">
      <c r="E17501" t="s">
        <v>17010</v>
      </c>
    </row>
    <row r="17502" spans="5:5" x14ac:dyDescent="0.25">
      <c r="E17502" t="s">
        <v>17011</v>
      </c>
    </row>
    <row r="17503" spans="5:5" x14ac:dyDescent="0.25">
      <c r="E17503" t="s">
        <v>17012</v>
      </c>
    </row>
    <row r="17504" spans="5:5" x14ac:dyDescent="0.25">
      <c r="E17504" t="s">
        <v>17013</v>
      </c>
    </row>
    <row r="17505" spans="5:5" x14ac:dyDescent="0.25">
      <c r="E17505" t="s">
        <v>17014</v>
      </c>
    </row>
    <row r="17506" spans="5:5" x14ac:dyDescent="0.25">
      <c r="E17506" t="s">
        <v>17015</v>
      </c>
    </row>
    <row r="17507" spans="5:5" x14ac:dyDescent="0.25">
      <c r="E17507" t="s">
        <v>17016</v>
      </c>
    </row>
    <row r="17508" spans="5:5" x14ac:dyDescent="0.25">
      <c r="E17508" t="s">
        <v>17017</v>
      </c>
    </row>
    <row r="17509" spans="5:5" x14ac:dyDescent="0.25">
      <c r="E17509" t="s">
        <v>17018</v>
      </c>
    </row>
    <row r="17510" spans="5:5" x14ac:dyDescent="0.25">
      <c r="E17510" t="s">
        <v>17019</v>
      </c>
    </row>
    <row r="17511" spans="5:5" x14ac:dyDescent="0.25">
      <c r="E17511" t="s">
        <v>17020</v>
      </c>
    </row>
    <row r="17512" spans="5:5" x14ac:dyDescent="0.25">
      <c r="E17512" t="s">
        <v>17021</v>
      </c>
    </row>
    <row r="17513" spans="5:5" x14ac:dyDescent="0.25">
      <c r="E17513" t="s">
        <v>17022</v>
      </c>
    </row>
    <row r="17514" spans="5:5" x14ac:dyDescent="0.25">
      <c r="E17514" t="s">
        <v>17023</v>
      </c>
    </row>
    <row r="17515" spans="5:5" x14ac:dyDescent="0.25">
      <c r="E17515" t="s">
        <v>17024</v>
      </c>
    </row>
    <row r="17516" spans="5:5" x14ac:dyDescent="0.25">
      <c r="E17516" t="s">
        <v>17025</v>
      </c>
    </row>
    <row r="17517" spans="5:5" x14ac:dyDescent="0.25">
      <c r="E17517" t="s">
        <v>17026</v>
      </c>
    </row>
    <row r="17518" spans="5:5" x14ac:dyDescent="0.25">
      <c r="E17518" t="s">
        <v>17027</v>
      </c>
    </row>
    <row r="17519" spans="5:5" x14ac:dyDescent="0.25">
      <c r="E17519" t="s">
        <v>17028</v>
      </c>
    </row>
    <row r="17520" spans="5:5" x14ac:dyDescent="0.25">
      <c r="E17520" t="s">
        <v>17029</v>
      </c>
    </row>
    <row r="17521" spans="5:5" x14ac:dyDescent="0.25">
      <c r="E17521" t="s">
        <v>17030</v>
      </c>
    </row>
    <row r="17522" spans="5:5" x14ac:dyDescent="0.25">
      <c r="E17522" t="s">
        <v>17031</v>
      </c>
    </row>
    <row r="17523" spans="5:5" x14ac:dyDescent="0.25">
      <c r="E17523" t="s">
        <v>17032</v>
      </c>
    </row>
    <row r="17524" spans="5:5" x14ac:dyDescent="0.25">
      <c r="E17524" t="s">
        <v>17033</v>
      </c>
    </row>
    <row r="17525" spans="5:5" x14ac:dyDescent="0.25">
      <c r="E17525" t="s">
        <v>17034</v>
      </c>
    </row>
    <row r="17526" spans="5:5" x14ac:dyDescent="0.25">
      <c r="E17526" t="s">
        <v>17035</v>
      </c>
    </row>
    <row r="17527" spans="5:5" x14ac:dyDescent="0.25">
      <c r="E17527" t="s">
        <v>17036</v>
      </c>
    </row>
    <row r="17528" spans="5:5" x14ac:dyDescent="0.25">
      <c r="E17528" t="s">
        <v>17037</v>
      </c>
    </row>
    <row r="17529" spans="5:5" x14ac:dyDescent="0.25">
      <c r="E17529" t="s">
        <v>17038</v>
      </c>
    </row>
    <row r="17530" spans="5:5" x14ac:dyDescent="0.25">
      <c r="E17530" t="s">
        <v>17039</v>
      </c>
    </row>
    <row r="17531" spans="5:5" x14ac:dyDescent="0.25">
      <c r="E17531" t="s">
        <v>17040</v>
      </c>
    </row>
    <row r="17532" spans="5:5" x14ac:dyDescent="0.25">
      <c r="E17532" t="s">
        <v>17041</v>
      </c>
    </row>
    <row r="17533" spans="5:5" x14ac:dyDescent="0.25">
      <c r="E17533" t="s">
        <v>17042</v>
      </c>
    </row>
    <row r="17534" spans="5:5" x14ac:dyDescent="0.25">
      <c r="E17534" t="s">
        <v>17043</v>
      </c>
    </row>
    <row r="17535" spans="5:5" x14ac:dyDescent="0.25">
      <c r="E17535" t="s">
        <v>17044</v>
      </c>
    </row>
    <row r="17536" spans="5:5" x14ac:dyDescent="0.25">
      <c r="E17536" t="s">
        <v>17045</v>
      </c>
    </row>
    <row r="17537" spans="5:5" x14ac:dyDescent="0.25">
      <c r="E17537" t="s">
        <v>17046</v>
      </c>
    </row>
    <row r="17538" spans="5:5" x14ac:dyDescent="0.25">
      <c r="E17538" t="s">
        <v>17047</v>
      </c>
    </row>
    <row r="17539" spans="5:5" x14ac:dyDescent="0.25">
      <c r="E17539" t="s">
        <v>17048</v>
      </c>
    </row>
    <row r="17540" spans="5:5" x14ac:dyDescent="0.25">
      <c r="E17540" t="s">
        <v>17049</v>
      </c>
    </row>
    <row r="17541" spans="5:5" x14ac:dyDescent="0.25">
      <c r="E17541" t="s">
        <v>17050</v>
      </c>
    </row>
    <row r="17542" spans="5:5" x14ac:dyDescent="0.25">
      <c r="E17542" t="s">
        <v>17051</v>
      </c>
    </row>
    <row r="17543" spans="5:5" x14ac:dyDescent="0.25">
      <c r="E17543" t="s">
        <v>17052</v>
      </c>
    </row>
    <row r="17544" spans="5:5" x14ac:dyDescent="0.25">
      <c r="E17544" t="s">
        <v>17053</v>
      </c>
    </row>
    <row r="17545" spans="5:5" x14ac:dyDescent="0.25">
      <c r="E17545" t="s">
        <v>17054</v>
      </c>
    </row>
    <row r="17546" spans="5:5" x14ac:dyDescent="0.25">
      <c r="E17546" t="s">
        <v>17055</v>
      </c>
    </row>
    <row r="17547" spans="5:5" x14ac:dyDescent="0.25">
      <c r="E17547" t="s">
        <v>17056</v>
      </c>
    </row>
    <row r="17548" spans="5:5" x14ac:dyDescent="0.25">
      <c r="E17548" t="s">
        <v>17057</v>
      </c>
    </row>
    <row r="17549" spans="5:5" x14ac:dyDescent="0.25">
      <c r="E17549" t="s">
        <v>17058</v>
      </c>
    </row>
    <row r="17550" spans="5:5" x14ac:dyDescent="0.25">
      <c r="E17550" t="s">
        <v>17059</v>
      </c>
    </row>
    <row r="17551" spans="5:5" x14ac:dyDescent="0.25">
      <c r="E17551" t="s">
        <v>17060</v>
      </c>
    </row>
    <row r="17552" spans="5:5" x14ac:dyDescent="0.25">
      <c r="E17552" t="s">
        <v>17061</v>
      </c>
    </row>
    <row r="17553" spans="5:5" x14ac:dyDescent="0.25">
      <c r="E17553" t="s">
        <v>17062</v>
      </c>
    </row>
    <row r="17554" spans="5:5" x14ac:dyDescent="0.25">
      <c r="E17554" t="s">
        <v>17063</v>
      </c>
    </row>
    <row r="17555" spans="5:5" x14ac:dyDescent="0.25">
      <c r="E17555" t="s">
        <v>17064</v>
      </c>
    </row>
    <row r="17556" spans="5:5" x14ac:dyDescent="0.25">
      <c r="E17556" t="s">
        <v>17065</v>
      </c>
    </row>
    <row r="17557" spans="5:5" x14ac:dyDescent="0.25">
      <c r="E17557" t="s">
        <v>17066</v>
      </c>
    </row>
    <row r="17558" spans="5:5" x14ac:dyDescent="0.25">
      <c r="E17558" t="s">
        <v>17067</v>
      </c>
    </row>
    <row r="17559" spans="5:5" x14ac:dyDescent="0.25">
      <c r="E17559" t="s">
        <v>17068</v>
      </c>
    </row>
    <row r="17560" spans="5:5" x14ac:dyDescent="0.25">
      <c r="E17560" t="s">
        <v>17069</v>
      </c>
    </row>
    <row r="17561" spans="5:5" x14ac:dyDescent="0.25">
      <c r="E17561" t="s">
        <v>17070</v>
      </c>
    </row>
    <row r="17562" spans="5:5" x14ac:dyDescent="0.25">
      <c r="E17562" t="s">
        <v>17071</v>
      </c>
    </row>
    <row r="17563" spans="5:5" x14ac:dyDescent="0.25">
      <c r="E17563" t="s">
        <v>17072</v>
      </c>
    </row>
    <row r="17564" spans="5:5" x14ac:dyDescent="0.25">
      <c r="E17564" t="s">
        <v>17073</v>
      </c>
    </row>
    <row r="17565" spans="5:5" x14ac:dyDescent="0.25">
      <c r="E17565" t="s">
        <v>17074</v>
      </c>
    </row>
    <row r="17566" spans="5:5" x14ac:dyDescent="0.25">
      <c r="E17566" t="s">
        <v>17075</v>
      </c>
    </row>
    <row r="17567" spans="5:5" x14ac:dyDescent="0.25">
      <c r="E17567" t="s">
        <v>17076</v>
      </c>
    </row>
    <row r="17568" spans="5:5" x14ac:dyDescent="0.25">
      <c r="E17568" t="s">
        <v>17077</v>
      </c>
    </row>
    <row r="17569" spans="5:5" x14ac:dyDescent="0.25">
      <c r="E17569" t="s">
        <v>17078</v>
      </c>
    </row>
    <row r="17570" spans="5:5" x14ac:dyDescent="0.25">
      <c r="E17570" t="s">
        <v>17079</v>
      </c>
    </row>
    <row r="17571" spans="5:5" x14ac:dyDescent="0.25">
      <c r="E17571" t="s">
        <v>17080</v>
      </c>
    </row>
    <row r="17572" spans="5:5" x14ac:dyDescent="0.25">
      <c r="E17572" t="s">
        <v>17081</v>
      </c>
    </row>
    <row r="17573" spans="5:5" x14ac:dyDescent="0.25">
      <c r="E17573" t="s">
        <v>17082</v>
      </c>
    </row>
    <row r="17574" spans="5:5" x14ac:dyDescent="0.25">
      <c r="E17574" t="s">
        <v>17083</v>
      </c>
    </row>
    <row r="17575" spans="5:5" x14ac:dyDescent="0.25">
      <c r="E17575" t="s">
        <v>17084</v>
      </c>
    </row>
    <row r="17576" spans="5:5" x14ac:dyDescent="0.25">
      <c r="E17576" t="s">
        <v>17085</v>
      </c>
    </row>
    <row r="17577" spans="5:5" x14ac:dyDescent="0.25">
      <c r="E17577" t="s">
        <v>17086</v>
      </c>
    </row>
    <row r="17578" spans="5:5" x14ac:dyDescent="0.25">
      <c r="E17578" t="s">
        <v>17087</v>
      </c>
    </row>
    <row r="17579" spans="5:5" x14ac:dyDescent="0.25">
      <c r="E17579" t="s">
        <v>17088</v>
      </c>
    </row>
    <row r="17580" spans="5:5" x14ac:dyDescent="0.25">
      <c r="E17580" t="s">
        <v>17089</v>
      </c>
    </row>
    <row r="17581" spans="5:5" x14ac:dyDescent="0.25">
      <c r="E17581" t="s">
        <v>17090</v>
      </c>
    </row>
    <row r="17582" spans="5:5" x14ac:dyDescent="0.25">
      <c r="E17582" t="s">
        <v>17091</v>
      </c>
    </row>
    <row r="17583" spans="5:5" x14ac:dyDescent="0.25">
      <c r="E17583" t="s">
        <v>17092</v>
      </c>
    </row>
    <row r="17584" spans="5:5" x14ac:dyDescent="0.25">
      <c r="E17584" t="s">
        <v>17093</v>
      </c>
    </row>
    <row r="17585" spans="5:5" x14ac:dyDescent="0.25">
      <c r="E17585" t="s">
        <v>17094</v>
      </c>
    </row>
    <row r="17586" spans="5:5" x14ac:dyDescent="0.25">
      <c r="E17586" t="s">
        <v>17095</v>
      </c>
    </row>
    <row r="17587" spans="5:5" x14ac:dyDescent="0.25">
      <c r="E17587" t="s">
        <v>17096</v>
      </c>
    </row>
    <row r="17588" spans="5:5" x14ac:dyDescent="0.25">
      <c r="E17588" t="s">
        <v>17097</v>
      </c>
    </row>
    <row r="17590" spans="5:5" x14ac:dyDescent="0.25">
      <c r="E17590" t="s">
        <v>17098</v>
      </c>
    </row>
    <row r="17591" spans="5:5" x14ac:dyDescent="0.25">
      <c r="E17591" t="s">
        <v>17099</v>
      </c>
    </row>
    <row r="17592" spans="5:5" x14ac:dyDescent="0.25">
      <c r="E17592" t="s">
        <v>17100</v>
      </c>
    </row>
    <row r="17593" spans="5:5" x14ac:dyDescent="0.25">
      <c r="E17593" t="s">
        <v>17101</v>
      </c>
    </row>
    <row r="17594" spans="5:5" x14ac:dyDescent="0.25">
      <c r="E17594" t="s">
        <v>17102</v>
      </c>
    </row>
    <row r="17595" spans="5:5" x14ac:dyDescent="0.25">
      <c r="E17595" t="s">
        <v>17103</v>
      </c>
    </row>
    <row r="17596" spans="5:5" x14ac:dyDescent="0.25">
      <c r="E17596" t="s">
        <v>17104</v>
      </c>
    </row>
    <row r="17597" spans="5:5" x14ac:dyDescent="0.25">
      <c r="E17597" t="s">
        <v>17105</v>
      </c>
    </row>
    <row r="17598" spans="5:5" x14ac:dyDescent="0.25">
      <c r="E17598" t="s">
        <v>17106</v>
      </c>
    </row>
    <row r="17599" spans="5:5" x14ac:dyDescent="0.25">
      <c r="E17599" t="s">
        <v>17107</v>
      </c>
    </row>
    <row r="17600" spans="5:5" x14ac:dyDescent="0.25">
      <c r="E17600" t="s">
        <v>17108</v>
      </c>
    </row>
    <row r="17601" spans="5:5" x14ac:dyDescent="0.25">
      <c r="E17601" t="s">
        <v>17109</v>
      </c>
    </row>
    <row r="17602" spans="5:5" x14ac:dyDescent="0.25">
      <c r="E17602" t="s">
        <v>17110</v>
      </c>
    </row>
    <row r="17603" spans="5:5" x14ac:dyDescent="0.25">
      <c r="E17603" t="s">
        <v>17111</v>
      </c>
    </row>
    <row r="17604" spans="5:5" x14ac:dyDescent="0.25">
      <c r="E17604" t="s">
        <v>17112</v>
      </c>
    </row>
    <row r="17605" spans="5:5" x14ac:dyDescent="0.25">
      <c r="E17605" t="s">
        <v>17113</v>
      </c>
    </row>
    <row r="17606" spans="5:5" x14ac:dyDescent="0.25">
      <c r="E17606" t="s">
        <v>17114</v>
      </c>
    </row>
    <row r="17607" spans="5:5" x14ac:dyDescent="0.25">
      <c r="E17607" t="s">
        <v>17115</v>
      </c>
    </row>
    <row r="17609" spans="5:5" x14ac:dyDescent="0.25">
      <c r="E17609" t="s">
        <v>17116</v>
      </c>
    </row>
    <row r="17611" spans="5:5" x14ac:dyDescent="0.25">
      <c r="E17611" t="s">
        <v>17117</v>
      </c>
    </row>
    <row r="17612" spans="5:5" x14ac:dyDescent="0.25">
      <c r="E17612" t="s">
        <v>17118</v>
      </c>
    </row>
    <row r="17613" spans="5:5" x14ac:dyDescent="0.25">
      <c r="E17613" t="s">
        <v>17119</v>
      </c>
    </row>
    <row r="17614" spans="5:5" x14ac:dyDescent="0.25">
      <c r="E17614" t="s">
        <v>17120</v>
      </c>
    </row>
    <row r="17615" spans="5:5" x14ac:dyDescent="0.25">
      <c r="E17615" t="s">
        <v>17121</v>
      </c>
    </row>
    <row r="17616" spans="5:5" x14ac:dyDescent="0.25">
      <c r="E17616" t="s">
        <v>17122</v>
      </c>
    </row>
    <row r="17617" spans="5:5" x14ac:dyDescent="0.25">
      <c r="E17617" t="s">
        <v>17123</v>
      </c>
    </row>
    <row r="17618" spans="5:5" x14ac:dyDescent="0.25">
      <c r="E17618" t="s">
        <v>17124</v>
      </c>
    </row>
    <row r="17619" spans="5:5" x14ac:dyDescent="0.25">
      <c r="E17619" t="s">
        <v>17125</v>
      </c>
    </row>
    <row r="17620" spans="5:5" x14ac:dyDescent="0.25">
      <c r="E17620" t="s">
        <v>17126</v>
      </c>
    </row>
    <row r="17621" spans="5:5" x14ac:dyDescent="0.25">
      <c r="E17621" t="s">
        <v>17127</v>
      </c>
    </row>
    <row r="17622" spans="5:5" x14ac:dyDescent="0.25">
      <c r="E17622" t="s">
        <v>17128</v>
      </c>
    </row>
    <row r="17623" spans="5:5" x14ac:dyDescent="0.25">
      <c r="E17623" t="s">
        <v>17129</v>
      </c>
    </row>
    <row r="17624" spans="5:5" x14ac:dyDescent="0.25">
      <c r="E17624" t="s">
        <v>17130</v>
      </c>
    </row>
    <row r="17625" spans="5:5" x14ac:dyDescent="0.25">
      <c r="E17625" t="s">
        <v>17131</v>
      </c>
    </row>
    <row r="17626" spans="5:5" x14ac:dyDescent="0.25">
      <c r="E17626" t="s">
        <v>17132</v>
      </c>
    </row>
    <row r="17627" spans="5:5" x14ac:dyDescent="0.25">
      <c r="E17627" t="s">
        <v>17133</v>
      </c>
    </row>
    <row r="17628" spans="5:5" x14ac:dyDescent="0.25">
      <c r="E17628" t="s">
        <v>17134</v>
      </c>
    </row>
    <row r="17629" spans="5:5" x14ac:dyDescent="0.25">
      <c r="E17629" t="s">
        <v>17135</v>
      </c>
    </row>
    <row r="17630" spans="5:5" x14ac:dyDescent="0.25">
      <c r="E17630" t="s">
        <v>17136</v>
      </c>
    </row>
    <row r="17631" spans="5:5" x14ac:dyDescent="0.25">
      <c r="E17631" t="s">
        <v>17137</v>
      </c>
    </row>
    <row r="17632" spans="5:5" x14ac:dyDescent="0.25">
      <c r="E17632" t="s">
        <v>17138</v>
      </c>
    </row>
    <row r="17633" spans="5:5" x14ac:dyDescent="0.25">
      <c r="E17633" t="s">
        <v>17139</v>
      </c>
    </row>
    <row r="17634" spans="5:5" x14ac:dyDescent="0.25">
      <c r="E17634" t="s">
        <v>17140</v>
      </c>
    </row>
    <row r="17635" spans="5:5" x14ac:dyDescent="0.25">
      <c r="E17635" t="s">
        <v>17141</v>
      </c>
    </row>
    <row r="17636" spans="5:5" x14ac:dyDescent="0.25">
      <c r="E17636" t="s">
        <v>17142</v>
      </c>
    </row>
    <row r="17637" spans="5:5" x14ac:dyDescent="0.25">
      <c r="E17637" t="s">
        <v>17143</v>
      </c>
    </row>
    <row r="17638" spans="5:5" x14ac:dyDescent="0.25">
      <c r="E17638" t="s">
        <v>17144</v>
      </c>
    </row>
    <row r="17639" spans="5:5" x14ac:dyDescent="0.25">
      <c r="E17639" t="s">
        <v>17145</v>
      </c>
    </row>
    <row r="17640" spans="5:5" x14ac:dyDescent="0.25">
      <c r="E17640" t="s">
        <v>17146</v>
      </c>
    </row>
    <row r="17641" spans="5:5" x14ac:dyDescent="0.25">
      <c r="E17641" t="s">
        <v>17147</v>
      </c>
    </row>
    <row r="17642" spans="5:5" x14ac:dyDescent="0.25">
      <c r="E17642" t="s">
        <v>17148</v>
      </c>
    </row>
    <row r="17643" spans="5:5" x14ac:dyDescent="0.25">
      <c r="E17643" t="s">
        <v>17149</v>
      </c>
    </row>
    <row r="17644" spans="5:5" x14ac:dyDescent="0.25">
      <c r="E17644" t="s">
        <v>17150</v>
      </c>
    </row>
    <row r="17645" spans="5:5" x14ac:dyDescent="0.25">
      <c r="E17645" t="s">
        <v>17151</v>
      </c>
    </row>
    <row r="17646" spans="5:5" x14ac:dyDescent="0.25">
      <c r="E17646" t="s">
        <v>17152</v>
      </c>
    </row>
    <row r="17647" spans="5:5" x14ac:dyDescent="0.25">
      <c r="E17647" t="s">
        <v>17153</v>
      </c>
    </row>
    <row r="17648" spans="5:5" x14ac:dyDescent="0.25">
      <c r="E17648" t="s">
        <v>17154</v>
      </c>
    </row>
    <row r="17649" spans="5:5" x14ac:dyDescent="0.25">
      <c r="E17649" t="s">
        <v>17155</v>
      </c>
    </row>
    <row r="17650" spans="5:5" x14ac:dyDescent="0.25">
      <c r="E17650" t="s">
        <v>17156</v>
      </c>
    </row>
    <row r="17651" spans="5:5" x14ac:dyDescent="0.25">
      <c r="E17651" t="s">
        <v>17157</v>
      </c>
    </row>
    <row r="17652" spans="5:5" x14ac:dyDescent="0.25">
      <c r="E17652" t="s">
        <v>17158</v>
      </c>
    </row>
    <row r="17653" spans="5:5" x14ac:dyDescent="0.25">
      <c r="E17653" t="s">
        <v>17159</v>
      </c>
    </row>
    <row r="17654" spans="5:5" x14ac:dyDescent="0.25">
      <c r="E17654" t="s">
        <v>17160</v>
      </c>
    </row>
    <row r="17655" spans="5:5" x14ac:dyDescent="0.25">
      <c r="E17655" t="s">
        <v>17161</v>
      </c>
    </row>
    <row r="17656" spans="5:5" x14ac:dyDescent="0.25">
      <c r="E17656" t="s">
        <v>17162</v>
      </c>
    </row>
    <row r="17657" spans="5:5" x14ac:dyDescent="0.25">
      <c r="E17657" t="s">
        <v>17163</v>
      </c>
    </row>
    <row r="17658" spans="5:5" x14ac:dyDescent="0.25">
      <c r="E17658" t="s">
        <v>17164</v>
      </c>
    </row>
    <row r="17659" spans="5:5" x14ac:dyDescent="0.25">
      <c r="E17659" t="s">
        <v>17165</v>
      </c>
    </row>
    <row r="17660" spans="5:5" x14ac:dyDescent="0.25">
      <c r="E17660" t="s">
        <v>17166</v>
      </c>
    </row>
    <row r="17661" spans="5:5" x14ac:dyDescent="0.25">
      <c r="E17661" t="s">
        <v>17167</v>
      </c>
    </row>
    <row r="17662" spans="5:5" x14ac:dyDescent="0.25">
      <c r="E17662" t="s">
        <v>17168</v>
      </c>
    </row>
    <row r="17663" spans="5:5" x14ac:dyDescent="0.25">
      <c r="E17663" t="s">
        <v>17169</v>
      </c>
    </row>
    <row r="17664" spans="5:5" x14ac:dyDescent="0.25">
      <c r="E17664" t="s">
        <v>17170</v>
      </c>
    </row>
    <row r="17665" spans="5:5" x14ac:dyDescent="0.25">
      <c r="E17665" t="s">
        <v>17171</v>
      </c>
    </row>
    <row r="17666" spans="5:5" x14ac:dyDescent="0.25">
      <c r="E17666" t="s">
        <v>17172</v>
      </c>
    </row>
    <row r="17667" spans="5:5" x14ac:dyDescent="0.25">
      <c r="E17667" t="s">
        <v>17173</v>
      </c>
    </row>
    <row r="17668" spans="5:5" x14ac:dyDescent="0.25">
      <c r="E17668" t="s">
        <v>17174</v>
      </c>
    </row>
    <row r="17669" spans="5:5" x14ac:dyDescent="0.25">
      <c r="E17669" t="s">
        <v>17175</v>
      </c>
    </row>
    <row r="17670" spans="5:5" x14ac:dyDescent="0.25">
      <c r="E17670" t="s">
        <v>17176</v>
      </c>
    </row>
    <row r="17671" spans="5:5" x14ac:dyDescent="0.25">
      <c r="E17671" t="s">
        <v>17177</v>
      </c>
    </row>
    <row r="17672" spans="5:5" x14ac:dyDescent="0.25">
      <c r="E17672" t="s">
        <v>17178</v>
      </c>
    </row>
    <row r="17673" spans="5:5" x14ac:dyDescent="0.25">
      <c r="E17673" t="s">
        <v>17179</v>
      </c>
    </row>
    <row r="17674" spans="5:5" x14ac:dyDescent="0.25">
      <c r="E17674" t="s">
        <v>17180</v>
      </c>
    </row>
    <row r="17675" spans="5:5" x14ac:dyDescent="0.25">
      <c r="E17675" t="s">
        <v>17181</v>
      </c>
    </row>
    <row r="17676" spans="5:5" x14ac:dyDescent="0.25">
      <c r="E17676" t="s">
        <v>17182</v>
      </c>
    </row>
    <row r="17677" spans="5:5" x14ac:dyDescent="0.25">
      <c r="E17677" t="s">
        <v>17183</v>
      </c>
    </row>
    <row r="17678" spans="5:5" x14ac:dyDescent="0.25">
      <c r="E17678" t="s">
        <v>17184</v>
      </c>
    </row>
    <row r="17679" spans="5:5" x14ac:dyDescent="0.25">
      <c r="E17679" t="s">
        <v>17185</v>
      </c>
    </row>
    <row r="17680" spans="5:5" x14ac:dyDescent="0.25">
      <c r="E17680" t="s">
        <v>17186</v>
      </c>
    </row>
    <row r="17681" spans="5:5" x14ac:dyDescent="0.25">
      <c r="E17681" t="s">
        <v>17187</v>
      </c>
    </row>
    <row r="17682" spans="5:5" x14ac:dyDescent="0.25">
      <c r="E17682" t="s">
        <v>17188</v>
      </c>
    </row>
    <row r="17683" spans="5:5" x14ac:dyDescent="0.25">
      <c r="E17683" t="s">
        <v>17189</v>
      </c>
    </row>
    <row r="17684" spans="5:5" x14ac:dyDescent="0.25">
      <c r="E17684" t="s">
        <v>17190</v>
      </c>
    </row>
    <row r="17685" spans="5:5" x14ac:dyDescent="0.25">
      <c r="E17685" t="s">
        <v>17191</v>
      </c>
    </row>
    <row r="17686" spans="5:5" x14ac:dyDescent="0.25">
      <c r="E17686" t="s">
        <v>17192</v>
      </c>
    </row>
    <row r="17687" spans="5:5" x14ac:dyDescent="0.25">
      <c r="E17687" t="s">
        <v>17193</v>
      </c>
    </row>
    <row r="17688" spans="5:5" x14ac:dyDescent="0.25">
      <c r="E17688" t="s">
        <v>17194</v>
      </c>
    </row>
    <row r="17689" spans="5:5" x14ac:dyDescent="0.25">
      <c r="E17689" t="s">
        <v>17195</v>
      </c>
    </row>
    <row r="17690" spans="5:5" x14ac:dyDescent="0.25">
      <c r="E17690" t="s">
        <v>17196</v>
      </c>
    </row>
    <row r="17691" spans="5:5" x14ac:dyDescent="0.25">
      <c r="E17691" t="s">
        <v>17197</v>
      </c>
    </row>
    <row r="17692" spans="5:5" x14ac:dyDescent="0.25">
      <c r="E17692" t="s">
        <v>17198</v>
      </c>
    </row>
    <row r="17693" spans="5:5" x14ac:dyDescent="0.25">
      <c r="E17693" t="s">
        <v>17199</v>
      </c>
    </row>
    <row r="17694" spans="5:5" x14ac:dyDescent="0.25">
      <c r="E17694" t="s">
        <v>17200</v>
      </c>
    </row>
    <row r="17695" spans="5:5" x14ac:dyDescent="0.25">
      <c r="E17695" t="s">
        <v>17201</v>
      </c>
    </row>
    <row r="17696" spans="5:5" x14ac:dyDescent="0.25">
      <c r="E17696" t="s">
        <v>17202</v>
      </c>
    </row>
    <row r="17697" spans="5:5" x14ac:dyDescent="0.25">
      <c r="E17697" t="s">
        <v>17203</v>
      </c>
    </row>
    <row r="17698" spans="5:5" x14ac:dyDescent="0.25">
      <c r="E17698" t="s">
        <v>17204</v>
      </c>
    </row>
    <row r="17699" spans="5:5" x14ac:dyDescent="0.25">
      <c r="E17699" t="s">
        <v>17205</v>
      </c>
    </row>
    <row r="17700" spans="5:5" x14ac:dyDescent="0.25">
      <c r="E17700" t="s">
        <v>17206</v>
      </c>
    </row>
    <row r="17701" spans="5:5" x14ac:dyDescent="0.25">
      <c r="E17701" t="s">
        <v>17207</v>
      </c>
    </row>
    <row r="17702" spans="5:5" x14ac:dyDescent="0.25">
      <c r="E17702" t="s">
        <v>17208</v>
      </c>
    </row>
    <row r="17703" spans="5:5" x14ac:dyDescent="0.25">
      <c r="E17703" t="s">
        <v>17209</v>
      </c>
    </row>
    <row r="17704" spans="5:5" x14ac:dyDescent="0.25">
      <c r="E17704" t="s">
        <v>17210</v>
      </c>
    </row>
    <row r="17705" spans="5:5" x14ac:dyDescent="0.25">
      <c r="E17705" t="s">
        <v>17211</v>
      </c>
    </row>
    <row r="17706" spans="5:5" x14ac:dyDescent="0.25">
      <c r="E17706" t="s">
        <v>17212</v>
      </c>
    </row>
    <row r="17707" spans="5:5" x14ac:dyDescent="0.25">
      <c r="E17707" t="s">
        <v>17213</v>
      </c>
    </row>
    <row r="17708" spans="5:5" x14ac:dyDescent="0.25">
      <c r="E17708" t="s">
        <v>17214</v>
      </c>
    </row>
    <row r="17709" spans="5:5" x14ac:dyDescent="0.25">
      <c r="E17709" t="s">
        <v>17215</v>
      </c>
    </row>
    <row r="17710" spans="5:5" x14ac:dyDescent="0.25">
      <c r="E17710" t="s">
        <v>17216</v>
      </c>
    </row>
    <row r="17711" spans="5:5" x14ac:dyDescent="0.25">
      <c r="E17711" t="s">
        <v>17217</v>
      </c>
    </row>
    <row r="17712" spans="5:5" x14ac:dyDescent="0.25">
      <c r="E17712" t="s">
        <v>17218</v>
      </c>
    </row>
    <row r="17713" spans="5:5" x14ac:dyDescent="0.25">
      <c r="E17713" t="s">
        <v>17219</v>
      </c>
    </row>
    <row r="17714" spans="5:5" x14ac:dyDescent="0.25">
      <c r="E17714" t="s">
        <v>17220</v>
      </c>
    </row>
    <row r="17715" spans="5:5" x14ac:dyDescent="0.25">
      <c r="E17715" t="s">
        <v>17221</v>
      </c>
    </row>
    <row r="17716" spans="5:5" x14ac:dyDescent="0.25">
      <c r="E17716" t="s">
        <v>17222</v>
      </c>
    </row>
    <row r="17717" spans="5:5" x14ac:dyDescent="0.25">
      <c r="E17717" t="s">
        <v>17223</v>
      </c>
    </row>
    <row r="17718" spans="5:5" x14ac:dyDescent="0.25">
      <c r="E17718" t="s">
        <v>17224</v>
      </c>
    </row>
    <row r="17719" spans="5:5" x14ac:dyDescent="0.25">
      <c r="E17719" t="s">
        <v>17225</v>
      </c>
    </row>
    <row r="17720" spans="5:5" x14ac:dyDescent="0.25">
      <c r="E17720" t="s">
        <v>17226</v>
      </c>
    </row>
    <row r="17721" spans="5:5" x14ac:dyDescent="0.25">
      <c r="E17721" t="s">
        <v>17227</v>
      </c>
    </row>
    <row r="17722" spans="5:5" x14ac:dyDescent="0.25">
      <c r="E17722" t="s">
        <v>17228</v>
      </c>
    </row>
    <row r="17723" spans="5:5" x14ac:dyDescent="0.25">
      <c r="E17723" t="s">
        <v>17229</v>
      </c>
    </row>
    <row r="17724" spans="5:5" x14ac:dyDescent="0.25">
      <c r="E17724" t="s">
        <v>17230</v>
      </c>
    </row>
    <row r="17725" spans="5:5" x14ac:dyDescent="0.25">
      <c r="E17725" t="s">
        <v>17231</v>
      </c>
    </row>
    <row r="17726" spans="5:5" x14ac:dyDescent="0.25">
      <c r="E17726" t="s">
        <v>17232</v>
      </c>
    </row>
    <row r="17727" spans="5:5" x14ac:dyDescent="0.25">
      <c r="E17727" t="s">
        <v>17233</v>
      </c>
    </row>
    <row r="17728" spans="5:5" x14ac:dyDescent="0.25">
      <c r="E17728" t="s">
        <v>17234</v>
      </c>
    </row>
    <row r="17729" spans="5:5" x14ac:dyDescent="0.25">
      <c r="E17729" t="s">
        <v>17235</v>
      </c>
    </row>
    <row r="17730" spans="5:5" x14ac:dyDescent="0.25">
      <c r="E17730" t="s">
        <v>17236</v>
      </c>
    </row>
    <row r="17731" spans="5:5" x14ac:dyDescent="0.25">
      <c r="E17731" t="s">
        <v>17237</v>
      </c>
    </row>
    <row r="17732" spans="5:5" x14ac:dyDescent="0.25">
      <c r="E17732" t="s">
        <v>17238</v>
      </c>
    </row>
    <row r="17733" spans="5:5" x14ac:dyDescent="0.25">
      <c r="E17733" t="s">
        <v>17239</v>
      </c>
    </row>
    <row r="17734" spans="5:5" x14ac:dyDescent="0.25">
      <c r="E17734" t="s">
        <v>17240</v>
      </c>
    </row>
    <row r="17735" spans="5:5" x14ac:dyDescent="0.25">
      <c r="E17735" t="s">
        <v>17241</v>
      </c>
    </row>
    <row r="17736" spans="5:5" x14ac:dyDescent="0.25">
      <c r="E17736" t="s">
        <v>17242</v>
      </c>
    </row>
    <row r="17737" spans="5:5" x14ac:dyDescent="0.25">
      <c r="E17737" t="s">
        <v>17243</v>
      </c>
    </row>
    <row r="17738" spans="5:5" x14ac:dyDescent="0.25">
      <c r="E17738" t="s">
        <v>17244</v>
      </c>
    </row>
    <row r="17739" spans="5:5" x14ac:dyDescent="0.25">
      <c r="E17739" t="s">
        <v>17245</v>
      </c>
    </row>
    <row r="17740" spans="5:5" x14ac:dyDescent="0.25">
      <c r="E17740" t="s">
        <v>17246</v>
      </c>
    </row>
    <row r="17741" spans="5:5" x14ac:dyDescent="0.25">
      <c r="E17741" t="s">
        <v>17247</v>
      </c>
    </row>
    <row r="17742" spans="5:5" x14ac:dyDescent="0.25">
      <c r="E17742" t="s">
        <v>17248</v>
      </c>
    </row>
    <row r="17743" spans="5:5" x14ac:dyDescent="0.25">
      <c r="E17743" t="s">
        <v>17249</v>
      </c>
    </row>
    <row r="17744" spans="5:5" x14ac:dyDescent="0.25">
      <c r="E17744" t="s">
        <v>17250</v>
      </c>
    </row>
    <row r="17745" spans="5:5" x14ac:dyDescent="0.25">
      <c r="E17745" t="s">
        <v>17251</v>
      </c>
    </row>
    <row r="17746" spans="5:5" x14ac:dyDescent="0.25">
      <c r="E17746" t="s">
        <v>17252</v>
      </c>
    </row>
    <row r="17747" spans="5:5" x14ac:dyDescent="0.25">
      <c r="E17747" t="s">
        <v>17253</v>
      </c>
    </row>
    <row r="17748" spans="5:5" x14ac:dyDescent="0.25">
      <c r="E17748" t="s">
        <v>17254</v>
      </c>
    </row>
    <row r="17749" spans="5:5" x14ac:dyDescent="0.25">
      <c r="E17749" t="s">
        <v>17255</v>
      </c>
    </row>
    <row r="17750" spans="5:5" x14ac:dyDescent="0.25">
      <c r="E17750" t="s">
        <v>17256</v>
      </c>
    </row>
    <row r="17751" spans="5:5" x14ac:dyDescent="0.25">
      <c r="E17751" t="s">
        <v>17257</v>
      </c>
    </row>
    <row r="17752" spans="5:5" x14ac:dyDescent="0.25">
      <c r="E17752" t="s">
        <v>17258</v>
      </c>
    </row>
    <row r="17753" spans="5:5" x14ac:dyDescent="0.25">
      <c r="E17753" t="s">
        <v>17259</v>
      </c>
    </row>
    <row r="17754" spans="5:5" x14ac:dyDescent="0.25">
      <c r="E17754" t="s">
        <v>17260</v>
      </c>
    </row>
    <row r="17755" spans="5:5" x14ac:dyDescent="0.25">
      <c r="E17755" t="s">
        <v>17261</v>
      </c>
    </row>
    <row r="17756" spans="5:5" x14ac:dyDescent="0.25">
      <c r="E17756" t="s">
        <v>17262</v>
      </c>
    </row>
    <row r="17757" spans="5:5" x14ac:dyDescent="0.25">
      <c r="E17757" t="s">
        <v>17263</v>
      </c>
    </row>
    <row r="17758" spans="5:5" x14ac:dyDescent="0.25">
      <c r="E17758" t="s">
        <v>17264</v>
      </c>
    </row>
    <row r="17759" spans="5:5" x14ac:dyDescent="0.25">
      <c r="E17759" t="s">
        <v>17265</v>
      </c>
    </row>
    <row r="17760" spans="5:5" x14ac:dyDescent="0.25">
      <c r="E17760" t="s">
        <v>17266</v>
      </c>
    </row>
    <row r="17761" spans="5:5" x14ac:dyDescent="0.25">
      <c r="E17761" t="s">
        <v>17267</v>
      </c>
    </row>
    <row r="17762" spans="5:5" x14ac:dyDescent="0.25">
      <c r="E17762" t="s">
        <v>17268</v>
      </c>
    </row>
    <row r="17763" spans="5:5" x14ac:dyDescent="0.25">
      <c r="E17763" t="s">
        <v>17269</v>
      </c>
    </row>
    <row r="17764" spans="5:5" x14ac:dyDescent="0.25">
      <c r="E17764" t="s">
        <v>17270</v>
      </c>
    </row>
    <row r="17765" spans="5:5" x14ac:dyDescent="0.25">
      <c r="E17765" t="s">
        <v>17271</v>
      </c>
    </row>
    <row r="17766" spans="5:5" x14ac:dyDescent="0.25">
      <c r="E17766" t="s">
        <v>17272</v>
      </c>
    </row>
    <row r="17767" spans="5:5" x14ac:dyDescent="0.25">
      <c r="E17767" t="s">
        <v>17273</v>
      </c>
    </row>
    <row r="17768" spans="5:5" x14ac:dyDescent="0.25">
      <c r="E17768" t="s">
        <v>17274</v>
      </c>
    </row>
    <row r="17769" spans="5:5" x14ac:dyDescent="0.25">
      <c r="E17769" t="s">
        <v>17275</v>
      </c>
    </row>
    <row r="17770" spans="5:5" x14ac:dyDescent="0.25">
      <c r="E17770" t="s">
        <v>17276</v>
      </c>
    </row>
    <row r="17771" spans="5:5" x14ac:dyDescent="0.25">
      <c r="E17771" t="s">
        <v>17277</v>
      </c>
    </row>
    <row r="17772" spans="5:5" x14ac:dyDescent="0.25">
      <c r="E17772" t="s">
        <v>17278</v>
      </c>
    </row>
    <row r="17773" spans="5:5" x14ac:dyDescent="0.25">
      <c r="E17773" t="s">
        <v>17279</v>
      </c>
    </row>
    <row r="17774" spans="5:5" x14ac:dyDescent="0.25">
      <c r="E17774" t="s">
        <v>17280</v>
      </c>
    </row>
    <row r="17775" spans="5:5" x14ac:dyDescent="0.25">
      <c r="E17775" t="s">
        <v>17281</v>
      </c>
    </row>
    <row r="17776" spans="5:5" x14ac:dyDescent="0.25">
      <c r="E17776" t="s">
        <v>17282</v>
      </c>
    </row>
    <row r="17777" spans="5:5" x14ac:dyDescent="0.25">
      <c r="E17777" t="s">
        <v>17283</v>
      </c>
    </row>
    <row r="17778" spans="5:5" x14ac:dyDescent="0.25">
      <c r="E17778" t="s">
        <v>17284</v>
      </c>
    </row>
    <row r="17779" spans="5:5" x14ac:dyDescent="0.25">
      <c r="E17779" t="s">
        <v>17285</v>
      </c>
    </row>
    <row r="17780" spans="5:5" x14ac:dyDescent="0.25">
      <c r="E17780" t="s">
        <v>17286</v>
      </c>
    </row>
    <row r="17781" spans="5:5" x14ac:dyDescent="0.25">
      <c r="E17781" t="s">
        <v>17287</v>
      </c>
    </row>
    <row r="17782" spans="5:5" x14ac:dyDescent="0.25">
      <c r="E17782" t="s">
        <v>17288</v>
      </c>
    </row>
    <row r="17783" spans="5:5" x14ac:dyDescent="0.25">
      <c r="E17783" t="s">
        <v>17289</v>
      </c>
    </row>
    <row r="17784" spans="5:5" x14ac:dyDescent="0.25">
      <c r="E17784" t="s">
        <v>17290</v>
      </c>
    </row>
    <row r="17785" spans="5:5" x14ac:dyDescent="0.25">
      <c r="E17785" t="s">
        <v>17291</v>
      </c>
    </row>
    <row r="17786" spans="5:5" x14ac:dyDescent="0.25">
      <c r="E17786" t="s">
        <v>17292</v>
      </c>
    </row>
    <row r="17787" spans="5:5" x14ac:dyDescent="0.25">
      <c r="E17787" t="s">
        <v>17293</v>
      </c>
    </row>
    <row r="17788" spans="5:5" x14ac:dyDescent="0.25">
      <c r="E17788" t="s">
        <v>17294</v>
      </c>
    </row>
    <row r="17789" spans="5:5" x14ac:dyDescent="0.25">
      <c r="E17789" t="s">
        <v>17295</v>
      </c>
    </row>
    <row r="17790" spans="5:5" x14ac:dyDescent="0.25">
      <c r="E17790" t="s">
        <v>17296</v>
      </c>
    </row>
    <row r="17791" spans="5:5" x14ac:dyDescent="0.25">
      <c r="E17791" t="s">
        <v>17297</v>
      </c>
    </row>
    <row r="17792" spans="5:5" x14ac:dyDescent="0.25">
      <c r="E17792" t="s">
        <v>17298</v>
      </c>
    </row>
    <row r="17793" spans="5:5" x14ac:dyDescent="0.25">
      <c r="E17793" t="s">
        <v>17299</v>
      </c>
    </row>
    <row r="17794" spans="5:5" x14ac:dyDescent="0.25">
      <c r="E17794" t="s">
        <v>17300</v>
      </c>
    </row>
    <row r="17795" spans="5:5" x14ac:dyDescent="0.25">
      <c r="E17795" t="s">
        <v>17301</v>
      </c>
    </row>
    <row r="17796" spans="5:5" x14ac:dyDescent="0.25">
      <c r="E17796" t="s">
        <v>17302</v>
      </c>
    </row>
    <row r="17797" spans="5:5" x14ac:dyDescent="0.25">
      <c r="E17797" t="s">
        <v>17303</v>
      </c>
    </row>
    <row r="17798" spans="5:5" x14ac:dyDescent="0.25">
      <c r="E17798" t="s">
        <v>17304</v>
      </c>
    </row>
    <row r="17799" spans="5:5" x14ac:dyDescent="0.25">
      <c r="E17799" t="s">
        <v>17305</v>
      </c>
    </row>
    <row r="17800" spans="5:5" x14ac:dyDescent="0.25">
      <c r="E17800" t="s">
        <v>17306</v>
      </c>
    </row>
    <row r="17801" spans="5:5" x14ac:dyDescent="0.25">
      <c r="E17801" t="s">
        <v>17307</v>
      </c>
    </row>
    <row r="17802" spans="5:5" x14ac:dyDescent="0.25">
      <c r="E17802" t="s">
        <v>17308</v>
      </c>
    </row>
    <row r="17803" spans="5:5" x14ac:dyDescent="0.25">
      <c r="E17803" t="s">
        <v>17309</v>
      </c>
    </row>
    <row r="17804" spans="5:5" x14ac:dyDescent="0.25">
      <c r="E17804" t="s">
        <v>17310</v>
      </c>
    </row>
    <row r="17805" spans="5:5" x14ac:dyDescent="0.25">
      <c r="E17805" t="s">
        <v>17311</v>
      </c>
    </row>
    <row r="17806" spans="5:5" x14ac:dyDescent="0.25">
      <c r="E17806" t="s">
        <v>17312</v>
      </c>
    </row>
    <row r="17807" spans="5:5" x14ac:dyDescent="0.25">
      <c r="E17807" t="s">
        <v>17313</v>
      </c>
    </row>
    <row r="17808" spans="5:5" x14ac:dyDescent="0.25">
      <c r="E17808" t="s">
        <v>17314</v>
      </c>
    </row>
    <row r="17809" spans="5:5" x14ac:dyDescent="0.25">
      <c r="E17809" t="s">
        <v>17315</v>
      </c>
    </row>
    <row r="17810" spans="5:5" x14ac:dyDescent="0.25">
      <c r="E17810" t="s">
        <v>17316</v>
      </c>
    </row>
    <row r="17811" spans="5:5" x14ac:dyDescent="0.25">
      <c r="E17811" t="s">
        <v>17317</v>
      </c>
    </row>
    <row r="17812" spans="5:5" x14ac:dyDescent="0.25">
      <c r="E17812" t="s">
        <v>17318</v>
      </c>
    </row>
    <row r="17813" spans="5:5" x14ac:dyDescent="0.25">
      <c r="E17813" t="s">
        <v>17319</v>
      </c>
    </row>
    <row r="17814" spans="5:5" x14ac:dyDescent="0.25">
      <c r="E17814" t="s">
        <v>17320</v>
      </c>
    </row>
    <row r="17815" spans="5:5" x14ac:dyDescent="0.25">
      <c r="E17815" t="s">
        <v>17321</v>
      </c>
    </row>
    <row r="17816" spans="5:5" x14ac:dyDescent="0.25">
      <c r="E17816" t="s">
        <v>17322</v>
      </c>
    </row>
    <row r="17817" spans="5:5" x14ac:dyDescent="0.25">
      <c r="E17817" t="s">
        <v>17323</v>
      </c>
    </row>
    <row r="17818" spans="5:5" x14ac:dyDescent="0.25">
      <c r="E17818" t="s">
        <v>17324</v>
      </c>
    </row>
    <row r="17819" spans="5:5" x14ac:dyDescent="0.25">
      <c r="E17819" t="s">
        <v>17325</v>
      </c>
    </row>
    <row r="17820" spans="5:5" x14ac:dyDescent="0.25">
      <c r="E17820" t="s">
        <v>17326</v>
      </c>
    </row>
    <row r="17821" spans="5:5" x14ac:dyDescent="0.25">
      <c r="E17821" t="s">
        <v>17327</v>
      </c>
    </row>
    <row r="17822" spans="5:5" x14ac:dyDescent="0.25">
      <c r="E17822" t="s">
        <v>17328</v>
      </c>
    </row>
    <row r="17823" spans="5:5" x14ac:dyDescent="0.25">
      <c r="E17823" t="s">
        <v>17329</v>
      </c>
    </row>
    <row r="17824" spans="5:5" x14ac:dyDescent="0.25">
      <c r="E17824" t="s">
        <v>17330</v>
      </c>
    </row>
    <row r="17825" spans="5:5" x14ac:dyDescent="0.25">
      <c r="E17825" t="s">
        <v>17331</v>
      </c>
    </row>
    <row r="17826" spans="5:5" x14ac:dyDescent="0.25">
      <c r="E17826" t="s">
        <v>17332</v>
      </c>
    </row>
    <row r="17827" spans="5:5" x14ac:dyDescent="0.25">
      <c r="E17827" t="s">
        <v>17333</v>
      </c>
    </row>
    <row r="17828" spans="5:5" x14ac:dyDescent="0.25">
      <c r="E17828" t="s">
        <v>17334</v>
      </c>
    </row>
    <row r="17829" spans="5:5" x14ac:dyDescent="0.25">
      <c r="E17829" t="s">
        <v>17335</v>
      </c>
    </row>
    <row r="17830" spans="5:5" x14ac:dyDescent="0.25">
      <c r="E17830" t="s">
        <v>17336</v>
      </c>
    </row>
    <row r="17831" spans="5:5" x14ac:dyDescent="0.25">
      <c r="E17831" t="s">
        <v>17337</v>
      </c>
    </row>
    <row r="17832" spans="5:5" x14ac:dyDescent="0.25">
      <c r="E17832" t="s">
        <v>17338</v>
      </c>
    </row>
    <row r="17833" spans="5:5" x14ac:dyDescent="0.25">
      <c r="E17833" t="s">
        <v>17339</v>
      </c>
    </row>
    <row r="17834" spans="5:5" x14ac:dyDescent="0.25">
      <c r="E17834" t="s">
        <v>17340</v>
      </c>
    </row>
    <row r="17835" spans="5:5" x14ac:dyDescent="0.25">
      <c r="E17835" t="s">
        <v>17341</v>
      </c>
    </row>
    <row r="17836" spans="5:5" x14ac:dyDescent="0.25">
      <c r="E17836" t="s">
        <v>17342</v>
      </c>
    </row>
    <row r="17837" spans="5:5" x14ac:dyDescent="0.25">
      <c r="E17837" t="s">
        <v>17343</v>
      </c>
    </row>
    <row r="17838" spans="5:5" x14ac:dyDescent="0.25">
      <c r="E17838" t="s">
        <v>17344</v>
      </c>
    </row>
    <row r="17839" spans="5:5" x14ac:dyDescent="0.25">
      <c r="E17839" t="s">
        <v>17345</v>
      </c>
    </row>
    <row r="17840" spans="5:5" x14ac:dyDescent="0.25">
      <c r="E17840" t="s">
        <v>17346</v>
      </c>
    </row>
    <row r="17841" spans="5:5" x14ac:dyDescent="0.25">
      <c r="E17841" t="s">
        <v>17347</v>
      </c>
    </row>
    <row r="17842" spans="5:5" x14ac:dyDescent="0.25">
      <c r="E17842" t="s">
        <v>17348</v>
      </c>
    </row>
    <row r="17843" spans="5:5" x14ac:dyDescent="0.25">
      <c r="E17843" t="s">
        <v>17349</v>
      </c>
    </row>
    <row r="17844" spans="5:5" x14ac:dyDescent="0.25">
      <c r="E17844" t="s">
        <v>17350</v>
      </c>
    </row>
    <row r="17845" spans="5:5" x14ac:dyDescent="0.25">
      <c r="E17845" t="s">
        <v>17351</v>
      </c>
    </row>
    <row r="17846" spans="5:5" x14ac:dyDescent="0.25">
      <c r="E17846" t="s">
        <v>17352</v>
      </c>
    </row>
    <row r="17847" spans="5:5" x14ac:dyDescent="0.25">
      <c r="E17847" t="s">
        <v>17353</v>
      </c>
    </row>
    <row r="17848" spans="5:5" x14ac:dyDescent="0.25">
      <c r="E17848" t="s">
        <v>17354</v>
      </c>
    </row>
    <row r="17849" spans="5:5" x14ac:dyDescent="0.25">
      <c r="E17849" t="s">
        <v>17355</v>
      </c>
    </row>
    <row r="17850" spans="5:5" x14ac:dyDescent="0.25">
      <c r="E17850" t="s">
        <v>17356</v>
      </c>
    </row>
    <row r="17851" spans="5:5" x14ac:dyDescent="0.25">
      <c r="E17851" t="s">
        <v>17357</v>
      </c>
    </row>
    <row r="17852" spans="5:5" x14ac:dyDescent="0.25">
      <c r="E17852" t="s">
        <v>17358</v>
      </c>
    </row>
    <row r="17853" spans="5:5" x14ac:dyDescent="0.25">
      <c r="E17853" t="s">
        <v>17359</v>
      </c>
    </row>
    <row r="17854" spans="5:5" x14ac:dyDescent="0.25">
      <c r="E17854" t="s">
        <v>17360</v>
      </c>
    </row>
    <row r="17855" spans="5:5" x14ac:dyDescent="0.25">
      <c r="E17855" t="s">
        <v>17361</v>
      </c>
    </row>
    <row r="17856" spans="5:5" x14ac:dyDescent="0.25">
      <c r="E17856" t="s">
        <v>17362</v>
      </c>
    </row>
    <row r="17857" spans="5:5" x14ac:dyDescent="0.25">
      <c r="E17857" t="s">
        <v>17363</v>
      </c>
    </row>
    <row r="17858" spans="5:5" x14ac:dyDescent="0.25">
      <c r="E17858" t="s">
        <v>17364</v>
      </c>
    </row>
    <row r="17859" spans="5:5" x14ac:dyDescent="0.25">
      <c r="E17859" t="s">
        <v>17365</v>
      </c>
    </row>
    <row r="17860" spans="5:5" x14ac:dyDescent="0.25">
      <c r="E17860" t="s">
        <v>17366</v>
      </c>
    </row>
    <row r="17861" spans="5:5" x14ac:dyDescent="0.25">
      <c r="E17861" t="s">
        <v>17367</v>
      </c>
    </row>
    <row r="17862" spans="5:5" x14ac:dyDescent="0.25">
      <c r="E17862" t="s">
        <v>17368</v>
      </c>
    </row>
    <row r="17863" spans="5:5" x14ac:dyDescent="0.25">
      <c r="E17863" t="s">
        <v>17369</v>
      </c>
    </row>
    <row r="17864" spans="5:5" x14ac:dyDescent="0.25">
      <c r="E17864" t="s">
        <v>17370</v>
      </c>
    </row>
    <row r="17865" spans="5:5" x14ac:dyDescent="0.25">
      <c r="E17865" t="s">
        <v>17371</v>
      </c>
    </row>
    <row r="17866" spans="5:5" x14ac:dyDescent="0.25">
      <c r="E17866" t="s">
        <v>17372</v>
      </c>
    </row>
    <row r="17867" spans="5:5" x14ac:dyDescent="0.25">
      <c r="E17867" t="s">
        <v>17373</v>
      </c>
    </row>
    <row r="17868" spans="5:5" x14ac:dyDescent="0.25">
      <c r="E17868" t="s">
        <v>17374</v>
      </c>
    </row>
    <row r="17869" spans="5:5" x14ac:dyDescent="0.25">
      <c r="E17869" t="s">
        <v>17375</v>
      </c>
    </row>
    <row r="17870" spans="5:5" x14ac:dyDescent="0.25">
      <c r="E17870" t="s">
        <v>17376</v>
      </c>
    </row>
    <row r="17871" spans="5:5" x14ac:dyDescent="0.25">
      <c r="E17871" t="s">
        <v>17377</v>
      </c>
    </row>
    <row r="17872" spans="5:5" x14ac:dyDescent="0.25">
      <c r="E17872" t="s">
        <v>17378</v>
      </c>
    </row>
    <row r="17873" spans="5:5" x14ac:dyDescent="0.25">
      <c r="E17873" t="s">
        <v>17379</v>
      </c>
    </row>
    <row r="17874" spans="5:5" x14ac:dyDescent="0.25">
      <c r="E17874" t="s">
        <v>17380</v>
      </c>
    </row>
    <row r="17875" spans="5:5" x14ac:dyDescent="0.25">
      <c r="E17875" t="s">
        <v>17381</v>
      </c>
    </row>
    <row r="17876" spans="5:5" x14ac:dyDescent="0.25">
      <c r="E17876" t="s">
        <v>17382</v>
      </c>
    </row>
    <row r="17877" spans="5:5" x14ac:dyDescent="0.25">
      <c r="E17877" t="s">
        <v>17383</v>
      </c>
    </row>
    <row r="17878" spans="5:5" x14ac:dyDescent="0.25">
      <c r="E17878" t="s">
        <v>17384</v>
      </c>
    </row>
    <row r="17879" spans="5:5" x14ac:dyDescent="0.25">
      <c r="E17879" t="s">
        <v>17385</v>
      </c>
    </row>
    <row r="17880" spans="5:5" x14ac:dyDescent="0.25">
      <c r="E17880" t="s">
        <v>17386</v>
      </c>
    </row>
    <row r="17881" spans="5:5" x14ac:dyDescent="0.25">
      <c r="E17881" t="s">
        <v>17387</v>
      </c>
    </row>
    <row r="17882" spans="5:5" x14ac:dyDescent="0.25">
      <c r="E17882" t="s">
        <v>17388</v>
      </c>
    </row>
    <row r="17883" spans="5:5" x14ac:dyDescent="0.25">
      <c r="E17883" t="s">
        <v>17389</v>
      </c>
    </row>
    <row r="17884" spans="5:5" x14ac:dyDescent="0.25">
      <c r="E17884" t="s">
        <v>17390</v>
      </c>
    </row>
    <row r="17885" spans="5:5" x14ac:dyDescent="0.25">
      <c r="E17885" t="s">
        <v>17391</v>
      </c>
    </row>
    <row r="17886" spans="5:5" x14ac:dyDescent="0.25">
      <c r="E17886" t="s">
        <v>17392</v>
      </c>
    </row>
    <row r="17887" spans="5:5" x14ac:dyDescent="0.25">
      <c r="E17887" t="s">
        <v>17393</v>
      </c>
    </row>
    <row r="17888" spans="5:5" x14ac:dyDescent="0.25">
      <c r="E17888" t="s">
        <v>17394</v>
      </c>
    </row>
    <row r="17889" spans="5:5" x14ac:dyDescent="0.25">
      <c r="E17889" t="s">
        <v>17395</v>
      </c>
    </row>
    <row r="17890" spans="5:5" x14ac:dyDescent="0.25">
      <c r="E17890" t="s">
        <v>17396</v>
      </c>
    </row>
    <row r="17891" spans="5:5" x14ac:dyDescent="0.25">
      <c r="E17891" t="s">
        <v>17397</v>
      </c>
    </row>
    <row r="17892" spans="5:5" x14ac:dyDescent="0.25">
      <c r="E17892" t="s">
        <v>17398</v>
      </c>
    </row>
    <row r="17893" spans="5:5" x14ac:dyDescent="0.25">
      <c r="E17893" t="s">
        <v>17399</v>
      </c>
    </row>
    <row r="17894" spans="5:5" x14ac:dyDescent="0.25">
      <c r="E17894" t="s">
        <v>17400</v>
      </c>
    </row>
    <row r="17895" spans="5:5" x14ac:dyDescent="0.25">
      <c r="E17895" t="s">
        <v>17401</v>
      </c>
    </row>
    <row r="17896" spans="5:5" x14ac:dyDescent="0.25">
      <c r="E17896" t="s">
        <v>17402</v>
      </c>
    </row>
    <row r="17897" spans="5:5" x14ac:dyDescent="0.25">
      <c r="E17897" t="s">
        <v>17403</v>
      </c>
    </row>
    <row r="17898" spans="5:5" x14ac:dyDescent="0.25">
      <c r="E17898" t="s">
        <v>17404</v>
      </c>
    </row>
    <row r="17899" spans="5:5" x14ac:dyDescent="0.25">
      <c r="E17899" t="s">
        <v>17405</v>
      </c>
    </row>
    <row r="17900" spans="5:5" x14ac:dyDescent="0.25">
      <c r="E17900" t="s">
        <v>17406</v>
      </c>
    </row>
    <row r="17901" spans="5:5" x14ac:dyDescent="0.25">
      <c r="E17901" t="s">
        <v>17407</v>
      </c>
    </row>
    <row r="17902" spans="5:5" x14ac:dyDescent="0.25">
      <c r="E17902" t="s">
        <v>17408</v>
      </c>
    </row>
    <row r="17903" spans="5:5" x14ac:dyDescent="0.25">
      <c r="E17903" t="s">
        <v>17409</v>
      </c>
    </row>
    <row r="17904" spans="5:5" x14ac:dyDescent="0.25">
      <c r="E17904" t="s">
        <v>17410</v>
      </c>
    </row>
    <row r="17905" spans="5:5" x14ac:dyDescent="0.25">
      <c r="E17905" t="s">
        <v>17411</v>
      </c>
    </row>
    <row r="17906" spans="5:5" x14ac:dyDescent="0.25">
      <c r="E17906" t="s">
        <v>17412</v>
      </c>
    </row>
    <row r="17907" spans="5:5" x14ac:dyDescent="0.25">
      <c r="E17907" t="s">
        <v>17413</v>
      </c>
    </row>
    <row r="17908" spans="5:5" x14ac:dyDescent="0.25">
      <c r="E17908" t="s">
        <v>17414</v>
      </c>
    </row>
    <row r="17909" spans="5:5" x14ac:dyDescent="0.25">
      <c r="E17909" t="s">
        <v>17415</v>
      </c>
    </row>
    <row r="17910" spans="5:5" x14ac:dyDescent="0.25">
      <c r="E17910" t="s">
        <v>17416</v>
      </c>
    </row>
    <row r="17911" spans="5:5" x14ac:dyDescent="0.25">
      <c r="E17911" t="s">
        <v>17417</v>
      </c>
    </row>
    <row r="17912" spans="5:5" x14ac:dyDescent="0.25">
      <c r="E17912" t="s">
        <v>17418</v>
      </c>
    </row>
    <row r="17913" spans="5:5" x14ac:dyDescent="0.25">
      <c r="E17913" t="s">
        <v>17419</v>
      </c>
    </row>
    <row r="17914" spans="5:5" x14ac:dyDescent="0.25">
      <c r="E17914" t="s">
        <v>17420</v>
      </c>
    </row>
    <row r="17915" spans="5:5" x14ac:dyDescent="0.25">
      <c r="E17915" t="s">
        <v>17421</v>
      </c>
    </row>
    <row r="17916" spans="5:5" x14ac:dyDescent="0.25">
      <c r="E17916" t="s">
        <v>17422</v>
      </c>
    </row>
    <row r="17917" spans="5:5" x14ac:dyDescent="0.25">
      <c r="E17917" t="s">
        <v>17423</v>
      </c>
    </row>
    <row r="17918" spans="5:5" x14ac:dyDescent="0.25">
      <c r="E17918" t="s">
        <v>17424</v>
      </c>
    </row>
    <row r="17919" spans="5:5" x14ac:dyDescent="0.25">
      <c r="E17919" t="s">
        <v>17425</v>
      </c>
    </row>
    <row r="17920" spans="5:5" x14ac:dyDescent="0.25">
      <c r="E17920" t="s">
        <v>17426</v>
      </c>
    </row>
    <row r="17921" spans="5:5" x14ac:dyDescent="0.25">
      <c r="E17921" t="s">
        <v>17427</v>
      </c>
    </row>
    <row r="17922" spans="5:5" x14ac:dyDescent="0.25">
      <c r="E17922" t="s">
        <v>17428</v>
      </c>
    </row>
    <row r="17923" spans="5:5" x14ac:dyDescent="0.25">
      <c r="E17923" t="s">
        <v>17429</v>
      </c>
    </row>
    <row r="17924" spans="5:5" x14ac:dyDescent="0.25">
      <c r="E17924" t="s">
        <v>17430</v>
      </c>
    </row>
    <row r="17925" spans="5:5" x14ac:dyDescent="0.25">
      <c r="E17925" t="s">
        <v>17431</v>
      </c>
    </row>
    <row r="17926" spans="5:5" x14ac:dyDescent="0.25">
      <c r="E17926" t="s">
        <v>17432</v>
      </c>
    </row>
    <row r="17927" spans="5:5" x14ac:dyDescent="0.25">
      <c r="E17927" t="s">
        <v>17433</v>
      </c>
    </row>
    <row r="17928" spans="5:5" x14ac:dyDescent="0.25">
      <c r="E17928" t="s">
        <v>17434</v>
      </c>
    </row>
    <row r="17929" spans="5:5" x14ac:dyDescent="0.25">
      <c r="E17929" t="s">
        <v>17435</v>
      </c>
    </row>
    <row r="17930" spans="5:5" x14ac:dyDescent="0.25">
      <c r="E17930" t="s">
        <v>17436</v>
      </c>
    </row>
    <row r="17931" spans="5:5" x14ac:dyDescent="0.25">
      <c r="E17931" t="s">
        <v>17437</v>
      </c>
    </row>
    <row r="17932" spans="5:5" x14ac:dyDescent="0.25">
      <c r="E17932" t="s">
        <v>17438</v>
      </c>
    </row>
    <row r="17933" spans="5:5" x14ac:dyDescent="0.25">
      <c r="E17933" t="s">
        <v>17439</v>
      </c>
    </row>
    <row r="17934" spans="5:5" x14ac:dyDescent="0.25">
      <c r="E17934" t="s">
        <v>17440</v>
      </c>
    </row>
    <row r="17935" spans="5:5" x14ac:dyDescent="0.25">
      <c r="E17935" t="s">
        <v>17441</v>
      </c>
    </row>
    <row r="17936" spans="5:5" x14ac:dyDescent="0.25">
      <c r="E17936" t="s">
        <v>17442</v>
      </c>
    </row>
    <row r="17937" spans="5:5" x14ac:dyDescent="0.25">
      <c r="E17937" t="s">
        <v>17443</v>
      </c>
    </row>
    <row r="17938" spans="5:5" x14ac:dyDescent="0.25">
      <c r="E17938" t="s">
        <v>17444</v>
      </c>
    </row>
    <row r="17939" spans="5:5" x14ac:dyDescent="0.25">
      <c r="E17939" t="s">
        <v>17445</v>
      </c>
    </row>
    <row r="17940" spans="5:5" x14ac:dyDescent="0.25">
      <c r="E17940" t="s">
        <v>17446</v>
      </c>
    </row>
    <row r="17941" spans="5:5" x14ac:dyDescent="0.25">
      <c r="E17941" t="s">
        <v>17447</v>
      </c>
    </row>
    <row r="17942" spans="5:5" x14ac:dyDescent="0.25">
      <c r="E17942" t="s">
        <v>17448</v>
      </c>
    </row>
    <row r="17943" spans="5:5" x14ac:dyDescent="0.25">
      <c r="E17943" t="s">
        <v>17449</v>
      </c>
    </row>
    <row r="17944" spans="5:5" x14ac:dyDescent="0.25">
      <c r="E17944" t="s">
        <v>17450</v>
      </c>
    </row>
    <row r="17945" spans="5:5" x14ac:dyDescent="0.25">
      <c r="E17945" t="s">
        <v>17451</v>
      </c>
    </row>
    <row r="17946" spans="5:5" x14ac:dyDescent="0.25">
      <c r="E17946" t="s">
        <v>17452</v>
      </c>
    </row>
    <row r="17947" spans="5:5" x14ac:dyDescent="0.25">
      <c r="E17947" t="s">
        <v>17453</v>
      </c>
    </row>
    <row r="17948" spans="5:5" x14ac:dyDescent="0.25">
      <c r="E17948" t="s">
        <v>17454</v>
      </c>
    </row>
    <row r="17949" spans="5:5" x14ac:dyDescent="0.25">
      <c r="E17949" t="s">
        <v>17455</v>
      </c>
    </row>
    <row r="17950" spans="5:5" x14ac:dyDescent="0.25">
      <c r="E17950" t="s">
        <v>17456</v>
      </c>
    </row>
    <row r="17951" spans="5:5" x14ac:dyDescent="0.25">
      <c r="E17951" t="s">
        <v>17457</v>
      </c>
    </row>
    <row r="17952" spans="5:5" x14ac:dyDescent="0.25">
      <c r="E17952" t="s">
        <v>17458</v>
      </c>
    </row>
    <row r="17953" spans="5:5" x14ac:dyDescent="0.25">
      <c r="E17953" t="s">
        <v>17459</v>
      </c>
    </row>
    <row r="17954" spans="5:5" x14ac:dyDescent="0.25">
      <c r="E17954" t="s">
        <v>17460</v>
      </c>
    </row>
    <row r="17955" spans="5:5" x14ac:dyDescent="0.25">
      <c r="E17955" t="s">
        <v>17461</v>
      </c>
    </row>
    <row r="17956" spans="5:5" x14ac:dyDescent="0.25">
      <c r="E17956" t="s">
        <v>17462</v>
      </c>
    </row>
    <row r="17957" spans="5:5" x14ac:dyDescent="0.25">
      <c r="E17957" t="s">
        <v>17463</v>
      </c>
    </row>
    <row r="17958" spans="5:5" x14ac:dyDescent="0.25">
      <c r="E17958" t="s">
        <v>17464</v>
      </c>
    </row>
    <row r="17959" spans="5:5" x14ac:dyDescent="0.25">
      <c r="E17959" t="s">
        <v>17465</v>
      </c>
    </row>
    <row r="17960" spans="5:5" x14ac:dyDescent="0.25">
      <c r="E17960" t="s">
        <v>17466</v>
      </c>
    </row>
    <row r="17961" spans="5:5" x14ac:dyDescent="0.25">
      <c r="E17961" t="s">
        <v>17467</v>
      </c>
    </row>
    <row r="17962" spans="5:5" x14ac:dyDescent="0.25">
      <c r="E17962" t="s">
        <v>17468</v>
      </c>
    </row>
    <row r="17963" spans="5:5" x14ac:dyDescent="0.25">
      <c r="E17963" t="s">
        <v>17469</v>
      </c>
    </row>
    <row r="17964" spans="5:5" x14ac:dyDescent="0.25">
      <c r="E17964" t="s">
        <v>17470</v>
      </c>
    </row>
    <row r="17965" spans="5:5" x14ac:dyDescent="0.25">
      <c r="E17965" t="s">
        <v>17471</v>
      </c>
    </row>
    <row r="17966" spans="5:5" x14ac:dyDescent="0.25">
      <c r="E17966" t="s">
        <v>17472</v>
      </c>
    </row>
    <row r="17967" spans="5:5" x14ac:dyDescent="0.25">
      <c r="E17967" t="s">
        <v>17473</v>
      </c>
    </row>
    <row r="17968" spans="5:5" x14ac:dyDescent="0.25">
      <c r="E17968" t="s">
        <v>17474</v>
      </c>
    </row>
    <row r="17969" spans="5:5" x14ac:dyDescent="0.25">
      <c r="E17969" t="s">
        <v>17475</v>
      </c>
    </row>
    <row r="17970" spans="5:5" x14ac:dyDescent="0.25">
      <c r="E17970" t="s">
        <v>17476</v>
      </c>
    </row>
    <row r="17971" spans="5:5" x14ac:dyDescent="0.25">
      <c r="E17971" t="s">
        <v>17477</v>
      </c>
    </row>
    <row r="17972" spans="5:5" x14ac:dyDescent="0.25">
      <c r="E17972" t="s">
        <v>17478</v>
      </c>
    </row>
    <row r="17973" spans="5:5" x14ac:dyDescent="0.25">
      <c r="E17973" t="s">
        <v>17479</v>
      </c>
    </row>
    <row r="17974" spans="5:5" x14ac:dyDescent="0.25">
      <c r="E17974" t="s">
        <v>17480</v>
      </c>
    </row>
    <row r="17975" spans="5:5" x14ac:dyDescent="0.25">
      <c r="E17975" t="s">
        <v>17481</v>
      </c>
    </row>
    <row r="17976" spans="5:5" x14ac:dyDescent="0.25">
      <c r="E17976" t="s">
        <v>17482</v>
      </c>
    </row>
    <row r="17977" spans="5:5" x14ac:dyDescent="0.25">
      <c r="E17977" t="s">
        <v>17483</v>
      </c>
    </row>
    <row r="17978" spans="5:5" x14ac:dyDescent="0.25">
      <c r="E17978" t="s">
        <v>17484</v>
      </c>
    </row>
    <row r="17979" spans="5:5" x14ac:dyDescent="0.25">
      <c r="E17979" t="s">
        <v>17485</v>
      </c>
    </row>
    <row r="17980" spans="5:5" x14ac:dyDescent="0.25">
      <c r="E17980" t="s">
        <v>17486</v>
      </c>
    </row>
    <row r="17981" spans="5:5" x14ac:dyDescent="0.25">
      <c r="E17981" t="s">
        <v>17487</v>
      </c>
    </row>
    <row r="17982" spans="5:5" x14ac:dyDescent="0.25">
      <c r="E17982" t="s">
        <v>17488</v>
      </c>
    </row>
    <row r="17983" spans="5:5" x14ac:dyDescent="0.25">
      <c r="E17983" t="s">
        <v>17489</v>
      </c>
    </row>
    <row r="17984" spans="5:5" x14ac:dyDescent="0.25">
      <c r="E17984" t="s">
        <v>17490</v>
      </c>
    </row>
    <row r="17985" spans="5:5" x14ac:dyDescent="0.25">
      <c r="E17985" t="s">
        <v>17491</v>
      </c>
    </row>
    <row r="17986" spans="5:5" x14ac:dyDescent="0.25">
      <c r="E17986" t="s">
        <v>17492</v>
      </c>
    </row>
    <row r="17987" spans="5:5" x14ac:dyDescent="0.25">
      <c r="E17987" t="s">
        <v>17493</v>
      </c>
    </row>
    <row r="17988" spans="5:5" x14ac:dyDescent="0.25">
      <c r="E17988" t="s">
        <v>17494</v>
      </c>
    </row>
    <row r="17989" spans="5:5" x14ac:dyDescent="0.25">
      <c r="E17989" t="s">
        <v>17495</v>
      </c>
    </row>
    <row r="17990" spans="5:5" x14ac:dyDescent="0.25">
      <c r="E17990" t="s">
        <v>17496</v>
      </c>
    </row>
    <row r="17991" spans="5:5" x14ac:dyDescent="0.25">
      <c r="E17991" t="s">
        <v>17497</v>
      </c>
    </row>
    <row r="17992" spans="5:5" x14ac:dyDescent="0.25">
      <c r="E17992" t="s">
        <v>17498</v>
      </c>
    </row>
    <row r="17993" spans="5:5" x14ac:dyDescent="0.25">
      <c r="E17993" t="s">
        <v>17499</v>
      </c>
    </row>
    <row r="17994" spans="5:5" x14ac:dyDescent="0.25">
      <c r="E17994" t="s">
        <v>17500</v>
      </c>
    </row>
    <row r="17995" spans="5:5" x14ac:dyDescent="0.25">
      <c r="E17995" t="s">
        <v>17501</v>
      </c>
    </row>
    <row r="17996" spans="5:5" x14ac:dyDescent="0.25">
      <c r="E17996" t="s">
        <v>17502</v>
      </c>
    </row>
    <row r="17997" spans="5:5" x14ac:dyDescent="0.25">
      <c r="E17997" t="s">
        <v>17503</v>
      </c>
    </row>
    <row r="17998" spans="5:5" x14ac:dyDescent="0.25">
      <c r="E17998" t="s">
        <v>17504</v>
      </c>
    </row>
    <row r="17999" spans="5:5" x14ac:dyDescent="0.25">
      <c r="E17999" t="s">
        <v>17505</v>
      </c>
    </row>
    <row r="18000" spans="5:5" x14ac:dyDescent="0.25">
      <c r="E18000" t="s">
        <v>17506</v>
      </c>
    </row>
    <row r="18001" spans="5:5" x14ac:dyDescent="0.25">
      <c r="E18001" t="s">
        <v>17507</v>
      </c>
    </row>
    <row r="18002" spans="5:5" x14ac:dyDescent="0.25">
      <c r="E18002" t="s">
        <v>17508</v>
      </c>
    </row>
    <row r="18003" spans="5:5" x14ac:dyDescent="0.25">
      <c r="E18003" t="s">
        <v>17509</v>
      </c>
    </row>
    <row r="18004" spans="5:5" x14ac:dyDescent="0.25">
      <c r="E18004" t="s">
        <v>17510</v>
      </c>
    </row>
    <row r="18005" spans="5:5" x14ac:dyDescent="0.25">
      <c r="E18005" t="s">
        <v>17511</v>
      </c>
    </row>
    <row r="18006" spans="5:5" x14ac:dyDescent="0.25">
      <c r="E18006" t="s">
        <v>17512</v>
      </c>
    </row>
    <row r="18007" spans="5:5" x14ac:dyDescent="0.25">
      <c r="E18007" t="s">
        <v>17513</v>
      </c>
    </row>
    <row r="18008" spans="5:5" x14ac:dyDescent="0.25">
      <c r="E18008" t="s">
        <v>17514</v>
      </c>
    </row>
    <row r="18009" spans="5:5" x14ac:dyDescent="0.25">
      <c r="E18009" t="s">
        <v>17515</v>
      </c>
    </row>
    <row r="18010" spans="5:5" x14ac:dyDescent="0.25">
      <c r="E18010" t="s">
        <v>17516</v>
      </c>
    </row>
    <row r="18011" spans="5:5" x14ac:dyDescent="0.25">
      <c r="E18011" t="s">
        <v>17517</v>
      </c>
    </row>
    <row r="18012" spans="5:5" x14ac:dyDescent="0.25">
      <c r="E18012" t="s">
        <v>17518</v>
      </c>
    </row>
    <row r="18013" spans="5:5" x14ac:dyDescent="0.25">
      <c r="E18013" t="s">
        <v>17519</v>
      </c>
    </row>
    <row r="18014" spans="5:5" x14ac:dyDescent="0.25">
      <c r="E18014" t="s">
        <v>17520</v>
      </c>
    </row>
    <row r="18015" spans="5:5" x14ac:dyDescent="0.25">
      <c r="E18015" t="s">
        <v>17521</v>
      </c>
    </row>
    <row r="18016" spans="5:5" x14ac:dyDescent="0.25">
      <c r="E18016" t="s">
        <v>17522</v>
      </c>
    </row>
    <row r="18017" spans="5:5" x14ac:dyDescent="0.25">
      <c r="E18017" t="s">
        <v>17523</v>
      </c>
    </row>
    <row r="18018" spans="5:5" x14ac:dyDescent="0.25">
      <c r="E18018" t="s">
        <v>17524</v>
      </c>
    </row>
    <row r="18019" spans="5:5" x14ac:dyDescent="0.25">
      <c r="E18019" t="s">
        <v>17525</v>
      </c>
    </row>
    <row r="18020" spans="5:5" x14ac:dyDescent="0.25">
      <c r="E18020" t="s">
        <v>17526</v>
      </c>
    </row>
    <row r="18021" spans="5:5" x14ac:dyDescent="0.25">
      <c r="E18021" t="s">
        <v>17527</v>
      </c>
    </row>
    <row r="18022" spans="5:5" x14ac:dyDescent="0.25">
      <c r="E18022" t="s">
        <v>17528</v>
      </c>
    </row>
    <row r="18023" spans="5:5" x14ac:dyDescent="0.25">
      <c r="E18023" t="s">
        <v>17529</v>
      </c>
    </row>
    <row r="18024" spans="5:5" x14ac:dyDescent="0.25">
      <c r="E18024" t="s">
        <v>17530</v>
      </c>
    </row>
    <row r="18025" spans="5:5" x14ac:dyDescent="0.25">
      <c r="E18025" t="s">
        <v>17531</v>
      </c>
    </row>
    <row r="18026" spans="5:5" x14ac:dyDescent="0.25">
      <c r="E18026" t="s">
        <v>17532</v>
      </c>
    </row>
    <row r="18027" spans="5:5" x14ac:dyDescent="0.25">
      <c r="E18027" t="s">
        <v>17533</v>
      </c>
    </row>
    <row r="18028" spans="5:5" x14ac:dyDescent="0.25">
      <c r="E18028" t="s">
        <v>17534</v>
      </c>
    </row>
    <row r="18029" spans="5:5" x14ac:dyDescent="0.25">
      <c r="E18029" t="s">
        <v>17535</v>
      </c>
    </row>
    <row r="18030" spans="5:5" x14ac:dyDescent="0.25">
      <c r="E18030" t="s">
        <v>17536</v>
      </c>
    </row>
    <row r="18031" spans="5:5" x14ac:dyDescent="0.25">
      <c r="E18031" t="s">
        <v>17537</v>
      </c>
    </row>
    <row r="18032" spans="5:5" x14ac:dyDescent="0.25">
      <c r="E18032" t="s">
        <v>17538</v>
      </c>
    </row>
    <row r="18033" spans="5:5" x14ac:dyDescent="0.25">
      <c r="E18033" t="s">
        <v>17539</v>
      </c>
    </row>
    <row r="18034" spans="5:5" x14ac:dyDescent="0.25">
      <c r="E18034" t="s">
        <v>17540</v>
      </c>
    </row>
    <row r="18035" spans="5:5" x14ac:dyDescent="0.25">
      <c r="E18035" t="s">
        <v>17541</v>
      </c>
    </row>
    <row r="18036" spans="5:5" x14ac:dyDescent="0.25">
      <c r="E18036" t="s">
        <v>17542</v>
      </c>
    </row>
    <row r="18037" spans="5:5" x14ac:dyDescent="0.25">
      <c r="E18037" t="s">
        <v>17543</v>
      </c>
    </row>
    <row r="18038" spans="5:5" x14ac:dyDescent="0.25">
      <c r="E18038" t="s">
        <v>17544</v>
      </c>
    </row>
    <row r="18039" spans="5:5" x14ac:dyDescent="0.25">
      <c r="E18039" t="s">
        <v>17545</v>
      </c>
    </row>
    <row r="18040" spans="5:5" x14ac:dyDescent="0.25">
      <c r="E18040" t="s">
        <v>17546</v>
      </c>
    </row>
    <row r="18041" spans="5:5" x14ac:dyDescent="0.25">
      <c r="E18041" t="s">
        <v>17547</v>
      </c>
    </row>
    <row r="18042" spans="5:5" x14ac:dyDescent="0.25">
      <c r="E18042" t="s">
        <v>17548</v>
      </c>
    </row>
    <row r="18043" spans="5:5" x14ac:dyDescent="0.25">
      <c r="E18043" t="s">
        <v>17549</v>
      </c>
    </row>
    <row r="18044" spans="5:5" x14ac:dyDescent="0.25">
      <c r="E18044" t="s">
        <v>17550</v>
      </c>
    </row>
    <row r="18045" spans="5:5" x14ac:dyDescent="0.25">
      <c r="E18045" t="s">
        <v>17551</v>
      </c>
    </row>
    <row r="18046" spans="5:5" x14ac:dyDescent="0.25">
      <c r="E18046" t="s">
        <v>17552</v>
      </c>
    </row>
    <row r="18047" spans="5:5" x14ac:dyDescent="0.25">
      <c r="E18047" t="s">
        <v>17553</v>
      </c>
    </row>
    <row r="18048" spans="5:5" x14ac:dyDescent="0.25">
      <c r="E18048" t="s">
        <v>17554</v>
      </c>
    </row>
    <row r="18049" spans="5:5" x14ac:dyDescent="0.25">
      <c r="E18049" t="s">
        <v>17555</v>
      </c>
    </row>
    <row r="18050" spans="5:5" x14ac:dyDescent="0.25">
      <c r="E18050" t="s">
        <v>17556</v>
      </c>
    </row>
    <row r="18051" spans="5:5" x14ac:dyDescent="0.25">
      <c r="E18051" t="s">
        <v>17557</v>
      </c>
    </row>
    <row r="18052" spans="5:5" x14ac:dyDescent="0.25">
      <c r="E18052" t="s">
        <v>17558</v>
      </c>
    </row>
    <row r="18053" spans="5:5" x14ac:dyDescent="0.25">
      <c r="E18053" t="s">
        <v>17559</v>
      </c>
    </row>
    <row r="18054" spans="5:5" x14ac:dyDescent="0.25">
      <c r="E18054" t="s">
        <v>17560</v>
      </c>
    </row>
    <row r="18055" spans="5:5" x14ac:dyDescent="0.25">
      <c r="E18055" t="s">
        <v>17561</v>
      </c>
    </row>
    <row r="18056" spans="5:5" x14ac:dyDescent="0.25">
      <c r="E18056" t="s">
        <v>17562</v>
      </c>
    </row>
    <row r="18057" spans="5:5" x14ac:dyDescent="0.25">
      <c r="E18057" t="s">
        <v>17563</v>
      </c>
    </row>
    <row r="18058" spans="5:5" x14ac:dyDescent="0.25">
      <c r="E18058" t="s">
        <v>17564</v>
      </c>
    </row>
    <row r="18059" spans="5:5" x14ac:dyDescent="0.25">
      <c r="E18059" t="s">
        <v>17565</v>
      </c>
    </row>
    <row r="18060" spans="5:5" x14ac:dyDescent="0.25">
      <c r="E18060" t="s">
        <v>17566</v>
      </c>
    </row>
    <row r="18061" spans="5:5" x14ac:dyDescent="0.25">
      <c r="E18061" t="s">
        <v>17567</v>
      </c>
    </row>
    <row r="18062" spans="5:5" x14ac:dyDescent="0.25">
      <c r="E18062" t="s">
        <v>17568</v>
      </c>
    </row>
    <row r="18063" spans="5:5" x14ac:dyDescent="0.25">
      <c r="E18063" t="s">
        <v>17569</v>
      </c>
    </row>
    <row r="18064" spans="5:5" x14ac:dyDescent="0.25">
      <c r="E18064" t="s">
        <v>17570</v>
      </c>
    </row>
    <row r="18065" spans="5:5" x14ac:dyDescent="0.25">
      <c r="E18065" t="s">
        <v>17571</v>
      </c>
    </row>
    <row r="18066" spans="5:5" x14ac:dyDescent="0.25">
      <c r="E18066" t="s">
        <v>17572</v>
      </c>
    </row>
    <row r="18067" spans="5:5" x14ac:dyDescent="0.25">
      <c r="E18067" t="s">
        <v>17573</v>
      </c>
    </row>
    <row r="18068" spans="5:5" x14ac:dyDescent="0.25">
      <c r="E18068" t="s">
        <v>17574</v>
      </c>
    </row>
    <row r="18069" spans="5:5" x14ac:dyDescent="0.25">
      <c r="E18069" t="s">
        <v>17575</v>
      </c>
    </row>
    <row r="18070" spans="5:5" x14ac:dyDescent="0.25">
      <c r="E18070" t="s">
        <v>17576</v>
      </c>
    </row>
    <row r="18071" spans="5:5" x14ac:dyDescent="0.25">
      <c r="E18071" t="s">
        <v>17577</v>
      </c>
    </row>
    <row r="18072" spans="5:5" x14ac:dyDescent="0.25">
      <c r="E18072" t="s">
        <v>17578</v>
      </c>
    </row>
    <row r="18073" spans="5:5" x14ac:dyDescent="0.25">
      <c r="E18073" t="s">
        <v>17579</v>
      </c>
    </row>
    <row r="18074" spans="5:5" x14ac:dyDescent="0.25">
      <c r="E18074" t="s">
        <v>17580</v>
      </c>
    </row>
    <row r="18075" spans="5:5" x14ac:dyDescent="0.25">
      <c r="E18075" t="s">
        <v>17581</v>
      </c>
    </row>
    <row r="18076" spans="5:5" x14ac:dyDescent="0.25">
      <c r="E18076" t="s">
        <v>17582</v>
      </c>
    </row>
    <row r="18077" spans="5:5" x14ac:dyDescent="0.25">
      <c r="E18077" t="s">
        <v>17583</v>
      </c>
    </row>
    <row r="18078" spans="5:5" x14ac:dyDescent="0.25">
      <c r="E18078" t="s">
        <v>17584</v>
      </c>
    </row>
    <row r="18079" spans="5:5" x14ac:dyDescent="0.25">
      <c r="E18079" t="s">
        <v>17585</v>
      </c>
    </row>
    <row r="18080" spans="5:5" x14ac:dyDescent="0.25">
      <c r="E18080" t="s">
        <v>17586</v>
      </c>
    </row>
    <row r="18081" spans="5:5" x14ac:dyDescent="0.25">
      <c r="E18081" t="s">
        <v>17587</v>
      </c>
    </row>
    <row r="18082" spans="5:5" x14ac:dyDescent="0.25">
      <c r="E18082" t="s">
        <v>17588</v>
      </c>
    </row>
    <row r="18083" spans="5:5" x14ac:dyDescent="0.25">
      <c r="E18083" t="s">
        <v>17589</v>
      </c>
    </row>
    <row r="18084" spans="5:5" x14ac:dyDescent="0.25">
      <c r="E18084" t="s">
        <v>17590</v>
      </c>
    </row>
    <row r="18085" spans="5:5" x14ac:dyDescent="0.25">
      <c r="E18085" t="s">
        <v>17591</v>
      </c>
    </row>
    <row r="18086" spans="5:5" x14ac:dyDescent="0.25">
      <c r="E18086" t="s">
        <v>17592</v>
      </c>
    </row>
    <row r="18087" spans="5:5" x14ac:dyDescent="0.25">
      <c r="E18087" t="s">
        <v>17593</v>
      </c>
    </row>
    <row r="18088" spans="5:5" x14ac:dyDescent="0.25">
      <c r="E18088" t="s">
        <v>17594</v>
      </c>
    </row>
    <row r="18089" spans="5:5" x14ac:dyDescent="0.25">
      <c r="E18089" t="s">
        <v>17595</v>
      </c>
    </row>
    <row r="18090" spans="5:5" x14ac:dyDescent="0.25">
      <c r="E18090" t="s">
        <v>17596</v>
      </c>
    </row>
    <row r="18091" spans="5:5" x14ac:dyDescent="0.25">
      <c r="E18091" t="s">
        <v>17597</v>
      </c>
    </row>
    <row r="18092" spans="5:5" x14ac:dyDescent="0.25">
      <c r="E18092" t="s">
        <v>17598</v>
      </c>
    </row>
    <row r="18093" spans="5:5" x14ac:dyDescent="0.25">
      <c r="E18093" t="s">
        <v>17599</v>
      </c>
    </row>
    <row r="18094" spans="5:5" x14ac:dyDescent="0.25">
      <c r="E18094" t="s">
        <v>17600</v>
      </c>
    </row>
    <row r="18095" spans="5:5" x14ac:dyDescent="0.25">
      <c r="E18095" t="s">
        <v>17601</v>
      </c>
    </row>
    <row r="18096" spans="5:5" x14ac:dyDescent="0.25">
      <c r="E18096" t="s">
        <v>17602</v>
      </c>
    </row>
    <row r="18097" spans="5:5" x14ac:dyDescent="0.25">
      <c r="E18097" t="s">
        <v>17603</v>
      </c>
    </row>
    <row r="18098" spans="5:5" x14ac:dyDescent="0.25">
      <c r="E18098" t="s">
        <v>17604</v>
      </c>
    </row>
    <row r="18099" spans="5:5" x14ac:dyDescent="0.25">
      <c r="E18099" t="s">
        <v>17605</v>
      </c>
    </row>
    <row r="18100" spans="5:5" x14ac:dyDescent="0.25">
      <c r="E18100" t="s">
        <v>17606</v>
      </c>
    </row>
    <row r="18101" spans="5:5" x14ac:dyDescent="0.25">
      <c r="E18101" t="s">
        <v>17607</v>
      </c>
    </row>
    <row r="18102" spans="5:5" x14ac:dyDescent="0.25">
      <c r="E18102" t="s">
        <v>17608</v>
      </c>
    </row>
    <row r="18103" spans="5:5" x14ac:dyDescent="0.25">
      <c r="E18103" t="s">
        <v>17609</v>
      </c>
    </row>
    <row r="18104" spans="5:5" x14ac:dyDescent="0.25">
      <c r="E18104" t="s">
        <v>17610</v>
      </c>
    </row>
    <row r="18105" spans="5:5" x14ac:dyDescent="0.25">
      <c r="E18105" t="s">
        <v>17611</v>
      </c>
    </row>
    <row r="18106" spans="5:5" x14ac:dyDescent="0.25">
      <c r="E18106" t="s">
        <v>17612</v>
      </c>
    </row>
    <row r="18107" spans="5:5" x14ac:dyDescent="0.25">
      <c r="E18107" t="s">
        <v>17613</v>
      </c>
    </row>
    <row r="18108" spans="5:5" x14ac:dyDescent="0.25">
      <c r="E18108" t="s">
        <v>17614</v>
      </c>
    </row>
    <row r="18109" spans="5:5" x14ac:dyDescent="0.25">
      <c r="E18109" t="s">
        <v>17615</v>
      </c>
    </row>
    <row r="18110" spans="5:5" x14ac:dyDescent="0.25">
      <c r="E18110" t="s">
        <v>17616</v>
      </c>
    </row>
    <row r="18111" spans="5:5" x14ac:dyDescent="0.25">
      <c r="E18111" t="s">
        <v>17617</v>
      </c>
    </row>
    <row r="18112" spans="5:5" x14ac:dyDescent="0.25">
      <c r="E18112" t="s">
        <v>17618</v>
      </c>
    </row>
    <row r="18113" spans="5:5" x14ac:dyDescent="0.25">
      <c r="E18113" t="s">
        <v>17619</v>
      </c>
    </row>
    <row r="18114" spans="5:5" x14ac:dyDescent="0.25">
      <c r="E18114" t="s">
        <v>17620</v>
      </c>
    </row>
    <row r="18115" spans="5:5" x14ac:dyDescent="0.25">
      <c r="E18115" t="s">
        <v>17621</v>
      </c>
    </row>
    <row r="18116" spans="5:5" x14ac:dyDescent="0.25">
      <c r="E18116" t="s">
        <v>17622</v>
      </c>
    </row>
    <row r="18117" spans="5:5" x14ac:dyDescent="0.25">
      <c r="E18117" t="s">
        <v>17623</v>
      </c>
    </row>
    <row r="18118" spans="5:5" x14ac:dyDescent="0.25">
      <c r="E18118" t="s">
        <v>17624</v>
      </c>
    </row>
    <row r="18119" spans="5:5" x14ac:dyDescent="0.25">
      <c r="E18119" t="s">
        <v>17625</v>
      </c>
    </row>
    <row r="18120" spans="5:5" x14ac:dyDescent="0.25">
      <c r="E18120" t="s">
        <v>17626</v>
      </c>
    </row>
    <row r="18121" spans="5:5" x14ac:dyDescent="0.25">
      <c r="E18121" t="s">
        <v>17627</v>
      </c>
    </row>
    <row r="18122" spans="5:5" x14ac:dyDescent="0.25">
      <c r="E18122" t="s">
        <v>17628</v>
      </c>
    </row>
    <row r="18123" spans="5:5" x14ac:dyDescent="0.25">
      <c r="E18123" t="s">
        <v>17629</v>
      </c>
    </row>
    <row r="18124" spans="5:5" x14ac:dyDescent="0.25">
      <c r="E18124" t="s">
        <v>17630</v>
      </c>
    </row>
    <row r="18125" spans="5:5" x14ac:dyDescent="0.25">
      <c r="E18125" t="s">
        <v>17631</v>
      </c>
    </row>
    <row r="18126" spans="5:5" x14ac:dyDescent="0.25">
      <c r="E18126" t="s">
        <v>17632</v>
      </c>
    </row>
    <row r="18127" spans="5:5" x14ac:dyDescent="0.25">
      <c r="E18127" t="s">
        <v>17633</v>
      </c>
    </row>
    <row r="18128" spans="5:5" x14ac:dyDescent="0.25">
      <c r="E18128" t="s">
        <v>17634</v>
      </c>
    </row>
    <row r="18129" spans="5:5" x14ac:dyDescent="0.25">
      <c r="E18129" t="s">
        <v>17635</v>
      </c>
    </row>
    <row r="18130" spans="5:5" x14ac:dyDescent="0.25">
      <c r="E18130" t="s">
        <v>17636</v>
      </c>
    </row>
    <row r="18131" spans="5:5" x14ac:dyDescent="0.25">
      <c r="E18131" t="s">
        <v>17637</v>
      </c>
    </row>
    <row r="18132" spans="5:5" x14ac:dyDescent="0.25">
      <c r="E18132" t="s">
        <v>17638</v>
      </c>
    </row>
    <row r="18133" spans="5:5" x14ac:dyDescent="0.25">
      <c r="E18133" t="s">
        <v>17639</v>
      </c>
    </row>
    <row r="18134" spans="5:5" x14ac:dyDescent="0.25">
      <c r="E18134" t="s">
        <v>17640</v>
      </c>
    </row>
    <row r="18135" spans="5:5" x14ac:dyDescent="0.25">
      <c r="E18135" t="s">
        <v>17641</v>
      </c>
    </row>
    <row r="18136" spans="5:5" x14ac:dyDescent="0.25">
      <c r="E18136" t="s">
        <v>17642</v>
      </c>
    </row>
    <row r="18137" spans="5:5" x14ac:dyDescent="0.25">
      <c r="E18137" t="s">
        <v>17643</v>
      </c>
    </row>
    <row r="18138" spans="5:5" x14ac:dyDescent="0.25">
      <c r="E18138" t="s">
        <v>17644</v>
      </c>
    </row>
    <row r="18139" spans="5:5" x14ac:dyDescent="0.25">
      <c r="E18139" t="s">
        <v>17645</v>
      </c>
    </row>
    <row r="18140" spans="5:5" x14ac:dyDescent="0.25">
      <c r="E18140" t="s">
        <v>17646</v>
      </c>
    </row>
    <row r="18141" spans="5:5" x14ac:dyDescent="0.25">
      <c r="E18141" t="s">
        <v>17647</v>
      </c>
    </row>
    <row r="18142" spans="5:5" x14ac:dyDescent="0.25">
      <c r="E18142" t="s">
        <v>17648</v>
      </c>
    </row>
    <row r="18143" spans="5:5" x14ac:dyDescent="0.25">
      <c r="E18143" t="s">
        <v>17649</v>
      </c>
    </row>
    <row r="18144" spans="5:5" x14ac:dyDescent="0.25">
      <c r="E18144" t="s">
        <v>17650</v>
      </c>
    </row>
    <row r="18145" spans="5:5" x14ac:dyDescent="0.25">
      <c r="E18145" t="s">
        <v>17651</v>
      </c>
    </row>
    <row r="18146" spans="5:5" x14ac:dyDescent="0.25">
      <c r="E18146" t="s">
        <v>17652</v>
      </c>
    </row>
    <row r="18147" spans="5:5" x14ac:dyDescent="0.25">
      <c r="E18147" t="s">
        <v>17653</v>
      </c>
    </row>
    <row r="18148" spans="5:5" x14ac:dyDescent="0.25">
      <c r="E18148" t="s">
        <v>17654</v>
      </c>
    </row>
    <row r="18149" spans="5:5" x14ac:dyDescent="0.25">
      <c r="E18149" t="s">
        <v>17655</v>
      </c>
    </row>
    <row r="18150" spans="5:5" x14ac:dyDescent="0.25">
      <c r="E18150" t="s">
        <v>17656</v>
      </c>
    </row>
    <row r="18151" spans="5:5" x14ac:dyDescent="0.25">
      <c r="E18151" t="s">
        <v>17657</v>
      </c>
    </row>
    <row r="18152" spans="5:5" x14ac:dyDescent="0.25">
      <c r="E18152" t="s">
        <v>17658</v>
      </c>
    </row>
    <row r="18153" spans="5:5" x14ac:dyDescent="0.25">
      <c r="E18153" t="s">
        <v>17659</v>
      </c>
    </row>
    <row r="18154" spans="5:5" x14ac:dyDescent="0.25">
      <c r="E18154" t="s">
        <v>17660</v>
      </c>
    </row>
    <row r="18155" spans="5:5" x14ac:dyDescent="0.25">
      <c r="E18155" t="s">
        <v>17661</v>
      </c>
    </row>
    <row r="18156" spans="5:5" x14ac:dyDescent="0.25">
      <c r="E18156" t="s">
        <v>17662</v>
      </c>
    </row>
    <row r="18157" spans="5:5" x14ac:dyDescent="0.25">
      <c r="E18157" t="s">
        <v>17663</v>
      </c>
    </row>
    <row r="18158" spans="5:5" x14ac:dyDescent="0.25">
      <c r="E18158" t="s">
        <v>17664</v>
      </c>
    </row>
    <row r="18159" spans="5:5" x14ac:dyDescent="0.25">
      <c r="E18159" t="s">
        <v>17665</v>
      </c>
    </row>
    <row r="18160" spans="5:5" x14ac:dyDescent="0.25">
      <c r="E18160" t="s">
        <v>17666</v>
      </c>
    </row>
    <row r="18161" spans="5:5" x14ac:dyDescent="0.25">
      <c r="E18161" t="s">
        <v>17667</v>
      </c>
    </row>
    <row r="18162" spans="5:5" x14ac:dyDescent="0.25">
      <c r="E18162" t="s">
        <v>17668</v>
      </c>
    </row>
    <row r="18163" spans="5:5" x14ac:dyDescent="0.25">
      <c r="E18163" t="s">
        <v>17669</v>
      </c>
    </row>
    <row r="18164" spans="5:5" x14ac:dyDescent="0.25">
      <c r="E18164" t="s">
        <v>17670</v>
      </c>
    </row>
    <row r="18165" spans="5:5" x14ac:dyDescent="0.25">
      <c r="E18165" t="s">
        <v>17671</v>
      </c>
    </row>
    <row r="18166" spans="5:5" x14ac:dyDescent="0.25">
      <c r="E18166" t="s">
        <v>17672</v>
      </c>
    </row>
    <row r="18167" spans="5:5" x14ac:dyDescent="0.25">
      <c r="E18167" t="s">
        <v>17673</v>
      </c>
    </row>
    <row r="18168" spans="5:5" x14ac:dyDescent="0.25">
      <c r="E18168" t="s">
        <v>17674</v>
      </c>
    </row>
    <row r="18169" spans="5:5" x14ac:dyDescent="0.25">
      <c r="E18169" t="s">
        <v>17675</v>
      </c>
    </row>
    <row r="18170" spans="5:5" x14ac:dyDescent="0.25">
      <c r="E18170" t="s">
        <v>17676</v>
      </c>
    </row>
    <row r="18171" spans="5:5" x14ac:dyDescent="0.25">
      <c r="E18171" t="s">
        <v>17677</v>
      </c>
    </row>
    <row r="18172" spans="5:5" x14ac:dyDescent="0.25">
      <c r="E18172" t="s">
        <v>17678</v>
      </c>
    </row>
    <row r="18173" spans="5:5" x14ac:dyDescent="0.25">
      <c r="E18173" t="s">
        <v>17679</v>
      </c>
    </row>
    <row r="18174" spans="5:5" x14ac:dyDescent="0.25">
      <c r="E18174" t="s">
        <v>17680</v>
      </c>
    </row>
    <row r="18175" spans="5:5" x14ac:dyDescent="0.25">
      <c r="E18175" t="s">
        <v>17681</v>
      </c>
    </row>
    <row r="18176" spans="5:5" x14ac:dyDescent="0.25">
      <c r="E18176" t="s">
        <v>17682</v>
      </c>
    </row>
    <row r="18177" spans="5:5" x14ac:dyDescent="0.25">
      <c r="E18177" t="s">
        <v>17683</v>
      </c>
    </row>
    <row r="18178" spans="5:5" x14ac:dyDescent="0.25">
      <c r="E18178" t="s">
        <v>17684</v>
      </c>
    </row>
    <row r="18179" spans="5:5" x14ac:dyDescent="0.25">
      <c r="E18179" t="s">
        <v>17685</v>
      </c>
    </row>
    <row r="18180" spans="5:5" x14ac:dyDescent="0.25">
      <c r="E18180" t="s">
        <v>17686</v>
      </c>
    </row>
    <row r="18181" spans="5:5" x14ac:dyDescent="0.25">
      <c r="E18181" t="s">
        <v>17687</v>
      </c>
    </row>
    <row r="18182" spans="5:5" x14ac:dyDescent="0.25">
      <c r="E18182" t="s">
        <v>17688</v>
      </c>
    </row>
    <row r="18183" spans="5:5" x14ac:dyDescent="0.25">
      <c r="E18183" t="s">
        <v>17689</v>
      </c>
    </row>
    <row r="18184" spans="5:5" x14ac:dyDescent="0.25">
      <c r="E18184" t="s">
        <v>17690</v>
      </c>
    </row>
    <row r="18185" spans="5:5" x14ac:dyDescent="0.25">
      <c r="E18185" t="s">
        <v>17691</v>
      </c>
    </row>
    <row r="18186" spans="5:5" x14ac:dyDescent="0.25">
      <c r="E18186" t="s">
        <v>17692</v>
      </c>
    </row>
    <row r="18187" spans="5:5" x14ac:dyDescent="0.25">
      <c r="E18187" t="s">
        <v>17693</v>
      </c>
    </row>
    <row r="18188" spans="5:5" x14ac:dyDescent="0.25">
      <c r="E18188" t="s">
        <v>17694</v>
      </c>
    </row>
    <row r="18189" spans="5:5" x14ac:dyDescent="0.25">
      <c r="E18189" t="s">
        <v>17695</v>
      </c>
    </row>
    <row r="18190" spans="5:5" x14ac:dyDescent="0.25">
      <c r="E18190" t="s">
        <v>17696</v>
      </c>
    </row>
    <row r="18191" spans="5:5" x14ac:dyDescent="0.25">
      <c r="E18191" t="s">
        <v>17697</v>
      </c>
    </row>
    <row r="18192" spans="5:5" x14ac:dyDescent="0.25">
      <c r="E18192" t="s">
        <v>17698</v>
      </c>
    </row>
    <row r="18193" spans="5:5" x14ac:dyDescent="0.25">
      <c r="E18193" t="s">
        <v>17699</v>
      </c>
    </row>
    <row r="18194" spans="5:5" x14ac:dyDescent="0.25">
      <c r="E18194" t="s">
        <v>17700</v>
      </c>
    </row>
    <row r="18195" spans="5:5" x14ac:dyDescent="0.25">
      <c r="E18195" t="s">
        <v>17701</v>
      </c>
    </row>
    <row r="18196" spans="5:5" x14ac:dyDescent="0.25">
      <c r="E18196" t="s">
        <v>17702</v>
      </c>
    </row>
    <row r="18197" spans="5:5" x14ac:dyDescent="0.25">
      <c r="E18197" t="s">
        <v>17703</v>
      </c>
    </row>
    <row r="18198" spans="5:5" x14ac:dyDescent="0.25">
      <c r="E18198" t="s">
        <v>17704</v>
      </c>
    </row>
    <row r="18199" spans="5:5" x14ac:dyDescent="0.25">
      <c r="E18199" t="s">
        <v>17705</v>
      </c>
    </row>
    <row r="18200" spans="5:5" x14ac:dyDescent="0.25">
      <c r="E18200" t="s">
        <v>17706</v>
      </c>
    </row>
    <row r="18201" spans="5:5" x14ac:dyDescent="0.25">
      <c r="E18201" t="s">
        <v>17707</v>
      </c>
    </row>
    <row r="18202" spans="5:5" x14ac:dyDescent="0.25">
      <c r="E18202" t="s">
        <v>17708</v>
      </c>
    </row>
    <row r="18203" spans="5:5" x14ac:dyDescent="0.25">
      <c r="E18203" t="s">
        <v>17709</v>
      </c>
    </row>
    <row r="18204" spans="5:5" x14ac:dyDescent="0.25">
      <c r="E18204" t="s">
        <v>17710</v>
      </c>
    </row>
    <row r="18205" spans="5:5" x14ac:dyDescent="0.25">
      <c r="E18205" t="s">
        <v>17711</v>
      </c>
    </row>
    <row r="18206" spans="5:5" x14ac:dyDescent="0.25">
      <c r="E18206" t="s">
        <v>17712</v>
      </c>
    </row>
    <row r="18207" spans="5:5" x14ac:dyDescent="0.25">
      <c r="E18207" t="s">
        <v>17713</v>
      </c>
    </row>
    <row r="18208" spans="5:5" x14ac:dyDescent="0.25">
      <c r="E18208" t="s">
        <v>17714</v>
      </c>
    </row>
    <row r="18209" spans="5:5" x14ac:dyDescent="0.25">
      <c r="E18209" t="s">
        <v>17715</v>
      </c>
    </row>
    <row r="18210" spans="5:5" x14ac:dyDescent="0.25">
      <c r="E18210" t="s">
        <v>17716</v>
      </c>
    </row>
    <row r="18211" spans="5:5" x14ac:dyDescent="0.25">
      <c r="E18211" t="s">
        <v>17717</v>
      </c>
    </row>
    <row r="18212" spans="5:5" x14ac:dyDescent="0.25">
      <c r="E18212" t="s">
        <v>17718</v>
      </c>
    </row>
    <row r="18213" spans="5:5" x14ac:dyDescent="0.25">
      <c r="E18213" t="s">
        <v>17719</v>
      </c>
    </row>
    <row r="18214" spans="5:5" x14ac:dyDescent="0.25">
      <c r="E18214" t="s">
        <v>17720</v>
      </c>
    </row>
    <row r="18215" spans="5:5" x14ac:dyDescent="0.25">
      <c r="E18215" t="s">
        <v>17721</v>
      </c>
    </row>
    <row r="18216" spans="5:5" x14ac:dyDescent="0.25">
      <c r="E18216" t="s">
        <v>17722</v>
      </c>
    </row>
    <row r="18217" spans="5:5" x14ac:dyDescent="0.25">
      <c r="E18217" t="s">
        <v>17723</v>
      </c>
    </row>
    <row r="18218" spans="5:5" x14ac:dyDescent="0.25">
      <c r="E18218" t="s">
        <v>17724</v>
      </c>
    </row>
    <row r="18219" spans="5:5" x14ac:dyDescent="0.25">
      <c r="E18219" t="s">
        <v>17725</v>
      </c>
    </row>
    <row r="18220" spans="5:5" x14ac:dyDescent="0.25">
      <c r="E18220" t="s">
        <v>17726</v>
      </c>
    </row>
    <row r="18221" spans="5:5" x14ac:dyDescent="0.25">
      <c r="E18221" t="s">
        <v>17727</v>
      </c>
    </row>
    <row r="18222" spans="5:5" x14ac:dyDescent="0.25">
      <c r="E18222" t="s">
        <v>17728</v>
      </c>
    </row>
    <row r="18223" spans="5:5" x14ac:dyDescent="0.25">
      <c r="E18223" t="s">
        <v>17729</v>
      </c>
    </row>
    <row r="18224" spans="5:5" x14ac:dyDescent="0.25">
      <c r="E18224" t="s">
        <v>17730</v>
      </c>
    </row>
    <row r="18225" spans="5:5" x14ac:dyDescent="0.25">
      <c r="E18225" t="s">
        <v>17731</v>
      </c>
    </row>
    <row r="18226" spans="5:5" x14ac:dyDescent="0.25">
      <c r="E18226" t="s">
        <v>17732</v>
      </c>
    </row>
    <row r="18227" spans="5:5" x14ac:dyDescent="0.25">
      <c r="E18227" t="s">
        <v>17733</v>
      </c>
    </row>
    <row r="18228" spans="5:5" x14ac:dyDescent="0.25">
      <c r="E18228" t="s">
        <v>17734</v>
      </c>
    </row>
    <row r="18229" spans="5:5" x14ac:dyDescent="0.25">
      <c r="E18229" t="s">
        <v>17735</v>
      </c>
    </row>
    <row r="18230" spans="5:5" x14ac:dyDescent="0.25">
      <c r="E18230" t="s">
        <v>17736</v>
      </c>
    </row>
    <row r="18231" spans="5:5" x14ac:dyDescent="0.25">
      <c r="E18231" t="s">
        <v>17737</v>
      </c>
    </row>
    <row r="18232" spans="5:5" x14ac:dyDescent="0.25">
      <c r="E18232" t="s">
        <v>17738</v>
      </c>
    </row>
    <row r="18233" spans="5:5" x14ac:dyDescent="0.25">
      <c r="E18233" t="s">
        <v>17739</v>
      </c>
    </row>
    <row r="18234" spans="5:5" x14ac:dyDescent="0.25">
      <c r="E18234" t="s">
        <v>17740</v>
      </c>
    </row>
    <row r="18235" spans="5:5" x14ac:dyDescent="0.25">
      <c r="E18235" t="s">
        <v>17741</v>
      </c>
    </row>
    <row r="18236" spans="5:5" x14ac:dyDescent="0.25">
      <c r="E18236" t="s">
        <v>17742</v>
      </c>
    </row>
    <row r="18237" spans="5:5" x14ac:dyDescent="0.25">
      <c r="E18237" t="s">
        <v>17743</v>
      </c>
    </row>
    <row r="18238" spans="5:5" x14ac:dyDescent="0.25">
      <c r="E18238" t="s">
        <v>17744</v>
      </c>
    </row>
    <row r="18239" spans="5:5" x14ac:dyDescent="0.25">
      <c r="E18239" t="s">
        <v>17745</v>
      </c>
    </row>
    <row r="18240" spans="5:5" x14ac:dyDescent="0.25">
      <c r="E18240" t="s">
        <v>17746</v>
      </c>
    </row>
    <row r="18241" spans="5:5" x14ac:dyDescent="0.25">
      <c r="E18241" t="s">
        <v>17747</v>
      </c>
    </row>
    <row r="18242" spans="5:5" x14ac:dyDescent="0.25">
      <c r="E18242" t="s">
        <v>17748</v>
      </c>
    </row>
    <row r="18243" spans="5:5" x14ac:dyDescent="0.25">
      <c r="E18243" t="s">
        <v>17749</v>
      </c>
    </row>
    <row r="18244" spans="5:5" x14ac:dyDescent="0.25">
      <c r="E18244" t="s">
        <v>17750</v>
      </c>
    </row>
    <row r="18245" spans="5:5" x14ac:dyDescent="0.25">
      <c r="E18245" t="s">
        <v>17751</v>
      </c>
    </row>
    <row r="18246" spans="5:5" x14ac:dyDescent="0.25">
      <c r="E18246" t="s">
        <v>17752</v>
      </c>
    </row>
    <row r="18247" spans="5:5" x14ac:dyDescent="0.25">
      <c r="E18247" t="s">
        <v>17753</v>
      </c>
    </row>
    <row r="18248" spans="5:5" x14ac:dyDescent="0.25">
      <c r="E18248" t="s">
        <v>17754</v>
      </c>
    </row>
    <row r="18249" spans="5:5" x14ac:dyDescent="0.25">
      <c r="E18249" t="s">
        <v>17755</v>
      </c>
    </row>
    <row r="18250" spans="5:5" x14ac:dyDescent="0.25">
      <c r="E18250" t="s">
        <v>17756</v>
      </c>
    </row>
    <row r="18251" spans="5:5" x14ac:dyDescent="0.25">
      <c r="E18251" t="s">
        <v>17757</v>
      </c>
    </row>
    <row r="18252" spans="5:5" x14ac:dyDescent="0.25">
      <c r="E18252" t="s">
        <v>17758</v>
      </c>
    </row>
    <row r="18253" spans="5:5" x14ac:dyDescent="0.25">
      <c r="E18253" t="s">
        <v>17759</v>
      </c>
    </row>
    <row r="18254" spans="5:5" x14ac:dyDescent="0.25">
      <c r="E18254" t="s">
        <v>17760</v>
      </c>
    </row>
    <row r="18255" spans="5:5" x14ac:dyDescent="0.25">
      <c r="E18255" t="s">
        <v>17761</v>
      </c>
    </row>
    <row r="18256" spans="5:5" x14ac:dyDescent="0.25">
      <c r="E18256" t="s">
        <v>17762</v>
      </c>
    </row>
    <row r="18257" spans="5:5" x14ac:dyDescent="0.25">
      <c r="E18257" t="s">
        <v>17763</v>
      </c>
    </row>
    <row r="18258" spans="5:5" x14ac:dyDescent="0.25">
      <c r="E18258" t="s">
        <v>17764</v>
      </c>
    </row>
    <row r="18259" spans="5:5" x14ac:dyDescent="0.25">
      <c r="E18259" t="s">
        <v>17765</v>
      </c>
    </row>
    <row r="18260" spans="5:5" x14ac:dyDescent="0.25">
      <c r="E18260" t="s">
        <v>17766</v>
      </c>
    </row>
    <row r="18261" spans="5:5" x14ac:dyDescent="0.25">
      <c r="E18261" t="s">
        <v>17767</v>
      </c>
    </row>
    <row r="18262" spans="5:5" x14ac:dyDescent="0.25">
      <c r="E18262" t="s">
        <v>17768</v>
      </c>
    </row>
    <row r="18263" spans="5:5" x14ac:dyDescent="0.25">
      <c r="E18263" t="s">
        <v>17769</v>
      </c>
    </row>
    <row r="18264" spans="5:5" x14ac:dyDescent="0.25">
      <c r="E18264" t="s">
        <v>17770</v>
      </c>
    </row>
    <row r="18265" spans="5:5" x14ac:dyDescent="0.25">
      <c r="E18265" t="s">
        <v>17771</v>
      </c>
    </row>
    <row r="18266" spans="5:5" x14ac:dyDescent="0.25">
      <c r="E18266" t="s">
        <v>17772</v>
      </c>
    </row>
    <row r="18267" spans="5:5" x14ac:dyDescent="0.25">
      <c r="E18267" t="s">
        <v>17773</v>
      </c>
    </row>
    <row r="18268" spans="5:5" x14ac:dyDescent="0.25">
      <c r="E18268" t="s">
        <v>17774</v>
      </c>
    </row>
    <row r="18269" spans="5:5" x14ac:dyDescent="0.25">
      <c r="E18269" t="s">
        <v>17775</v>
      </c>
    </row>
    <row r="18270" spans="5:5" x14ac:dyDescent="0.25">
      <c r="E18270" t="s">
        <v>17776</v>
      </c>
    </row>
    <row r="18271" spans="5:5" x14ac:dyDescent="0.25">
      <c r="E18271" t="s">
        <v>17777</v>
      </c>
    </row>
    <row r="18272" spans="5:5" x14ac:dyDescent="0.25">
      <c r="E18272" t="s">
        <v>17778</v>
      </c>
    </row>
    <row r="18273" spans="5:5" x14ac:dyDescent="0.25">
      <c r="E18273" t="s">
        <v>17779</v>
      </c>
    </row>
    <row r="18274" spans="5:5" x14ac:dyDescent="0.25">
      <c r="E18274" t="s">
        <v>17780</v>
      </c>
    </row>
    <row r="18275" spans="5:5" x14ac:dyDescent="0.25">
      <c r="E18275" t="s">
        <v>17781</v>
      </c>
    </row>
    <row r="18276" spans="5:5" x14ac:dyDescent="0.25">
      <c r="E18276" t="s">
        <v>17782</v>
      </c>
    </row>
    <row r="18277" spans="5:5" x14ac:dyDescent="0.25">
      <c r="E18277" t="s">
        <v>17783</v>
      </c>
    </row>
    <row r="18278" spans="5:5" x14ac:dyDescent="0.25">
      <c r="E18278" t="s">
        <v>17784</v>
      </c>
    </row>
    <row r="18279" spans="5:5" x14ac:dyDescent="0.25">
      <c r="E18279" t="s">
        <v>17785</v>
      </c>
    </row>
    <row r="18280" spans="5:5" x14ac:dyDescent="0.25">
      <c r="E18280" t="s">
        <v>17786</v>
      </c>
    </row>
    <row r="18281" spans="5:5" x14ac:dyDescent="0.25">
      <c r="E18281" t="s">
        <v>17787</v>
      </c>
    </row>
    <row r="18282" spans="5:5" x14ac:dyDescent="0.25">
      <c r="E18282" t="s">
        <v>17788</v>
      </c>
    </row>
    <row r="18283" spans="5:5" x14ac:dyDescent="0.25">
      <c r="E18283" t="s">
        <v>17789</v>
      </c>
    </row>
    <row r="18284" spans="5:5" x14ac:dyDescent="0.25">
      <c r="E18284" t="s">
        <v>17790</v>
      </c>
    </row>
    <row r="18285" spans="5:5" x14ac:dyDescent="0.25">
      <c r="E18285" t="s">
        <v>17791</v>
      </c>
    </row>
    <row r="18286" spans="5:5" x14ac:dyDescent="0.25">
      <c r="E18286" t="s">
        <v>17792</v>
      </c>
    </row>
    <row r="18287" spans="5:5" x14ac:dyDescent="0.25">
      <c r="E18287" t="s">
        <v>17793</v>
      </c>
    </row>
    <row r="18288" spans="5:5" x14ac:dyDescent="0.25">
      <c r="E18288" t="s">
        <v>17794</v>
      </c>
    </row>
    <row r="18289" spans="5:5" x14ac:dyDescent="0.25">
      <c r="E18289" t="s">
        <v>17795</v>
      </c>
    </row>
    <row r="18290" spans="5:5" x14ac:dyDescent="0.25">
      <c r="E18290" t="s">
        <v>17796</v>
      </c>
    </row>
    <row r="18291" spans="5:5" x14ac:dyDescent="0.25">
      <c r="E18291" t="s">
        <v>17797</v>
      </c>
    </row>
    <row r="18292" spans="5:5" x14ac:dyDescent="0.25">
      <c r="E18292" t="s">
        <v>17798</v>
      </c>
    </row>
    <row r="18293" spans="5:5" x14ac:dyDescent="0.25">
      <c r="E18293" t="s">
        <v>17799</v>
      </c>
    </row>
    <row r="18294" spans="5:5" x14ac:dyDescent="0.25">
      <c r="E18294" t="s">
        <v>17800</v>
      </c>
    </row>
    <row r="18295" spans="5:5" x14ac:dyDescent="0.25">
      <c r="E18295" t="s">
        <v>17801</v>
      </c>
    </row>
    <row r="18296" spans="5:5" x14ac:dyDescent="0.25">
      <c r="E18296" t="s">
        <v>17802</v>
      </c>
    </row>
    <row r="18297" spans="5:5" x14ac:dyDescent="0.25">
      <c r="E18297" t="s">
        <v>17803</v>
      </c>
    </row>
    <row r="18298" spans="5:5" x14ac:dyDescent="0.25">
      <c r="E18298" t="s">
        <v>17804</v>
      </c>
    </row>
    <row r="18299" spans="5:5" x14ac:dyDescent="0.25">
      <c r="E18299" t="s">
        <v>17805</v>
      </c>
    </row>
    <row r="18300" spans="5:5" x14ac:dyDescent="0.25">
      <c r="E18300" t="s">
        <v>17806</v>
      </c>
    </row>
    <row r="18301" spans="5:5" x14ac:dyDescent="0.25">
      <c r="E18301" t="s">
        <v>17807</v>
      </c>
    </row>
    <row r="18302" spans="5:5" x14ac:dyDescent="0.25">
      <c r="E18302" t="s">
        <v>17808</v>
      </c>
    </row>
    <row r="18303" spans="5:5" x14ac:dyDescent="0.25">
      <c r="E18303" t="s">
        <v>17809</v>
      </c>
    </row>
    <row r="18304" spans="5:5" x14ac:dyDescent="0.25">
      <c r="E18304" t="s">
        <v>17810</v>
      </c>
    </row>
    <row r="18305" spans="5:5" x14ac:dyDescent="0.25">
      <c r="E18305" t="s">
        <v>17811</v>
      </c>
    </row>
    <row r="18306" spans="5:5" x14ac:dyDescent="0.25">
      <c r="E18306" t="s">
        <v>17812</v>
      </c>
    </row>
    <row r="18307" spans="5:5" x14ac:dyDescent="0.25">
      <c r="E18307" t="s">
        <v>17813</v>
      </c>
    </row>
    <row r="18308" spans="5:5" x14ac:dyDescent="0.25">
      <c r="E18308" t="s">
        <v>17814</v>
      </c>
    </row>
    <row r="18309" spans="5:5" x14ac:dyDescent="0.25">
      <c r="E18309" t="s">
        <v>17815</v>
      </c>
    </row>
    <row r="18310" spans="5:5" x14ac:dyDescent="0.25">
      <c r="E18310" t="s">
        <v>17816</v>
      </c>
    </row>
    <row r="18311" spans="5:5" x14ac:dyDescent="0.25">
      <c r="E18311" t="s">
        <v>17817</v>
      </c>
    </row>
    <row r="18312" spans="5:5" x14ac:dyDescent="0.25">
      <c r="E18312" t="s">
        <v>17818</v>
      </c>
    </row>
    <row r="18313" spans="5:5" x14ac:dyDescent="0.25">
      <c r="E18313" t="s">
        <v>17819</v>
      </c>
    </row>
    <row r="18314" spans="5:5" x14ac:dyDescent="0.25">
      <c r="E18314" t="s">
        <v>17820</v>
      </c>
    </row>
    <row r="18315" spans="5:5" x14ac:dyDescent="0.25">
      <c r="E18315" t="s">
        <v>17821</v>
      </c>
    </row>
    <row r="18316" spans="5:5" x14ac:dyDescent="0.25">
      <c r="E18316" t="s">
        <v>17822</v>
      </c>
    </row>
    <row r="18317" spans="5:5" x14ac:dyDescent="0.25">
      <c r="E18317" t="s">
        <v>17823</v>
      </c>
    </row>
    <row r="18318" spans="5:5" x14ac:dyDescent="0.25">
      <c r="E18318" t="s">
        <v>17824</v>
      </c>
    </row>
    <row r="18319" spans="5:5" x14ac:dyDescent="0.25">
      <c r="E18319" t="s">
        <v>17825</v>
      </c>
    </row>
    <row r="18320" spans="5:5" x14ac:dyDescent="0.25">
      <c r="E18320" t="s">
        <v>17826</v>
      </c>
    </row>
    <row r="18321" spans="5:5" x14ac:dyDescent="0.25">
      <c r="E18321" t="s">
        <v>17827</v>
      </c>
    </row>
    <row r="18322" spans="5:5" x14ac:dyDescent="0.25">
      <c r="E18322" t="s">
        <v>17828</v>
      </c>
    </row>
    <row r="18323" spans="5:5" x14ac:dyDescent="0.25">
      <c r="E18323" t="s">
        <v>17829</v>
      </c>
    </row>
    <row r="18324" spans="5:5" x14ac:dyDescent="0.25">
      <c r="E18324" t="s">
        <v>17830</v>
      </c>
    </row>
    <row r="18325" spans="5:5" x14ac:dyDescent="0.25">
      <c r="E18325" t="s">
        <v>17831</v>
      </c>
    </row>
    <row r="18326" spans="5:5" x14ac:dyDescent="0.25">
      <c r="E18326" t="s">
        <v>17832</v>
      </c>
    </row>
    <row r="18327" spans="5:5" x14ac:dyDescent="0.25">
      <c r="E18327" t="s">
        <v>17833</v>
      </c>
    </row>
    <row r="18328" spans="5:5" x14ac:dyDescent="0.25">
      <c r="E18328" t="s">
        <v>17834</v>
      </c>
    </row>
    <row r="18329" spans="5:5" x14ac:dyDescent="0.25">
      <c r="E18329" t="s">
        <v>17835</v>
      </c>
    </row>
    <row r="18330" spans="5:5" x14ac:dyDescent="0.25">
      <c r="E18330" t="s">
        <v>17836</v>
      </c>
    </row>
    <row r="18331" spans="5:5" x14ac:dyDescent="0.25">
      <c r="E18331" t="s">
        <v>17837</v>
      </c>
    </row>
    <row r="18332" spans="5:5" x14ac:dyDescent="0.25">
      <c r="E18332" t="s">
        <v>17838</v>
      </c>
    </row>
    <row r="18333" spans="5:5" x14ac:dyDescent="0.25">
      <c r="E18333" t="s">
        <v>17839</v>
      </c>
    </row>
    <row r="18334" spans="5:5" x14ac:dyDescent="0.25">
      <c r="E18334" t="s">
        <v>17840</v>
      </c>
    </row>
    <row r="18335" spans="5:5" x14ac:dyDescent="0.25">
      <c r="E18335" t="s">
        <v>17841</v>
      </c>
    </row>
    <row r="18336" spans="5:5" x14ac:dyDescent="0.25">
      <c r="E18336" t="s">
        <v>17842</v>
      </c>
    </row>
    <row r="18337" spans="5:5" x14ac:dyDescent="0.25">
      <c r="E18337" t="s">
        <v>17843</v>
      </c>
    </row>
    <row r="18338" spans="5:5" x14ac:dyDescent="0.25">
      <c r="E18338" t="s">
        <v>17844</v>
      </c>
    </row>
    <row r="18339" spans="5:5" x14ac:dyDescent="0.25">
      <c r="E18339" t="s">
        <v>17845</v>
      </c>
    </row>
    <row r="18340" spans="5:5" x14ac:dyDescent="0.25">
      <c r="E18340" t="s">
        <v>17846</v>
      </c>
    </row>
    <row r="18341" spans="5:5" x14ac:dyDescent="0.25">
      <c r="E18341" t="s">
        <v>17847</v>
      </c>
    </row>
    <row r="18342" spans="5:5" x14ac:dyDescent="0.25">
      <c r="E18342" t="s">
        <v>17848</v>
      </c>
    </row>
    <row r="18343" spans="5:5" x14ac:dyDescent="0.25">
      <c r="E18343" t="s">
        <v>17849</v>
      </c>
    </row>
    <row r="18344" spans="5:5" x14ac:dyDescent="0.25">
      <c r="E18344" t="s">
        <v>17850</v>
      </c>
    </row>
    <row r="18345" spans="5:5" x14ac:dyDescent="0.25">
      <c r="E18345" t="s">
        <v>17851</v>
      </c>
    </row>
    <row r="18346" spans="5:5" x14ac:dyDescent="0.25">
      <c r="E18346" t="s">
        <v>17852</v>
      </c>
    </row>
    <row r="18347" spans="5:5" x14ac:dyDescent="0.25">
      <c r="E18347" t="s">
        <v>17853</v>
      </c>
    </row>
    <row r="18348" spans="5:5" x14ac:dyDescent="0.25">
      <c r="E18348" t="s">
        <v>17854</v>
      </c>
    </row>
    <row r="18349" spans="5:5" x14ac:dyDescent="0.25">
      <c r="E18349" t="s">
        <v>17855</v>
      </c>
    </row>
    <row r="18350" spans="5:5" x14ac:dyDescent="0.25">
      <c r="E18350" t="s">
        <v>17856</v>
      </c>
    </row>
    <row r="18351" spans="5:5" x14ac:dyDescent="0.25">
      <c r="E18351" t="s">
        <v>17857</v>
      </c>
    </row>
    <row r="18352" spans="5:5" x14ac:dyDescent="0.25">
      <c r="E18352" t="s">
        <v>17858</v>
      </c>
    </row>
    <row r="18353" spans="5:5" x14ac:dyDescent="0.25">
      <c r="E18353" t="s">
        <v>17859</v>
      </c>
    </row>
    <row r="18354" spans="5:5" x14ac:dyDescent="0.25">
      <c r="E18354" t="s">
        <v>17860</v>
      </c>
    </row>
    <row r="18355" spans="5:5" x14ac:dyDescent="0.25">
      <c r="E18355" t="s">
        <v>17861</v>
      </c>
    </row>
    <row r="18356" spans="5:5" x14ac:dyDescent="0.25">
      <c r="E18356" t="s">
        <v>17862</v>
      </c>
    </row>
    <row r="18357" spans="5:5" x14ac:dyDescent="0.25">
      <c r="E18357" t="s">
        <v>17863</v>
      </c>
    </row>
    <row r="18358" spans="5:5" x14ac:dyDescent="0.25">
      <c r="E18358" t="s">
        <v>17864</v>
      </c>
    </row>
    <row r="18359" spans="5:5" x14ac:dyDescent="0.25">
      <c r="E18359" t="s">
        <v>17865</v>
      </c>
    </row>
    <row r="18360" spans="5:5" x14ac:dyDescent="0.25">
      <c r="E18360" t="s">
        <v>17866</v>
      </c>
    </row>
    <row r="18361" spans="5:5" x14ac:dyDescent="0.25">
      <c r="E18361" t="s">
        <v>17867</v>
      </c>
    </row>
    <row r="18362" spans="5:5" x14ac:dyDescent="0.25">
      <c r="E18362" t="s">
        <v>17868</v>
      </c>
    </row>
    <row r="18363" spans="5:5" x14ac:dyDescent="0.25">
      <c r="E18363" t="s">
        <v>17869</v>
      </c>
    </row>
    <row r="18364" spans="5:5" x14ac:dyDescent="0.25">
      <c r="E18364" t="s">
        <v>17870</v>
      </c>
    </row>
    <row r="18365" spans="5:5" x14ac:dyDescent="0.25">
      <c r="E18365" t="s">
        <v>17871</v>
      </c>
    </row>
    <row r="18366" spans="5:5" x14ac:dyDescent="0.25">
      <c r="E18366" t="s">
        <v>17872</v>
      </c>
    </row>
    <row r="18367" spans="5:5" x14ac:dyDescent="0.25">
      <c r="E18367" t="s">
        <v>17873</v>
      </c>
    </row>
    <row r="18368" spans="5:5" x14ac:dyDescent="0.25">
      <c r="E18368" t="s">
        <v>17874</v>
      </c>
    </row>
    <row r="18369" spans="5:5" x14ac:dyDescent="0.25">
      <c r="E18369" t="s">
        <v>17875</v>
      </c>
    </row>
    <row r="18370" spans="5:5" x14ac:dyDescent="0.25">
      <c r="E18370" t="s">
        <v>17876</v>
      </c>
    </row>
    <row r="18371" spans="5:5" x14ac:dyDescent="0.25">
      <c r="E18371" t="s">
        <v>17877</v>
      </c>
    </row>
    <row r="18372" spans="5:5" x14ac:dyDescent="0.25">
      <c r="E18372" t="s">
        <v>17878</v>
      </c>
    </row>
    <row r="18373" spans="5:5" x14ac:dyDescent="0.25">
      <c r="E18373" t="s">
        <v>17879</v>
      </c>
    </row>
    <row r="18374" spans="5:5" x14ac:dyDescent="0.25">
      <c r="E18374" t="s">
        <v>17880</v>
      </c>
    </row>
    <row r="18375" spans="5:5" x14ac:dyDescent="0.25">
      <c r="E18375" t="s">
        <v>17881</v>
      </c>
    </row>
    <row r="18376" spans="5:5" x14ac:dyDescent="0.25">
      <c r="E18376" t="s">
        <v>17882</v>
      </c>
    </row>
    <row r="18377" spans="5:5" x14ac:dyDescent="0.25">
      <c r="E18377" t="s">
        <v>17883</v>
      </c>
    </row>
    <row r="18378" spans="5:5" x14ac:dyDescent="0.25">
      <c r="E18378" t="s">
        <v>17884</v>
      </c>
    </row>
    <row r="18379" spans="5:5" x14ac:dyDescent="0.25">
      <c r="E18379" t="s">
        <v>17885</v>
      </c>
    </row>
    <row r="18380" spans="5:5" x14ac:dyDescent="0.25">
      <c r="E18380" t="s">
        <v>17886</v>
      </c>
    </row>
    <row r="18381" spans="5:5" x14ac:dyDescent="0.25">
      <c r="E18381" t="s">
        <v>17887</v>
      </c>
    </row>
    <row r="18382" spans="5:5" x14ac:dyDescent="0.25">
      <c r="E18382" t="s">
        <v>17888</v>
      </c>
    </row>
    <row r="18383" spans="5:5" x14ac:dyDescent="0.25">
      <c r="E18383" t="s">
        <v>17889</v>
      </c>
    </row>
    <row r="18384" spans="5:5" x14ac:dyDescent="0.25">
      <c r="E18384" t="s">
        <v>17890</v>
      </c>
    </row>
    <row r="18385" spans="5:5" x14ac:dyDescent="0.25">
      <c r="E18385" t="s">
        <v>17891</v>
      </c>
    </row>
    <row r="18386" spans="5:5" x14ac:dyDescent="0.25">
      <c r="E18386" t="s">
        <v>17892</v>
      </c>
    </row>
    <row r="18387" spans="5:5" x14ac:dyDescent="0.25">
      <c r="E18387" t="s">
        <v>17893</v>
      </c>
    </row>
    <row r="18388" spans="5:5" x14ac:dyDescent="0.25">
      <c r="E18388" t="s">
        <v>17894</v>
      </c>
    </row>
    <row r="18389" spans="5:5" x14ac:dyDescent="0.25">
      <c r="E18389" t="s">
        <v>17895</v>
      </c>
    </row>
    <row r="18390" spans="5:5" x14ac:dyDescent="0.25">
      <c r="E18390" t="s">
        <v>17896</v>
      </c>
    </row>
    <row r="18391" spans="5:5" x14ac:dyDescent="0.25">
      <c r="E18391" t="s">
        <v>17897</v>
      </c>
    </row>
    <row r="18392" spans="5:5" x14ac:dyDescent="0.25">
      <c r="E18392" t="s">
        <v>17898</v>
      </c>
    </row>
    <row r="18393" spans="5:5" x14ac:dyDescent="0.25">
      <c r="E18393" t="s">
        <v>17899</v>
      </c>
    </row>
    <row r="18394" spans="5:5" x14ac:dyDescent="0.25">
      <c r="E18394" t="s">
        <v>17900</v>
      </c>
    </row>
    <row r="18395" spans="5:5" x14ac:dyDescent="0.25">
      <c r="E18395" t="s">
        <v>17901</v>
      </c>
    </row>
    <row r="18396" spans="5:5" x14ac:dyDescent="0.25">
      <c r="E18396" t="s">
        <v>17902</v>
      </c>
    </row>
    <row r="18397" spans="5:5" x14ac:dyDescent="0.25">
      <c r="E18397" t="s">
        <v>17903</v>
      </c>
    </row>
    <row r="18398" spans="5:5" x14ac:dyDescent="0.25">
      <c r="E18398" t="s">
        <v>17904</v>
      </c>
    </row>
    <row r="18399" spans="5:5" x14ac:dyDescent="0.25">
      <c r="E18399" t="s">
        <v>17905</v>
      </c>
    </row>
    <row r="18400" spans="5:5" x14ac:dyDescent="0.25">
      <c r="E18400" t="s">
        <v>17906</v>
      </c>
    </row>
    <row r="18401" spans="5:5" x14ac:dyDescent="0.25">
      <c r="E18401" t="s">
        <v>17907</v>
      </c>
    </row>
    <row r="18402" spans="5:5" x14ac:dyDescent="0.25">
      <c r="E18402" t="s">
        <v>17908</v>
      </c>
    </row>
    <row r="18403" spans="5:5" x14ac:dyDescent="0.25">
      <c r="E18403" t="s">
        <v>17909</v>
      </c>
    </row>
    <row r="18404" spans="5:5" x14ac:dyDescent="0.25">
      <c r="E18404" t="s">
        <v>17910</v>
      </c>
    </row>
    <row r="18405" spans="5:5" x14ac:dyDescent="0.25">
      <c r="E18405" t="s">
        <v>17911</v>
      </c>
    </row>
    <row r="18406" spans="5:5" x14ac:dyDescent="0.25">
      <c r="E18406" t="s">
        <v>17912</v>
      </c>
    </row>
    <row r="18407" spans="5:5" x14ac:dyDescent="0.25">
      <c r="E18407" t="s">
        <v>17913</v>
      </c>
    </row>
    <row r="18408" spans="5:5" x14ac:dyDescent="0.25">
      <c r="E18408" t="s">
        <v>17914</v>
      </c>
    </row>
    <row r="18409" spans="5:5" x14ac:dyDescent="0.25">
      <c r="E18409" t="s">
        <v>17915</v>
      </c>
    </row>
    <row r="18410" spans="5:5" x14ac:dyDescent="0.25">
      <c r="E18410" t="s">
        <v>17916</v>
      </c>
    </row>
    <row r="18411" spans="5:5" x14ac:dyDescent="0.25">
      <c r="E18411" t="s">
        <v>17917</v>
      </c>
    </row>
    <row r="18412" spans="5:5" x14ac:dyDescent="0.25">
      <c r="E18412" t="s">
        <v>17918</v>
      </c>
    </row>
    <row r="18413" spans="5:5" x14ac:dyDescent="0.25">
      <c r="E18413" t="s">
        <v>17919</v>
      </c>
    </row>
    <row r="18414" spans="5:5" x14ac:dyDescent="0.25">
      <c r="E18414" t="s">
        <v>17920</v>
      </c>
    </row>
    <row r="18415" spans="5:5" x14ac:dyDescent="0.25">
      <c r="E18415" t="s">
        <v>17921</v>
      </c>
    </row>
    <row r="18416" spans="5:5" x14ac:dyDescent="0.25">
      <c r="E18416" t="s">
        <v>17922</v>
      </c>
    </row>
    <row r="18417" spans="5:5" x14ac:dyDescent="0.25">
      <c r="E18417" t="s">
        <v>17923</v>
      </c>
    </row>
    <row r="18418" spans="5:5" x14ac:dyDescent="0.25">
      <c r="E18418" t="s">
        <v>17924</v>
      </c>
    </row>
    <row r="18419" spans="5:5" x14ac:dyDescent="0.25">
      <c r="E18419" t="s">
        <v>17925</v>
      </c>
    </row>
    <row r="18420" spans="5:5" x14ac:dyDescent="0.25">
      <c r="E18420" t="s">
        <v>17926</v>
      </c>
    </row>
    <row r="18421" spans="5:5" x14ac:dyDescent="0.25">
      <c r="E18421" t="s">
        <v>17927</v>
      </c>
    </row>
    <row r="18422" spans="5:5" x14ac:dyDescent="0.25">
      <c r="E18422" t="s">
        <v>17928</v>
      </c>
    </row>
    <row r="18423" spans="5:5" x14ac:dyDescent="0.25">
      <c r="E18423" t="s">
        <v>17929</v>
      </c>
    </row>
    <row r="18424" spans="5:5" x14ac:dyDescent="0.25">
      <c r="E18424" t="s">
        <v>17930</v>
      </c>
    </row>
    <row r="18425" spans="5:5" x14ac:dyDescent="0.25">
      <c r="E18425" t="s">
        <v>17931</v>
      </c>
    </row>
    <row r="18426" spans="5:5" x14ac:dyDescent="0.25">
      <c r="E18426" t="s">
        <v>17932</v>
      </c>
    </row>
    <row r="18427" spans="5:5" x14ac:dyDescent="0.25">
      <c r="E18427" t="s">
        <v>17933</v>
      </c>
    </row>
    <row r="18428" spans="5:5" x14ac:dyDescent="0.25">
      <c r="E18428" t="s">
        <v>17934</v>
      </c>
    </row>
    <row r="18429" spans="5:5" x14ac:dyDescent="0.25">
      <c r="E18429" t="s">
        <v>17935</v>
      </c>
    </row>
    <row r="18430" spans="5:5" x14ac:dyDescent="0.25">
      <c r="E18430" t="s">
        <v>17936</v>
      </c>
    </row>
    <row r="18431" spans="5:5" x14ac:dyDescent="0.25">
      <c r="E18431" t="s">
        <v>17937</v>
      </c>
    </row>
    <row r="18432" spans="5:5" x14ac:dyDescent="0.25">
      <c r="E18432" t="s">
        <v>17938</v>
      </c>
    </row>
    <row r="18433" spans="5:5" x14ac:dyDescent="0.25">
      <c r="E18433" t="s">
        <v>17939</v>
      </c>
    </row>
    <row r="18434" spans="5:5" x14ac:dyDescent="0.25">
      <c r="E18434" t="s">
        <v>17940</v>
      </c>
    </row>
    <row r="18435" spans="5:5" x14ac:dyDescent="0.25">
      <c r="E18435" t="s">
        <v>17941</v>
      </c>
    </row>
    <row r="18436" spans="5:5" x14ac:dyDescent="0.25">
      <c r="E18436" t="s">
        <v>17942</v>
      </c>
    </row>
    <row r="18437" spans="5:5" x14ac:dyDescent="0.25">
      <c r="E18437" t="s">
        <v>17943</v>
      </c>
    </row>
    <row r="18438" spans="5:5" x14ac:dyDescent="0.25">
      <c r="E18438" t="s">
        <v>17944</v>
      </c>
    </row>
    <row r="18439" spans="5:5" x14ac:dyDescent="0.25">
      <c r="E18439" t="s">
        <v>17945</v>
      </c>
    </row>
    <row r="18440" spans="5:5" x14ac:dyDescent="0.25">
      <c r="E18440" t="s">
        <v>17946</v>
      </c>
    </row>
    <row r="18442" spans="5:5" x14ac:dyDescent="0.25">
      <c r="E18442" t="s">
        <v>17947</v>
      </c>
    </row>
    <row r="18443" spans="5:5" x14ac:dyDescent="0.25">
      <c r="E18443" t="s">
        <v>17948</v>
      </c>
    </row>
    <row r="18444" spans="5:5" x14ac:dyDescent="0.25">
      <c r="E18444" t="s">
        <v>17949</v>
      </c>
    </row>
    <row r="18445" spans="5:5" x14ac:dyDescent="0.25">
      <c r="E18445" t="s">
        <v>17950</v>
      </c>
    </row>
    <row r="18446" spans="5:5" x14ac:dyDescent="0.25">
      <c r="E18446" t="s">
        <v>17951</v>
      </c>
    </row>
    <row r="18447" spans="5:5" x14ac:dyDescent="0.25">
      <c r="E18447" t="s">
        <v>17952</v>
      </c>
    </row>
    <row r="18448" spans="5:5" x14ac:dyDescent="0.25">
      <c r="E18448" t="s">
        <v>17953</v>
      </c>
    </row>
    <row r="18449" spans="5:5" x14ac:dyDescent="0.25">
      <c r="E18449" t="s">
        <v>17954</v>
      </c>
    </row>
    <row r="18450" spans="5:5" x14ac:dyDescent="0.25">
      <c r="E18450" t="s">
        <v>17955</v>
      </c>
    </row>
    <row r="18451" spans="5:5" x14ac:dyDescent="0.25">
      <c r="E18451" t="s">
        <v>17956</v>
      </c>
    </row>
    <row r="18452" spans="5:5" x14ac:dyDescent="0.25">
      <c r="E18452" t="s">
        <v>17957</v>
      </c>
    </row>
    <row r="18453" spans="5:5" x14ac:dyDescent="0.25">
      <c r="E18453" t="s">
        <v>17958</v>
      </c>
    </row>
    <row r="18454" spans="5:5" x14ac:dyDescent="0.25">
      <c r="E18454" t="s">
        <v>17959</v>
      </c>
    </row>
    <row r="18455" spans="5:5" x14ac:dyDescent="0.25">
      <c r="E18455" t="s">
        <v>17960</v>
      </c>
    </row>
    <row r="18456" spans="5:5" x14ac:dyDescent="0.25">
      <c r="E18456" t="s">
        <v>17961</v>
      </c>
    </row>
    <row r="18457" spans="5:5" x14ac:dyDescent="0.25">
      <c r="E18457" t="s">
        <v>17962</v>
      </c>
    </row>
    <row r="18458" spans="5:5" x14ac:dyDescent="0.25">
      <c r="E18458" t="s">
        <v>17963</v>
      </c>
    </row>
    <row r="18460" spans="5:5" x14ac:dyDescent="0.25">
      <c r="E18460" t="s">
        <v>17964</v>
      </c>
    </row>
    <row r="18461" spans="5:5" x14ac:dyDescent="0.25">
      <c r="E18461" t="s">
        <v>17965</v>
      </c>
    </row>
    <row r="18462" spans="5:5" x14ac:dyDescent="0.25">
      <c r="E18462" t="s">
        <v>17966</v>
      </c>
    </row>
    <row r="18463" spans="5:5" x14ac:dyDescent="0.25">
      <c r="E18463" t="s">
        <v>17967</v>
      </c>
    </row>
    <row r="18464" spans="5:5" x14ac:dyDescent="0.25">
      <c r="E18464" t="s">
        <v>17968</v>
      </c>
    </row>
    <row r="18465" spans="5:5" x14ac:dyDescent="0.25">
      <c r="E18465" t="s">
        <v>17969</v>
      </c>
    </row>
    <row r="18466" spans="5:5" x14ac:dyDescent="0.25">
      <c r="E18466" t="s">
        <v>17970</v>
      </c>
    </row>
    <row r="18467" spans="5:5" x14ac:dyDescent="0.25">
      <c r="E18467" t="s">
        <v>17971</v>
      </c>
    </row>
    <row r="18469" spans="5:5" x14ac:dyDescent="0.25">
      <c r="E18469" t="s">
        <v>17972</v>
      </c>
    </row>
    <row r="18470" spans="5:5" x14ac:dyDescent="0.25">
      <c r="E18470" t="s">
        <v>17973</v>
      </c>
    </row>
    <row r="18471" spans="5:5" x14ac:dyDescent="0.25">
      <c r="E18471" t="s">
        <v>17974</v>
      </c>
    </row>
    <row r="18472" spans="5:5" x14ac:dyDescent="0.25">
      <c r="E18472" t="s">
        <v>17975</v>
      </c>
    </row>
    <row r="18473" spans="5:5" x14ac:dyDescent="0.25">
      <c r="E18473" t="s">
        <v>17976</v>
      </c>
    </row>
    <row r="18474" spans="5:5" x14ac:dyDescent="0.25">
      <c r="E18474" t="s">
        <v>17977</v>
      </c>
    </row>
    <row r="18475" spans="5:5" x14ac:dyDescent="0.25">
      <c r="E18475" t="s">
        <v>17978</v>
      </c>
    </row>
    <row r="18476" spans="5:5" x14ac:dyDescent="0.25">
      <c r="E18476" t="s">
        <v>17979</v>
      </c>
    </row>
    <row r="18477" spans="5:5" x14ac:dyDescent="0.25">
      <c r="E18477" t="s">
        <v>17980</v>
      </c>
    </row>
    <row r="18478" spans="5:5" x14ac:dyDescent="0.25">
      <c r="E18478" t="s">
        <v>17981</v>
      </c>
    </row>
    <row r="18479" spans="5:5" x14ac:dyDescent="0.25">
      <c r="E18479" t="s">
        <v>17982</v>
      </c>
    </row>
    <row r="18480" spans="5:5" x14ac:dyDescent="0.25">
      <c r="E18480" t="s">
        <v>17983</v>
      </c>
    </row>
    <row r="18481" spans="5:5" x14ac:dyDescent="0.25">
      <c r="E18481" t="s">
        <v>17984</v>
      </c>
    </row>
    <row r="18482" spans="5:5" x14ac:dyDescent="0.25">
      <c r="E18482" t="s">
        <v>17985</v>
      </c>
    </row>
    <row r="18483" spans="5:5" x14ac:dyDescent="0.25">
      <c r="E18483" t="s">
        <v>17986</v>
      </c>
    </row>
    <row r="18484" spans="5:5" x14ac:dyDescent="0.25">
      <c r="E18484" t="s">
        <v>17987</v>
      </c>
    </row>
    <row r="18485" spans="5:5" x14ac:dyDescent="0.25">
      <c r="E18485" t="s">
        <v>17988</v>
      </c>
    </row>
    <row r="18486" spans="5:5" x14ac:dyDescent="0.25">
      <c r="E18486" t="s">
        <v>17989</v>
      </c>
    </row>
    <row r="18487" spans="5:5" x14ac:dyDescent="0.25">
      <c r="E18487" t="s">
        <v>17990</v>
      </c>
    </row>
    <row r="18488" spans="5:5" x14ac:dyDescent="0.25">
      <c r="E18488" t="s">
        <v>17991</v>
      </c>
    </row>
    <row r="18489" spans="5:5" x14ac:dyDescent="0.25">
      <c r="E18489" t="s">
        <v>17992</v>
      </c>
    </row>
    <row r="18490" spans="5:5" x14ac:dyDescent="0.25">
      <c r="E18490" t="s">
        <v>17993</v>
      </c>
    </row>
    <row r="18491" spans="5:5" x14ac:dyDescent="0.25">
      <c r="E18491" t="s">
        <v>17994</v>
      </c>
    </row>
    <row r="18492" spans="5:5" x14ac:dyDescent="0.25">
      <c r="E18492" t="s">
        <v>17995</v>
      </c>
    </row>
    <row r="18493" spans="5:5" x14ac:dyDescent="0.25">
      <c r="E18493" t="s">
        <v>17996</v>
      </c>
    </row>
    <row r="18494" spans="5:5" x14ac:dyDescent="0.25">
      <c r="E18494" t="s">
        <v>17997</v>
      </c>
    </row>
    <row r="18495" spans="5:5" x14ac:dyDescent="0.25">
      <c r="E18495" t="s">
        <v>17998</v>
      </c>
    </row>
    <row r="18496" spans="5:5" x14ac:dyDescent="0.25">
      <c r="E18496" t="s">
        <v>17999</v>
      </c>
    </row>
    <row r="18497" spans="5:5" x14ac:dyDescent="0.25">
      <c r="E18497" t="s">
        <v>18000</v>
      </c>
    </row>
    <row r="18498" spans="5:5" x14ac:dyDescent="0.25">
      <c r="E18498" t="s">
        <v>18001</v>
      </c>
    </row>
    <row r="18499" spans="5:5" x14ac:dyDescent="0.25">
      <c r="E18499" t="s">
        <v>18002</v>
      </c>
    </row>
    <row r="18500" spans="5:5" x14ac:dyDescent="0.25">
      <c r="E18500" t="s">
        <v>18003</v>
      </c>
    </row>
    <row r="18501" spans="5:5" x14ac:dyDescent="0.25">
      <c r="E18501" t="s">
        <v>18004</v>
      </c>
    </row>
    <row r="18502" spans="5:5" x14ac:dyDescent="0.25">
      <c r="E18502" t="s">
        <v>18005</v>
      </c>
    </row>
    <row r="18503" spans="5:5" x14ac:dyDescent="0.25">
      <c r="E18503" t="s">
        <v>18006</v>
      </c>
    </row>
    <row r="18504" spans="5:5" x14ac:dyDescent="0.25">
      <c r="E18504" t="s">
        <v>18007</v>
      </c>
    </row>
    <row r="18505" spans="5:5" x14ac:dyDescent="0.25">
      <c r="E18505" t="s">
        <v>18008</v>
      </c>
    </row>
    <row r="18506" spans="5:5" x14ac:dyDescent="0.25">
      <c r="E18506" t="s">
        <v>18009</v>
      </c>
    </row>
    <row r="18507" spans="5:5" x14ac:dyDescent="0.25">
      <c r="E18507" t="s">
        <v>18010</v>
      </c>
    </row>
    <row r="18508" spans="5:5" x14ac:dyDescent="0.25">
      <c r="E18508" t="s">
        <v>18011</v>
      </c>
    </row>
    <row r="18509" spans="5:5" x14ac:dyDescent="0.25">
      <c r="E18509" t="s">
        <v>18012</v>
      </c>
    </row>
    <row r="18510" spans="5:5" x14ac:dyDescent="0.25">
      <c r="E18510" t="s">
        <v>18013</v>
      </c>
    </row>
    <row r="18511" spans="5:5" x14ac:dyDescent="0.25">
      <c r="E18511" t="s">
        <v>18014</v>
      </c>
    </row>
    <row r="18512" spans="5:5" x14ac:dyDescent="0.25">
      <c r="E18512" t="s">
        <v>18015</v>
      </c>
    </row>
    <row r="18513" spans="5:5" x14ac:dyDescent="0.25">
      <c r="E18513" t="s">
        <v>18016</v>
      </c>
    </row>
    <row r="18514" spans="5:5" x14ac:dyDescent="0.25">
      <c r="E18514" t="s">
        <v>18017</v>
      </c>
    </row>
    <row r="18515" spans="5:5" x14ac:dyDescent="0.25">
      <c r="E18515" t="s">
        <v>18018</v>
      </c>
    </row>
    <row r="18516" spans="5:5" x14ac:dyDescent="0.25">
      <c r="E18516" t="s">
        <v>18019</v>
      </c>
    </row>
    <row r="18517" spans="5:5" x14ac:dyDescent="0.25">
      <c r="E18517" t="s">
        <v>18020</v>
      </c>
    </row>
    <row r="18518" spans="5:5" x14ac:dyDescent="0.25">
      <c r="E18518" t="s">
        <v>18021</v>
      </c>
    </row>
    <row r="18519" spans="5:5" x14ac:dyDescent="0.25">
      <c r="E18519" t="s">
        <v>18022</v>
      </c>
    </row>
    <row r="18520" spans="5:5" x14ac:dyDescent="0.25">
      <c r="E18520" t="s">
        <v>18023</v>
      </c>
    </row>
    <row r="18521" spans="5:5" x14ac:dyDescent="0.25">
      <c r="E18521" t="s">
        <v>18024</v>
      </c>
    </row>
    <row r="18522" spans="5:5" x14ac:dyDescent="0.25">
      <c r="E18522" t="s">
        <v>18025</v>
      </c>
    </row>
    <row r="18523" spans="5:5" x14ac:dyDescent="0.25">
      <c r="E18523" t="s">
        <v>18026</v>
      </c>
    </row>
    <row r="18525" spans="5:5" x14ac:dyDescent="0.25">
      <c r="E18525" t="s">
        <v>18027</v>
      </c>
    </row>
    <row r="18526" spans="5:5" x14ac:dyDescent="0.25">
      <c r="E18526" t="s">
        <v>18028</v>
      </c>
    </row>
    <row r="18527" spans="5:5" x14ac:dyDescent="0.25">
      <c r="E18527" t="s">
        <v>18029</v>
      </c>
    </row>
    <row r="18528" spans="5:5" x14ac:dyDescent="0.25">
      <c r="E18528" t="s">
        <v>18030</v>
      </c>
    </row>
    <row r="18529" spans="5:5" x14ac:dyDescent="0.25">
      <c r="E18529" t="s">
        <v>18031</v>
      </c>
    </row>
    <row r="18530" spans="5:5" x14ac:dyDescent="0.25">
      <c r="E18530" t="s">
        <v>18032</v>
      </c>
    </row>
    <row r="18531" spans="5:5" x14ac:dyDescent="0.25">
      <c r="E18531" t="s">
        <v>18033</v>
      </c>
    </row>
    <row r="18532" spans="5:5" x14ac:dyDescent="0.25">
      <c r="E18532" t="s">
        <v>18034</v>
      </c>
    </row>
    <row r="18533" spans="5:5" x14ac:dyDescent="0.25">
      <c r="E18533" t="s">
        <v>18035</v>
      </c>
    </row>
    <row r="18534" spans="5:5" x14ac:dyDescent="0.25">
      <c r="E18534" t="s">
        <v>18036</v>
      </c>
    </row>
    <row r="18535" spans="5:5" x14ac:dyDescent="0.25">
      <c r="E18535" t="s">
        <v>18037</v>
      </c>
    </row>
    <row r="18536" spans="5:5" x14ac:dyDescent="0.25">
      <c r="E18536" t="s">
        <v>18038</v>
      </c>
    </row>
    <row r="18537" spans="5:5" x14ac:dyDescent="0.25">
      <c r="E18537" t="s">
        <v>18039</v>
      </c>
    </row>
    <row r="18538" spans="5:5" x14ac:dyDescent="0.25">
      <c r="E18538" t="s">
        <v>18040</v>
      </c>
    </row>
    <row r="18539" spans="5:5" x14ac:dyDescent="0.25">
      <c r="E18539" t="s">
        <v>18041</v>
      </c>
    </row>
    <row r="18540" spans="5:5" x14ac:dyDescent="0.25">
      <c r="E18540" t="s">
        <v>18042</v>
      </c>
    </row>
    <row r="18541" spans="5:5" x14ac:dyDescent="0.25">
      <c r="E18541" t="s">
        <v>18043</v>
      </c>
    </row>
    <row r="18542" spans="5:5" x14ac:dyDescent="0.25">
      <c r="E18542" t="s">
        <v>18044</v>
      </c>
    </row>
    <row r="18543" spans="5:5" x14ac:dyDescent="0.25">
      <c r="E18543" t="s">
        <v>18045</v>
      </c>
    </row>
    <row r="18544" spans="5:5" x14ac:dyDescent="0.25">
      <c r="E18544" t="s">
        <v>18046</v>
      </c>
    </row>
    <row r="18545" spans="5:5" x14ac:dyDescent="0.25">
      <c r="E18545" t="s">
        <v>18047</v>
      </c>
    </row>
    <row r="18546" spans="5:5" x14ac:dyDescent="0.25">
      <c r="E18546" t="s">
        <v>18048</v>
      </c>
    </row>
    <row r="18547" spans="5:5" x14ac:dyDescent="0.25">
      <c r="E18547" t="s">
        <v>18049</v>
      </c>
    </row>
    <row r="18548" spans="5:5" x14ac:dyDescent="0.25">
      <c r="E18548" t="s">
        <v>18050</v>
      </c>
    </row>
    <row r="18549" spans="5:5" x14ac:dyDescent="0.25">
      <c r="E18549" t="s">
        <v>18051</v>
      </c>
    </row>
    <row r="18550" spans="5:5" x14ac:dyDescent="0.25">
      <c r="E18550" t="s">
        <v>18052</v>
      </c>
    </row>
    <row r="18551" spans="5:5" x14ac:dyDescent="0.25">
      <c r="E18551" t="s">
        <v>18053</v>
      </c>
    </row>
    <row r="18552" spans="5:5" x14ac:dyDescent="0.25">
      <c r="E18552" t="s">
        <v>18054</v>
      </c>
    </row>
    <row r="18553" spans="5:5" x14ac:dyDescent="0.25">
      <c r="E18553" t="s">
        <v>18055</v>
      </c>
    </row>
    <row r="18554" spans="5:5" x14ac:dyDescent="0.25">
      <c r="E18554" t="s">
        <v>18056</v>
      </c>
    </row>
    <row r="18555" spans="5:5" x14ac:dyDescent="0.25">
      <c r="E18555" t="s">
        <v>18057</v>
      </c>
    </row>
    <row r="18556" spans="5:5" x14ac:dyDescent="0.25">
      <c r="E18556" t="s">
        <v>18058</v>
      </c>
    </row>
    <row r="18557" spans="5:5" x14ac:dyDescent="0.25">
      <c r="E18557" t="s">
        <v>18059</v>
      </c>
    </row>
    <row r="18558" spans="5:5" x14ac:dyDescent="0.25">
      <c r="E18558" t="s">
        <v>18060</v>
      </c>
    </row>
    <row r="18559" spans="5:5" x14ac:dyDescent="0.25">
      <c r="E18559" t="s">
        <v>18061</v>
      </c>
    </row>
    <row r="18560" spans="5:5" x14ac:dyDescent="0.25">
      <c r="E18560" t="s">
        <v>18062</v>
      </c>
    </row>
    <row r="18561" spans="5:5" x14ac:dyDescent="0.25">
      <c r="E18561" t="s">
        <v>18063</v>
      </c>
    </row>
    <row r="18562" spans="5:5" x14ac:dyDescent="0.25">
      <c r="E18562" t="s">
        <v>18064</v>
      </c>
    </row>
    <row r="18563" spans="5:5" x14ac:dyDescent="0.25">
      <c r="E18563" t="s">
        <v>18065</v>
      </c>
    </row>
    <row r="18564" spans="5:5" x14ac:dyDescent="0.25">
      <c r="E18564" t="s">
        <v>18066</v>
      </c>
    </row>
    <row r="18565" spans="5:5" x14ac:dyDescent="0.25">
      <c r="E18565" t="s">
        <v>18067</v>
      </c>
    </row>
    <row r="18566" spans="5:5" x14ac:dyDescent="0.25">
      <c r="E18566" t="s">
        <v>18068</v>
      </c>
    </row>
    <row r="18567" spans="5:5" x14ac:dyDescent="0.25">
      <c r="E18567" t="s">
        <v>18069</v>
      </c>
    </row>
    <row r="18568" spans="5:5" x14ac:dyDescent="0.25">
      <c r="E18568" t="s">
        <v>18070</v>
      </c>
    </row>
    <row r="18569" spans="5:5" x14ac:dyDescent="0.25">
      <c r="E18569" t="s">
        <v>18071</v>
      </c>
    </row>
    <row r="18570" spans="5:5" x14ac:dyDescent="0.25">
      <c r="E18570" t="s">
        <v>18072</v>
      </c>
    </row>
    <row r="18571" spans="5:5" x14ac:dyDescent="0.25">
      <c r="E18571" t="s">
        <v>18073</v>
      </c>
    </row>
    <row r="18572" spans="5:5" x14ac:dyDescent="0.25">
      <c r="E18572" t="s">
        <v>18074</v>
      </c>
    </row>
    <row r="18573" spans="5:5" x14ac:dyDescent="0.25">
      <c r="E18573" t="s">
        <v>18075</v>
      </c>
    </row>
    <row r="18574" spans="5:5" x14ac:dyDescent="0.25">
      <c r="E18574" t="s">
        <v>18076</v>
      </c>
    </row>
    <row r="18575" spans="5:5" x14ac:dyDescent="0.25">
      <c r="E18575" t="s">
        <v>18077</v>
      </c>
    </row>
    <row r="18576" spans="5:5" x14ac:dyDescent="0.25">
      <c r="E18576" t="s">
        <v>18078</v>
      </c>
    </row>
    <row r="18577" spans="5:5" x14ac:dyDescent="0.25">
      <c r="E18577" t="s">
        <v>18079</v>
      </c>
    </row>
    <row r="18578" spans="5:5" x14ac:dyDescent="0.25">
      <c r="E18578" t="s">
        <v>18080</v>
      </c>
    </row>
    <row r="18579" spans="5:5" x14ac:dyDescent="0.25">
      <c r="E18579" t="s">
        <v>18081</v>
      </c>
    </row>
    <row r="18580" spans="5:5" x14ac:dyDescent="0.25">
      <c r="E18580" t="s">
        <v>18082</v>
      </c>
    </row>
    <row r="18581" spans="5:5" x14ac:dyDescent="0.25">
      <c r="E18581" t="s">
        <v>18083</v>
      </c>
    </row>
    <row r="18582" spans="5:5" x14ac:dyDescent="0.25">
      <c r="E18582" t="s">
        <v>18084</v>
      </c>
    </row>
    <row r="18583" spans="5:5" x14ac:dyDescent="0.25">
      <c r="E18583" t="s">
        <v>18085</v>
      </c>
    </row>
    <row r="18584" spans="5:5" x14ac:dyDescent="0.25">
      <c r="E18584" t="s">
        <v>18086</v>
      </c>
    </row>
    <row r="18585" spans="5:5" x14ac:dyDescent="0.25">
      <c r="E18585" t="s">
        <v>18087</v>
      </c>
    </row>
    <row r="18586" spans="5:5" x14ac:dyDescent="0.25">
      <c r="E18586" t="s">
        <v>18088</v>
      </c>
    </row>
    <row r="18587" spans="5:5" x14ac:dyDescent="0.25">
      <c r="E18587" t="s">
        <v>18089</v>
      </c>
    </row>
    <row r="18588" spans="5:5" x14ac:dyDescent="0.25">
      <c r="E18588" t="s">
        <v>18090</v>
      </c>
    </row>
    <row r="18589" spans="5:5" x14ac:dyDescent="0.25">
      <c r="E18589" t="s">
        <v>18091</v>
      </c>
    </row>
    <row r="18590" spans="5:5" x14ac:dyDescent="0.25">
      <c r="E18590" t="s">
        <v>18092</v>
      </c>
    </row>
    <row r="18591" spans="5:5" x14ac:dyDescent="0.25">
      <c r="E18591" t="s">
        <v>18093</v>
      </c>
    </row>
    <row r="18592" spans="5:5" x14ac:dyDescent="0.25">
      <c r="E18592" t="s">
        <v>18094</v>
      </c>
    </row>
    <row r="18593" spans="5:5" x14ac:dyDescent="0.25">
      <c r="E18593" t="s">
        <v>18095</v>
      </c>
    </row>
    <row r="18594" spans="5:5" x14ac:dyDescent="0.25">
      <c r="E18594" t="s">
        <v>18096</v>
      </c>
    </row>
    <row r="18595" spans="5:5" x14ac:dyDescent="0.25">
      <c r="E18595" t="s">
        <v>18097</v>
      </c>
    </row>
    <row r="18596" spans="5:5" x14ac:dyDescent="0.25">
      <c r="E18596" t="s">
        <v>18098</v>
      </c>
    </row>
    <row r="18597" spans="5:5" x14ac:dyDescent="0.25">
      <c r="E18597" t="s">
        <v>18099</v>
      </c>
    </row>
    <row r="18598" spans="5:5" x14ac:dyDescent="0.25">
      <c r="E18598" t="s">
        <v>18100</v>
      </c>
    </row>
    <row r="18599" spans="5:5" x14ac:dyDescent="0.25">
      <c r="E18599" t="s">
        <v>18101</v>
      </c>
    </row>
    <row r="18600" spans="5:5" x14ac:dyDescent="0.25">
      <c r="E18600" t="s">
        <v>18102</v>
      </c>
    </row>
    <row r="18601" spans="5:5" x14ac:dyDescent="0.25">
      <c r="E18601" t="s">
        <v>18103</v>
      </c>
    </row>
    <row r="18602" spans="5:5" x14ac:dyDescent="0.25">
      <c r="E18602" t="s">
        <v>18104</v>
      </c>
    </row>
    <row r="18603" spans="5:5" x14ac:dyDescent="0.25">
      <c r="E18603" t="s">
        <v>18105</v>
      </c>
    </row>
    <row r="18604" spans="5:5" x14ac:dyDescent="0.25">
      <c r="E18604" t="s">
        <v>18106</v>
      </c>
    </row>
    <row r="18605" spans="5:5" x14ac:dyDescent="0.25">
      <c r="E18605" t="s">
        <v>18107</v>
      </c>
    </row>
    <row r="18606" spans="5:5" x14ac:dyDescent="0.25">
      <c r="E18606" t="s">
        <v>18108</v>
      </c>
    </row>
    <row r="18607" spans="5:5" x14ac:dyDescent="0.25">
      <c r="E18607" t="s">
        <v>18109</v>
      </c>
    </row>
    <row r="18608" spans="5:5" x14ac:dyDescent="0.25">
      <c r="E18608" t="s">
        <v>18110</v>
      </c>
    </row>
    <row r="18609" spans="5:5" x14ac:dyDescent="0.25">
      <c r="E18609" t="s">
        <v>18111</v>
      </c>
    </row>
    <row r="18610" spans="5:5" x14ac:dyDescent="0.25">
      <c r="E18610" t="s">
        <v>18112</v>
      </c>
    </row>
    <row r="18611" spans="5:5" x14ac:dyDescent="0.25">
      <c r="E18611" t="s">
        <v>18113</v>
      </c>
    </row>
    <row r="18612" spans="5:5" x14ac:dyDescent="0.25">
      <c r="E18612" t="s">
        <v>18114</v>
      </c>
    </row>
    <row r="18613" spans="5:5" x14ac:dyDescent="0.25">
      <c r="E18613" t="s">
        <v>18115</v>
      </c>
    </row>
    <row r="18614" spans="5:5" x14ac:dyDescent="0.25">
      <c r="E18614" t="s">
        <v>18116</v>
      </c>
    </row>
    <row r="18615" spans="5:5" x14ac:dyDescent="0.25">
      <c r="E18615" t="s">
        <v>18117</v>
      </c>
    </row>
    <row r="18616" spans="5:5" x14ac:dyDescent="0.25">
      <c r="E18616" t="s">
        <v>18118</v>
      </c>
    </row>
    <row r="18617" spans="5:5" x14ac:dyDescent="0.25">
      <c r="E18617" t="s">
        <v>18119</v>
      </c>
    </row>
    <row r="18618" spans="5:5" x14ac:dyDescent="0.25">
      <c r="E18618" t="s">
        <v>18120</v>
      </c>
    </row>
    <row r="18619" spans="5:5" x14ac:dyDescent="0.25">
      <c r="E18619" t="s">
        <v>18121</v>
      </c>
    </row>
    <row r="18620" spans="5:5" x14ac:dyDescent="0.25">
      <c r="E18620" t="s">
        <v>18122</v>
      </c>
    </row>
    <row r="18621" spans="5:5" x14ac:dyDescent="0.25">
      <c r="E18621" t="s">
        <v>18123</v>
      </c>
    </row>
    <row r="18622" spans="5:5" x14ac:dyDescent="0.25">
      <c r="E18622" t="s">
        <v>18124</v>
      </c>
    </row>
    <row r="18623" spans="5:5" x14ac:dyDescent="0.25">
      <c r="E18623" t="s">
        <v>18125</v>
      </c>
    </row>
    <row r="18624" spans="5:5" x14ac:dyDescent="0.25">
      <c r="E18624" t="s">
        <v>18126</v>
      </c>
    </row>
    <row r="18625" spans="5:5" x14ac:dyDescent="0.25">
      <c r="E18625" t="s">
        <v>18127</v>
      </c>
    </row>
    <row r="18626" spans="5:5" x14ac:dyDescent="0.25">
      <c r="E18626" t="s">
        <v>18128</v>
      </c>
    </row>
    <row r="18627" spans="5:5" x14ac:dyDescent="0.25">
      <c r="E18627" t="s">
        <v>18129</v>
      </c>
    </row>
    <row r="18628" spans="5:5" x14ac:dyDescent="0.25">
      <c r="E18628" t="s">
        <v>18130</v>
      </c>
    </row>
    <row r="18629" spans="5:5" x14ac:dyDescent="0.25">
      <c r="E18629" t="s">
        <v>18131</v>
      </c>
    </row>
    <row r="18630" spans="5:5" x14ac:dyDescent="0.25">
      <c r="E18630" t="s">
        <v>18132</v>
      </c>
    </row>
    <row r="18631" spans="5:5" x14ac:dyDescent="0.25">
      <c r="E18631" t="s">
        <v>18133</v>
      </c>
    </row>
    <row r="18632" spans="5:5" x14ac:dyDescent="0.25">
      <c r="E18632" t="s">
        <v>18134</v>
      </c>
    </row>
    <row r="18633" spans="5:5" x14ac:dyDescent="0.25">
      <c r="E18633" t="s">
        <v>18135</v>
      </c>
    </row>
    <row r="18634" spans="5:5" x14ac:dyDescent="0.25">
      <c r="E18634" t="s">
        <v>18136</v>
      </c>
    </row>
    <row r="18635" spans="5:5" x14ac:dyDescent="0.25">
      <c r="E18635" t="s">
        <v>18137</v>
      </c>
    </row>
    <row r="18636" spans="5:5" x14ac:dyDescent="0.25">
      <c r="E18636" t="s">
        <v>18138</v>
      </c>
    </row>
    <row r="18637" spans="5:5" x14ac:dyDescent="0.25">
      <c r="E18637" t="s">
        <v>18139</v>
      </c>
    </row>
    <row r="18638" spans="5:5" x14ac:dyDescent="0.25">
      <c r="E18638" t="s">
        <v>18140</v>
      </c>
    </row>
    <row r="18639" spans="5:5" x14ac:dyDescent="0.25">
      <c r="E18639" t="s">
        <v>18141</v>
      </c>
    </row>
    <row r="18640" spans="5:5" x14ac:dyDescent="0.25">
      <c r="E18640" t="s">
        <v>18142</v>
      </c>
    </row>
    <row r="18641" spans="5:5" x14ac:dyDescent="0.25">
      <c r="E18641" t="s">
        <v>18143</v>
      </c>
    </row>
    <row r="18642" spans="5:5" x14ac:dyDescent="0.25">
      <c r="E18642" t="s">
        <v>18144</v>
      </c>
    </row>
    <row r="18643" spans="5:5" x14ac:dyDescent="0.25">
      <c r="E18643" t="s">
        <v>18145</v>
      </c>
    </row>
    <row r="18644" spans="5:5" x14ac:dyDescent="0.25">
      <c r="E18644" t="s">
        <v>18146</v>
      </c>
    </row>
    <row r="18645" spans="5:5" x14ac:dyDescent="0.25">
      <c r="E18645" t="s">
        <v>18147</v>
      </c>
    </row>
    <row r="18646" spans="5:5" x14ac:dyDescent="0.25">
      <c r="E18646" t="s">
        <v>18148</v>
      </c>
    </row>
    <row r="18647" spans="5:5" x14ac:dyDescent="0.25">
      <c r="E18647" t="s">
        <v>18149</v>
      </c>
    </row>
    <row r="18648" spans="5:5" x14ac:dyDescent="0.25">
      <c r="E18648" t="s">
        <v>18150</v>
      </c>
    </row>
    <row r="18649" spans="5:5" x14ac:dyDescent="0.25">
      <c r="E18649" t="s">
        <v>18151</v>
      </c>
    </row>
    <row r="18650" spans="5:5" x14ac:dyDescent="0.25">
      <c r="E18650" t="s">
        <v>18152</v>
      </c>
    </row>
    <row r="18651" spans="5:5" x14ac:dyDescent="0.25">
      <c r="E18651" t="s">
        <v>18153</v>
      </c>
    </row>
    <row r="18652" spans="5:5" x14ac:dyDescent="0.25">
      <c r="E18652" t="s">
        <v>18154</v>
      </c>
    </row>
    <row r="18653" spans="5:5" x14ac:dyDescent="0.25">
      <c r="E18653" t="s">
        <v>18155</v>
      </c>
    </row>
    <row r="18654" spans="5:5" x14ac:dyDescent="0.25">
      <c r="E18654" t="s">
        <v>18156</v>
      </c>
    </row>
    <row r="18655" spans="5:5" x14ac:dyDescent="0.25">
      <c r="E18655" t="s">
        <v>18157</v>
      </c>
    </row>
    <row r="18656" spans="5:5" x14ac:dyDescent="0.25">
      <c r="E18656" t="s">
        <v>18158</v>
      </c>
    </row>
    <row r="18657" spans="5:5" x14ac:dyDescent="0.25">
      <c r="E18657" t="s">
        <v>18159</v>
      </c>
    </row>
    <row r="18658" spans="5:5" x14ac:dyDescent="0.25">
      <c r="E18658" t="s">
        <v>18160</v>
      </c>
    </row>
    <row r="18659" spans="5:5" x14ac:dyDescent="0.25">
      <c r="E18659" t="s">
        <v>18161</v>
      </c>
    </row>
    <row r="18660" spans="5:5" x14ac:dyDescent="0.25">
      <c r="E18660" t="s">
        <v>18162</v>
      </c>
    </row>
    <row r="18661" spans="5:5" x14ac:dyDescent="0.25">
      <c r="E18661" t="s">
        <v>18163</v>
      </c>
    </row>
    <row r="18662" spans="5:5" x14ac:dyDescent="0.25">
      <c r="E18662" t="s">
        <v>18164</v>
      </c>
    </row>
    <row r="18663" spans="5:5" x14ac:dyDescent="0.25">
      <c r="E18663" t="s">
        <v>18165</v>
      </c>
    </row>
    <row r="18664" spans="5:5" x14ac:dyDescent="0.25">
      <c r="E18664" t="s">
        <v>18166</v>
      </c>
    </row>
    <row r="18665" spans="5:5" x14ac:dyDescent="0.25">
      <c r="E18665" t="s">
        <v>18167</v>
      </c>
    </row>
    <row r="18666" spans="5:5" x14ac:dyDescent="0.25">
      <c r="E18666" t="s">
        <v>18168</v>
      </c>
    </row>
    <row r="18667" spans="5:5" x14ac:dyDescent="0.25">
      <c r="E18667" t="s">
        <v>18169</v>
      </c>
    </row>
    <row r="18668" spans="5:5" x14ac:dyDescent="0.25">
      <c r="E18668" t="s">
        <v>18170</v>
      </c>
    </row>
    <row r="18669" spans="5:5" x14ac:dyDescent="0.25">
      <c r="E18669" t="s">
        <v>18171</v>
      </c>
    </row>
    <row r="18670" spans="5:5" x14ac:dyDescent="0.25">
      <c r="E18670" t="s">
        <v>18172</v>
      </c>
    </row>
    <row r="18671" spans="5:5" x14ac:dyDescent="0.25">
      <c r="E18671" t="s">
        <v>18173</v>
      </c>
    </row>
    <row r="18672" spans="5:5" x14ac:dyDescent="0.25">
      <c r="E18672" t="s">
        <v>18174</v>
      </c>
    </row>
    <row r="18673" spans="5:5" x14ac:dyDescent="0.25">
      <c r="E18673" t="s">
        <v>18175</v>
      </c>
    </row>
    <row r="18674" spans="5:5" x14ac:dyDescent="0.25">
      <c r="E18674" t="s">
        <v>18176</v>
      </c>
    </row>
    <row r="18675" spans="5:5" x14ac:dyDescent="0.25">
      <c r="E18675" t="s">
        <v>18177</v>
      </c>
    </row>
    <row r="18676" spans="5:5" x14ac:dyDescent="0.25">
      <c r="E18676" t="s">
        <v>18178</v>
      </c>
    </row>
    <row r="18677" spans="5:5" x14ac:dyDescent="0.25">
      <c r="E18677" t="s">
        <v>18179</v>
      </c>
    </row>
    <row r="18678" spans="5:5" x14ac:dyDescent="0.25">
      <c r="E18678" t="s">
        <v>18180</v>
      </c>
    </row>
    <row r="18679" spans="5:5" x14ac:dyDescent="0.25">
      <c r="E18679" t="s">
        <v>18181</v>
      </c>
    </row>
    <row r="18680" spans="5:5" x14ac:dyDescent="0.25">
      <c r="E18680" t="s">
        <v>18182</v>
      </c>
    </row>
    <row r="18681" spans="5:5" x14ac:dyDescent="0.25">
      <c r="E18681" t="s">
        <v>18183</v>
      </c>
    </row>
    <row r="18682" spans="5:5" x14ac:dyDescent="0.25">
      <c r="E18682" t="s">
        <v>18184</v>
      </c>
    </row>
    <row r="18683" spans="5:5" x14ac:dyDescent="0.25">
      <c r="E18683" t="s">
        <v>18185</v>
      </c>
    </row>
    <row r="18684" spans="5:5" x14ac:dyDescent="0.25">
      <c r="E18684" t="s">
        <v>18186</v>
      </c>
    </row>
    <row r="18685" spans="5:5" x14ac:dyDescent="0.25">
      <c r="E18685" t="s">
        <v>18187</v>
      </c>
    </row>
    <row r="18686" spans="5:5" x14ac:dyDescent="0.25">
      <c r="E18686" t="s">
        <v>18188</v>
      </c>
    </row>
    <row r="18687" spans="5:5" x14ac:dyDescent="0.25">
      <c r="E18687" t="s">
        <v>18189</v>
      </c>
    </row>
    <row r="18688" spans="5:5" x14ac:dyDescent="0.25">
      <c r="E18688" t="s">
        <v>18190</v>
      </c>
    </row>
    <row r="18689" spans="5:5" x14ac:dyDescent="0.25">
      <c r="E18689" t="s">
        <v>18191</v>
      </c>
    </row>
    <row r="18690" spans="5:5" x14ac:dyDescent="0.25">
      <c r="E18690" t="s">
        <v>18192</v>
      </c>
    </row>
    <row r="18691" spans="5:5" x14ac:dyDescent="0.25">
      <c r="E18691" t="s">
        <v>18193</v>
      </c>
    </row>
    <row r="18692" spans="5:5" x14ac:dyDescent="0.25">
      <c r="E18692" t="s">
        <v>18194</v>
      </c>
    </row>
    <row r="18693" spans="5:5" x14ac:dyDescent="0.25">
      <c r="E18693" t="s">
        <v>18195</v>
      </c>
    </row>
    <row r="18694" spans="5:5" x14ac:dyDescent="0.25">
      <c r="E18694" t="s">
        <v>18196</v>
      </c>
    </row>
    <row r="18695" spans="5:5" x14ac:dyDescent="0.25">
      <c r="E18695" t="s">
        <v>18197</v>
      </c>
    </row>
    <row r="18696" spans="5:5" x14ac:dyDescent="0.25">
      <c r="E18696" t="s">
        <v>18198</v>
      </c>
    </row>
    <row r="18697" spans="5:5" x14ac:dyDescent="0.25">
      <c r="E18697" t="s">
        <v>18199</v>
      </c>
    </row>
    <row r="18698" spans="5:5" x14ac:dyDescent="0.25">
      <c r="E18698" t="s">
        <v>18200</v>
      </c>
    </row>
    <row r="18699" spans="5:5" x14ac:dyDescent="0.25">
      <c r="E18699" t="s">
        <v>18201</v>
      </c>
    </row>
    <row r="18700" spans="5:5" x14ac:dyDescent="0.25">
      <c r="E18700" t="s">
        <v>18202</v>
      </c>
    </row>
    <row r="18701" spans="5:5" x14ac:dyDescent="0.25">
      <c r="E18701" t="s">
        <v>18203</v>
      </c>
    </row>
    <row r="18702" spans="5:5" x14ac:dyDescent="0.25">
      <c r="E18702" t="s">
        <v>18204</v>
      </c>
    </row>
    <row r="18703" spans="5:5" x14ac:dyDescent="0.25">
      <c r="E18703" t="s">
        <v>18205</v>
      </c>
    </row>
    <row r="18704" spans="5:5" x14ac:dyDescent="0.25">
      <c r="E18704" t="s">
        <v>18206</v>
      </c>
    </row>
    <row r="18705" spans="5:5" x14ac:dyDescent="0.25">
      <c r="E18705" t="s">
        <v>18207</v>
      </c>
    </row>
    <row r="18706" spans="5:5" x14ac:dyDescent="0.25">
      <c r="E18706" t="s">
        <v>18208</v>
      </c>
    </row>
    <row r="18707" spans="5:5" x14ac:dyDescent="0.25">
      <c r="E18707" t="s">
        <v>18209</v>
      </c>
    </row>
    <row r="18708" spans="5:5" x14ac:dyDescent="0.25">
      <c r="E18708" t="s">
        <v>18210</v>
      </c>
    </row>
    <row r="18709" spans="5:5" x14ac:dyDescent="0.25">
      <c r="E18709" t="s">
        <v>18211</v>
      </c>
    </row>
    <row r="18710" spans="5:5" x14ac:dyDescent="0.25">
      <c r="E18710" t="s">
        <v>18212</v>
      </c>
    </row>
    <row r="18711" spans="5:5" x14ac:dyDescent="0.25">
      <c r="E18711" t="s">
        <v>18213</v>
      </c>
    </row>
    <row r="18712" spans="5:5" x14ac:dyDescent="0.25">
      <c r="E18712" t="s">
        <v>18214</v>
      </c>
    </row>
    <row r="18713" spans="5:5" x14ac:dyDescent="0.25">
      <c r="E18713" t="s">
        <v>18215</v>
      </c>
    </row>
    <row r="18714" spans="5:5" x14ac:dyDescent="0.25">
      <c r="E18714" t="s">
        <v>18216</v>
      </c>
    </row>
    <row r="18715" spans="5:5" x14ac:dyDescent="0.25">
      <c r="E18715" t="s">
        <v>18217</v>
      </c>
    </row>
    <row r="18716" spans="5:5" x14ac:dyDescent="0.25">
      <c r="E18716" t="s">
        <v>18218</v>
      </c>
    </row>
    <row r="18717" spans="5:5" x14ac:dyDescent="0.25">
      <c r="E18717" t="s">
        <v>18219</v>
      </c>
    </row>
    <row r="18718" spans="5:5" x14ac:dyDescent="0.25">
      <c r="E18718" t="s">
        <v>18220</v>
      </c>
    </row>
    <row r="18719" spans="5:5" x14ac:dyDescent="0.25">
      <c r="E18719" t="s">
        <v>18221</v>
      </c>
    </row>
    <row r="18720" spans="5:5" x14ac:dyDescent="0.25">
      <c r="E18720" t="s">
        <v>18222</v>
      </c>
    </row>
    <row r="18721" spans="5:5" x14ac:dyDescent="0.25">
      <c r="E18721" t="s">
        <v>18223</v>
      </c>
    </row>
    <row r="18722" spans="5:5" x14ac:dyDescent="0.25">
      <c r="E18722" t="s">
        <v>18224</v>
      </c>
    </row>
    <row r="18723" spans="5:5" x14ac:dyDescent="0.25">
      <c r="E18723" t="s">
        <v>18225</v>
      </c>
    </row>
    <row r="18724" spans="5:5" x14ac:dyDescent="0.25">
      <c r="E18724" t="s">
        <v>18226</v>
      </c>
    </row>
    <row r="18725" spans="5:5" x14ac:dyDescent="0.25">
      <c r="E18725" t="s">
        <v>18227</v>
      </c>
    </row>
    <row r="18726" spans="5:5" x14ac:dyDescent="0.25">
      <c r="E18726" t="s">
        <v>18228</v>
      </c>
    </row>
    <row r="18727" spans="5:5" x14ac:dyDescent="0.25">
      <c r="E18727" t="s">
        <v>18229</v>
      </c>
    </row>
    <row r="18728" spans="5:5" x14ac:dyDescent="0.25">
      <c r="E18728" t="s">
        <v>18230</v>
      </c>
    </row>
    <row r="18729" spans="5:5" x14ac:dyDescent="0.25">
      <c r="E18729" t="s">
        <v>18231</v>
      </c>
    </row>
    <row r="18730" spans="5:5" x14ac:dyDescent="0.25">
      <c r="E18730" t="s">
        <v>18232</v>
      </c>
    </row>
    <row r="18731" spans="5:5" x14ac:dyDescent="0.25">
      <c r="E18731" t="s">
        <v>18233</v>
      </c>
    </row>
    <row r="18732" spans="5:5" x14ac:dyDescent="0.25">
      <c r="E18732" t="s">
        <v>18234</v>
      </c>
    </row>
    <row r="18733" spans="5:5" x14ac:dyDescent="0.25">
      <c r="E18733" t="s">
        <v>18235</v>
      </c>
    </row>
    <row r="18734" spans="5:5" x14ac:dyDescent="0.25">
      <c r="E18734" t="s">
        <v>18236</v>
      </c>
    </row>
    <row r="18735" spans="5:5" x14ac:dyDescent="0.25">
      <c r="E18735" t="s">
        <v>18237</v>
      </c>
    </row>
    <row r="18736" spans="5:5" x14ac:dyDescent="0.25">
      <c r="E18736" t="s">
        <v>18238</v>
      </c>
    </row>
    <row r="18737" spans="5:5" x14ac:dyDescent="0.25">
      <c r="E18737" t="s">
        <v>18239</v>
      </c>
    </row>
    <row r="18738" spans="5:5" x14ac:dyDescent="0.25">
      <c r="E18738" t="s">
        <v>18240</v>
      </c>
    </row>
    <row r="18739" spans="5:5" x14ac:dyDescent="0.25">
      <c r="E18739" t="s">
        <v>18241</v>
      </c>
    </row>
    <row r="18740" spans="5:5" x14ac:dyDescent="0.25">
      <c r="E18740" t="s">
        <v>18242</v>
      </c>
    </row>
    <row r="18741" spans="5:5" x14ac:dyDescent="0.25">
      <c r="E18741" t="s">
        <v>18243</v>
      </c>
    </row>
    <row r="18742" spans="5:5" x14ac:dyDescent="0.25">
      <c r="E18742" t="s">
        <v>18244</v>
      </c>
    </row>
    <row r="18743" spans="5:5" x14ac:dyDescent="0.25">
      <c r="E18743" t="s">
        <v>18245</v>
      </c>
    </row>
    <row r="18744" spans="5:5" x14ac:dyDescent="0.25">
      <c r="E18744" t="s">
        <v>18246</v>
      </c>
    </row>
    <row r="18745" spans="5:5" x14ac:dyDescent="0.25">
      <c r="E18745" t="s">
        <v>18247</v>
      </c>
    </row>
    <row r="18746" spans="5:5" x14ac:dyDescent="0.25">
      <c r="E18746" t="s">
        <v>18248</v>
      </c>
    </row>
    <row r="18747" spans="5:5" x14ac:dyDescent="0.25">
      <c r="E18747" t="s">
        <v>18249</v>
      </c>
    </row>
    <row r="18748" spans="5:5" x14ac:dyDescent="0.25">
      <c r="E18748" t="s">
        <v>18250</v>
      </c>
    </row>
    <row r="18749" spans="5:5" x14ac:dyDescent="0.25">
      <c r="E18749" t="s">
        <v>18251</v>
      </c>
    </row>
    <row r="18750" spans="5:5" x14ac:dyDescent="0.25">
      <c r="E18750" t="s">
        <v>18252</v>
      </c>
    </row>
    <row r="18751" spans="5:5" x14ac:dyDescent="0.25">
      <c r="E18751" t="s">
        <v>18253</v>
      </c>
    </row>
    <row r="18752" spans="5:5" x14ac:dyDescent="0.25">
      <c r="E18752" t="s">
        <v>18254</v>
      </c>
    </row>
    <row r="18753" spans="5:5" x14ac:dyDescent="0.25">
      <c r="E18753" t="s">
        <v>18255</v>
      </c>
    </row>
    <row r="18754" spans="5:5" x14ac:dyDescent="0.25">
      <c r="E18754" t="s">
        <v>18256</v>
      </c>
    </row>
    <row r="18755" spans="5:5" x14ac:dyDescent="0.25">
      <c r="E18755" t="s">
        <v>18257</v>
      </c>
    </row>
    <row r="18756" spans="5:5" x14ac:dyDescent="0.25">
      <c r="E18756" t="s">
        <v>18258</v>
      </c>
    </row>
    <row r="18757" spans="5:5" x14ac:dyDescent="0.25">
      <c r="E18757" t="s">
        <v>18259</v>
      </c>
    </row>
    <row r="18758" spans="5:5" x14ac:dyDescent="0.25">
      <c r="E18758" t="s">
        <v>18260</v>
      </c>
    </row>
    <row r="18759" spans="5:5" x14ac:dyDescent="0.25">
      <c r="E18759" t="s">
        <v>18261</v>
      </c>
    </row>
    <row r="18760" spans="5:5" x14ac:dyDescent="0.25">
      <c r="E18760" t="s">
        <v>18262</v>
      </c>
    </row>
    <row r="18761" spans="5:5" x14ac:dyDescent="0.25">
      <c r="E18761" t="s">
        <v>18263</v>
      </c>
    </row>
    <row r="18762" spans="5:5" x14ac:dyDescent="0.25">
      <c r="E18762" t="s">
        <v>18264</v>
      </c>
    </row>
    <row r="18763" spans="5:5" x14ac:dyDescent="0.25">
      <c r="E18763" t="s">
        <v>18265</v>
      </c>
    </row>
    <row r="18764" spans="5:5" x14ac:dyDescent="0.25">
      <c r="E18764" t="s">
        <v>18266</v>
      </c>
    </row>
    <row r="18765" spans="5:5" x14ac:dyDescent="0.25">
      <c r="E18765" t="s">
        <v>18267</v>
      </c>
    </row>
    <row r="18766" spans="5:5" x14ac:dyDescent="0.25">
      <c r="E18766" t="s">
        <v>18268</v>
      </c>
    </row>
    <row r="18767" spans="5:5" x14ac:dyDescent="0.25">
      <c r="E18767" t="s">
        <v>18269</v>
      </c>
    </row>
    <row r="18768" spans="5:5" x14ac:dyDescent="0.25">
      <c r="E18768" t="s">
        <v>18270</v>
      </c>
    </row>
    <row r="18769" spans="5:5" x14ac:dyDescent="0.25">
      <c r="E18769" t="s">
        <v>18271</v>
      </c>
    </row>
    <row r="18770" spans="5:5" x14ac:dyDescent="0.25">
      <c r="E18770" t="s">
        <v>18272</v>
      </c>
    </row>
    <row r="18771" spans="5:5" x14ac:dyDescent="0.25">
      <c r="E18771" t="s">
        <v>18273</v>
      </c>
    </row>
    <row r="18772" spans="5:5" x14ac:dyDescent="0.25">
      <c r="E18772" t="s">
        <v>18274</v>
      </c>
    </row>
    <row r="18773" spans="5:5" x14ac:dyDescent="0.25">
      <c r="E18773" t="s">
        <v>18275</v>
      </c>
    </row>
    <row r="18774" spans="5:5" x14ac:dyDescent="0.25">
      <c r="E18774" t="s">
        <v>18276</v>
      </c>
    </row>
    <row r="18775" spans="5:5" x14ac:dyDescent="0.25">
      <c r="E18775" t="s">
        <v>18277</v>
      </c>
    </row>
    <row r="18776" spans="5:5" x14ac:dyDescent="0.25">
      <c r="E18776" t="s">
        <v>18278</v>
      </c>
    </row>
    <row r="18777" spans="5:5" x14ac:dyDescent="0.25">
      <c r="E18777" t="s">
        <v>18279</v>
      </c>
    </row>
    <row r="18778" spans="5:5" x14ac:dyDescent="0.25">
      <c r="E18778" t="s">
        <v>18280</v>
      </c>
    </row>
    <row r="18779" spans="5:5" x14ac:dyDescent="0.25">
      <c r="E18779" t="s">
        <v>18281</v>
      </c>
    </row>
    <row r="18780" spans="5:5" x14ac:dyDescent="0.25">
      <c r="E18780" t="s">
        <v>18282</v>
      </c>
    </row>
    <row r="18781" spans="5:5" x14ac:dyDescent="0.25">
      <c r="E18781" t="s">
        <v>18283</v>
      </c>
    </row>
    <row r="18782" spans="5:5" x14ac:dyDescent="0.25">
      <c r="E18782" t="s">
        <v>18284</v>
      </c>
    </row>
    <row r="18783" spans="5:5" x14ac:dyDescent="0.25">
      <c r="E18783" t="s">
        <v>18285</v>
      </c>
    </row>
    <row r="18784" spans="5:5" x14ac:dyDescent="0.25">
      <c r="E18784" t="s">
        <v>18286</v>
      </c>
    </row>
    <row r="18785" spans="5:5" x14ac:dyDescent="0.25">
      <c r="E18785" t="s">
        <v>18287</v>
      </c>
    </row>
    <row r="18786" spans="5:5" x14ac:dyDescent="0.25">
      <c r="E18786" t="s">
        <v>18288</v>
      </c>
    </row>
    <row r="18787" spans="5:5" x14ac:dyDescent="0.25">
      <c r="E18787" t="s">
        <v>18289</v>
      </c>
    </row>
    <row r="18788" spans="5:5" x14ac:dyDescent="0.25">
      <c r="E18788" t="s">
        <v>18290</v>
      </c>
    </row>
    <row r="18789" spans="5:5" x14ac:dyDescent="0.25">
      <c r="E18789" t="s">
        <v>18291</v>
      </c>
    </row>
    <row r="18790" spans="5:5" x14ac:dyDescent="0.25">
      <c r="E18790" t="s">
        <v>18292</v>
      </c>
    </row>
    <row r="18791" spans="5:5" x14ac:dyDescent="0.25">
      <c r="E18791" t="s">
        <v>18293</v>
      </c>
    </row>
    <row r="18792" spans="5:5" x14ac:dyDescent="0.25">
      <c r="E18792" t="s">
        <v>18294</v>
      </c>
    </row>
    <row r="18793" spans="5:5" x14ac:dyDescent="0.25">
      <c r="E18793" t="s">
        <v>18295</v>
      </c>
    </row>
    <row r="18794" spans="5:5" x14ac:dyDescent="0.25">
      <c r="E18794" t="s">
        <v>18296</v>
      </c>
    </row>
    <row r="18795" spans="5:5" x14ac:dyDescent="0.25">
      <c r="E18795" t="s">
        <v>18297</v>
      </c>
    </row>
    <row r="18796" spans="5:5" x14ac:dyDescent="0.25">
      <c r="E18796" t="s">
        <v>18298</v>
      </c>
    </row>
    <row r="18797" spans="5:5" x14ac:dyDescent="0.25">
      <c r="E18797" t="s">
        <v>18299</v>
      </c>
    </row>
    <row r="18798" spans="5:5" x14ac:dyDescent="0.25">
      <c r="E18798" t="s">
        <v>18300</v>
      </c>
    </row>
    <row r="18799" spans="5:5" x14ac:dyDescent="0.25">
      <c r="E18799" t="s">
        <v>18301</v>
      </c>
    </row>
    <row r="18800" spans="5:5" x14ac:dyDescent="0.25">
      <c r="E18800" t="s">
        <v>18302</v>
      </c>
    </row>
    <row r="18801" spans="5:5" x14ac:dyDescent="0.25">
      <c r="E18801" t="s">
        <v>18303</v>
      </c>
    </row>
    <row r="18802" spans="5:5" x14ac:dyDescent="0.25">
      <c r="E18802" t="s">
        <v>18304</v>
      </c>
    </row>
    <row r="18803" spans="5:5" x14ac:dyDescent="0.25">
      <c r="E18803" t="s">
        <v>18305</v>
      </c>
    </row>
    <row r="18804" spans="5:5" x14ac:dyDescent="0.25">
      <c r="E18804" t="s">
        <v>18306</v>
      </c>
    </row>
    <row r="18805" spans="5:5" x14ac:dyDescent="0.25">
      <c r="E18805" t="s">
        <v>18307</v>
      </c>
    </row>
    <row r="18806" spans="5:5" x14ac:dyDescent="0.25">
      <c r="E18806" t="s">
        <v>18308</v>
      </c>
    </row>
    <row r="18807" spans="5:5" x14ac:dyDescent="0.25">
      <c r="E18807" t="s">
        <v>18309</v>
      </c>
    </row>
    <row r="18808" spans="5:5" x14ac:dyDescent="0.25">
      <c r="E18808" t="s">
        <v>18310</v>
      </c>
    </row>
    <row r="18809" spans="5:5" x14ac:dyDescent="0.25">
      <c r="E18809" t="s">
        <v>18311</v>
      </c>
    </row>
    <row r="18810" spans="5:5" x14ac:dyDescent="0.25">
      <c r="E18810" t="s">
        <v>18312</v>
      </c>
    </row>
    <row r="18813" spans="5:5" x14ac:dyDescent="0.25">
      <c r="E18813" t="s">
        <v>18313</v>
      </c>
    </row>
    <row r="18814" spans="5:5" x14ac:dyDescent="0.25">
      <c r="E18814" t="s">
        <v>18314</v>
      </c>
    </row>
    <row r="18815" spans="5:5" x14ac:dyDescent="0.25">
      <c r="E18815" t="s">
        <v>18315</v>
      </c>
    </row>
    <row r="18816" spans="5:5" x14ac:dyDescent="0.25">
      <c r="E18816" t="s">
        <v>18316</v>
      </c>
    </row>
    <row r="18817" spans="5:5" x14ac:dyDescent="0.25">
      <c r="E18817" t="s">
        <v>18317</v>
      </c>
    </row>
    <row r="18818" spans="5:5" x14ac:dyDescent="0.25">
      <c r="E18818" t="s">
        <v>18318</v>
      </c>
    </row>
    <row r="18819" spans="5:5" x14ac:dyDescent="0.25">
      <c r="E18819" t="s">
        <v>18319</v>
      </c>
    </row>
    <row r="18820" spans="5:5" x14ac:dyDescent="0.25">
      <c r="E18820" t="s">
        <v>18320</v>
      </c>
    </row>
    <row r="18826" spans="5:5" x14ac:dyDescent="0.25">
      <c r="E18826" t="s">
        <v>18321</v>
      </c>
    </row>
    <row r="18827" spans="5:5" x14ac:dyDescent="0.25">
      <c r="E18827" t="s">
        <v>18322</v>
      </c>
    </row>
    <row r="18828" spans="5:5" x14ac:dyDescent="0.25">
      <c r="E18828" t="s">
        <v>18323</v>
      </c>
    </row>
    <row r="18829" spans="5:5" x14ac:dyDescent="0.25">
      <c r="E18829" t="s">
        <v>18324</v>
      </c>
    </row>
    <row r="18830" spans="5:5" x14ac:dyDescent="0.25">
      <c r="E18830" t="s">
        <v>18325</v>
      </c>
    </row>
    <row r="18831" spans="5:5" x14ac:dyDescent="0.25">
      <c r="E18831" t="s">
        <v>18326</v>
      </c>
    </row>
    <row r="18832" spans="5:5" x14ac:dyDescent="0.25">
      <c r="E18832" t="s">
        <v>18327</v>
      </c>
    </row>
    <row r="18833" spans="5:5" x14ac:dyDescent="0.25">
      <c r="E18833" t="s">
        <v>18328</v>
      </c>
    </row>
    <row r="18834" spans="5:5" x14ac:dyDescent="0.25">
      <c r="E18834" t="s">
        <v>18329</v>
      </c>
    </row>
    <row r="18835" spans="5:5" x14ac:dyDescent="0.25">
      <c r="E18835" t="s">
        <v>18330</v>
      </c>
    </row>
    <row r="18836" spans="5:5" x14ac:dyDescent="0.25">
      <c r="E18836" t="s">
        <v>18331</v>
      </c>
    </row>
    <row r="18837" spans="5:5" x14ac:dyDescent="0.25">
      <c r="E18837" t="s">
        <v>18332</v>
      </c>
    </row>
    <row r="18838" spans="5:5" x14ac:dyDescent="0.25">
      <c r="E18838" t="s">
        <v>18333</v>
      </c>
    </row>
    <row r="18839" spans="5:5" x14ac:dyDescent="0.25">
      <c r="E18839" t="s">
        <v>18334</v>
      </c>
    </row>
    <row r="18840" spans="5:5" x14ac:dyDescent="0.25">
      <c r="E18840" t="s">
        <v>18335</v>
      </c>
    </row>
    <row r="18841" spans="5:5" x14ac:dyDescent="0.25">
      <c r="E18841" t="s">
        <v>18336</v>
      </c>
    </row>
    <row r="18842" spans="5:5" x14ac:dyDescent="0.25">
      <c r="E18842" t="s">
        <v>18337</v>
      </c>
    </row>
    <row r="18843" spans="5:5" x14ac:dyDescent="0.25">
      <c r="E18843" t="s">
        <v>18338</v>
      </c>
    </row>
    <row r="18844" spans="5:5" x14ac:dyDescent="0.25">
      <c r="E18844" t="s">
        <v>18339</v>
      </c>
    </row>
    <row r="18845" spans="5:5" x14ac:dyDescent="0.25">
      <c r="E18845" t="s">
        <v>18340</v>
      </c>
    </row>
    <row r="18846" spans="5:5" x14ac:dyDescent="0.25">
      <c r="E18846" t="s">
        <v>18341</v>
      </c>
    </row>
    <row r="18847" spans="5:5" x14ac:dyDescent="0.25">
      <c r="E18847" t="s">
        <v>18342</v>
      </c>
    </row>
    <row r="18848" spans="5:5" x14ac:dyDescent="0.25">
      <c r="E18848" t="s">
        <v>18343</v>
      </c>
    </row>
    <row r="18849" spans="5:5" x14ac:dyDescent="0.25">
      <c r="E18849" t="s">
        <v>18344</v>
      </c>
    </row>
    <row r="18850" spans="5:5" x14ac:dyDescent="0.25">
      <c r="E18850" t="s">
        <v>18345</v>
      </c>
    </row>
    <row r="18851" spans="5:5" x14ac:dyDescent="0.25">
      <c r="E18851" t="s">
        <v>18346</v>
      </c>
    </row>
    <row r="18852" spans="5:5" x14ac:dyDescent="0.25">
      <c r="E18852" t="s">
        <v>18347</v>
      </c>
    </row>
    <row r="18853" spans="5:5" x14ac:dyDescent="0.25">
      <c r="E18853" t="s">
        <v>18348</v>
      </c>
    </row>
    <row r="18854" spans="5:5" x14ac:dyDescent="0.25">
      <c r="E18854" t="s">
        <v>18349</v>
      </c>
    </row>
    <row r="18855" spans="5:5" x14ac:dyDescent="0.25">
      <c r="E18855" t="s">
        <v>18350</v>
      </c>
    </row>
    <row r="18856" spans="5:5" x14ac:dyDescent="0.25">
      <c r="E18856" t="s">
        <v>18351</v>
      </c>
    </row>
    <row r="18857" spans="5:5" x14ac:dyDescent="0.25">
      <c r="E18857" t="s">
        <v>18352</v>
      </c>
    </row>
    <row r="18858" spans="5:5" x14ac:dyDescent="0.25">
      <c r="E18858" t="s">
        <v>18353</v>
      </c>
    </row>
    <row r="18859" spans="5:5" x14ac:dyDescent="0.25">
      <c r="E18859" t="s">
        <v>18354</v>
      </c>
    </row>
    <row r="18860" spans="5:5" x14ac:dyDescent="0.25">
      <c r="E18860" t="s">
        <v>18355</v>
      </c>
    </row>
    <row r="18861" spans="5:5" x14ac:dyDescent="0.25">
      <c r="E18861" t="s">
        <v>18356</v>
      </c>
    </row>
    <row r="18862" spans="5:5" x14ac:dyDescent="0.25">
      <c r="E18862" t="s">
        <v>18357</v>
      </c>
    </row>
    <row r="18863" spans="5:5" x14ac:dyDescent="0.25">
      <c r="E18863" t="s">
        <v>18358</v>
      </c>
    </row>
    <row r="18864" spans="5:5" x14ac:dyDescent="0.25">
      <c r="E18864" t="s">
        <v>18359</v>
      </c>
    </row>
    <row r="18865" spans="5:5" x14ac:dyDescent="0.25">
      <c r="E18865" t="s">
        <v>18360</v>
      </c>
    </row>
    <row r="18866" spans="5:5" x14ac:dyDescent="0.25">
      <c r="E18866" t="s">
        <v>18361</v>
      </c>
    </row>
    <row r="18867" spans="5:5" x14ac:dyDescent="0.25">
      <c r="E18867" t="s">
        <v>18362</v>
      </c>
    </row>
    <row r="18868" spans="5:5" x14ac:dyDescent="0.25">
      <c r="E18868" t="s">
        <v>18363</v>
      </c>
    </row>
    <row r="18869" spans="5:5" x14ac:dyDescent="0.25">
      <c r="E18869" t="s">
        <v>18364</v>
      </c>
    </row>
    <row r="18870" spans="5:5" x14ac:dyDescent="0.25">
      <c r="E18870" t="s">
        <v>18365</v>
      </c>
    </row>
    <row r="18871" spans="5:5" x14ac:dyDescent="0.25">
      <c r="E18871" t="s">
        <v>18366</v>
      </c>
    </row>
    <row r="18872" spans="5:5" x14ac:dyDescent="0.25">
      <c r="E18872" t="s">
        <v>18367</v>
      </c>
    </row>
    <row r="18873" spans="5:5" x14ac:dyDescent="0.25">
      <c r="E18873" t="s">
        <v>18368</v>
      </c>
    </row>
    <row r="18874" spans="5:5" x14ac:dyDescent="0.25">
      <c r="E18874" t="s">
        <v>18369</v>
      </c>
    </row>
    <row r="18875" spans="5:5" x14ac:dyDescent="0.25">
      <c r="E18875" t="s">
        <v>18370</v>
      </c>
    </row>
    <row r="18876" spans="5:5" x14ac:dyDescent="0.25">
      <c r="E18876" t="s">
        <v>18371</v>
      </c>
    </row>
    <row r="18877" spans="5:5" x14ac:dyDescent="0.25">
      <c r="E18877" t="s">
        <v>18372</v>
      </c>
    </row>
    <row r="18878" spans="5:5" x14ac:dyDescent="0.25">
      <c r="E18878" t="s">
        <v>18373</v>
      </c>
    </row>
    <row r="18879" spans="5:5" x14ac:dyDescent="0.25">
      <c r="E18879" t="s">
        <v>18374</v>
      </c>
    </row>
    <row r="18880" spans="5:5" x14ac:dyDescent="0.25">
      <c r="E18880" t="s">
        <v>18375</v>
      </c>
    </row>
    <row r="18881" spans="5:5" x14ac:dyDescent="0.25">
      <c r="E18881" t="s">
        <v>18376</v>
      </c>
    </row>
    <row r="18882" spans="5:5" x14ac:dyDescent="0.25">
      <c r="E18882" t="s">
        <v>18377</v>
      </c>
    </row>
    <row r="18883" spans="5:5" x14ac:dyDescent="0.25">
      <c r="E18883" t="s">
        <v>18378</v>
      </c>
    </row>
    <row r="18884" spans="5:5" x14ac:dyDescent="0.25">
      <c r="E18884" t="s">
        <v>18379</v>
      </c>
    </row>
    <row r="18885" spans="5:5" x14ac:dyDescent="0.25">
      <c r="E18885" t="s">
        <v>18380</v>
      </c>
    </row>
    <row r="18886" spans="5:5" x14ac:dyDescent="0.25">
      <c r="E18886" t="s">
        <v>18381</v>
      </c>
    </row>
    <row r="18887" spans="5:5" x14ac:dyDescent="0.25">
      <c r="E18887" t="s">
        <v>18382</v>
      </c>
    </row>
    <row r="18888" spans="5:5" x14ac:dyDescent="0.25">
      <c r="E18888" t="s">
        <v>18383</v>
      </c>
    </row>
    <row r="18889" spans="5:5" x14ac:dyDescent="0.25">
      <c r="E18889" t="s">
        <v>18384</v>
      </c>
    </row>
    <row r="18890" spans="5:5" x14ac:dyDescent="0.25">
      <c r="E18890" t="s">
        <v>18385</v>
      </c>
    </row>
    <row r="18891" spans="5:5" x14ac:dyDescent="0.25">
      <c r="E18891" t="s">
        <v>18386</v>
      </c>
    </row>
    <row r="18892" spans="5:5" x14ac:dyDescent="0.25">
      <c r="E18892" t="s">
        <v>18387</v>
      </c>
    </row>
    <row r="18893" spans="5:5" x14ac:dyDescent="0.25">
      <c r="E18893" t="s">
        <v>18388</v>
      </c>
    </row>
    <row r="18894" spans="5:5" x14ac:dyDescent="0.25">
      <c r="E18894" t="s">
        <v>18389</v>
      </c>
    </row>
    <row r="18895" spans="5:5" x14ac:dyDescent="0.25">
      <c r="E18895" t="s">
        <v>18390</v>
      </c>
    </row>
    <row r="18896" spans="5:5" x14ac:dyDescent="0.25">
      <c r="E18896" t="s">
        <v>18391</v>
      </c>
    </row>
    <row r="18897" spans="5:5" x14ac:dyDescent="0.25">
      <c r="E18897" t="s">
        <v>18392</v>
      </c>
    </row>
    <row r="18898" spans="5:5" x14ac:dyDescent="0.25">
      <c r="E18898" t="s">
        <v>18393</v>
      </c>
    </row>
    <row r="18899" spans="5:5" x14ac:dyDescent="0.25">
      <c r="E18899" t="s">
        <v>18394</v>
      </c>
    </row>
    <row r="18900" spans="5:5" x14ac:dyDescent="0.25">
      <c r="E18900" t="s">
        <v>18395</v>
      </c>
    </row>
    <row r="18901" spans="5:5" x14ac:dyDescent="0.25">
      <c r="E18901" t="s">
        <v>18396</v>
      </c>
    </row>
    <row r="18902" spans="5:5" x14ac:dyDescent="0.25">
      <c r="E18902" t="s">
        <v>18397</v>
      </c>
    </row>
    <row r="18903" spans="5:5" x14ac:dyDescent="0.25">
      <c r="E18903" t="s">
        <v>18398</v>
      </c>
    </row>
    <row r="18904" spans="5:5" x14ac:dyDescent="0.25">
      <c r="E18904" t="s">
        <v>18399</v>
      </c>
    </row>
    <row r="18905" spans="5:5" x14ac:dyDescent="0.25">
      <c r="E18905" t="s">
        <v>18400</v>
      </c>
    </row>
    <row r="18906" spans="5:5" x14ac:dyDescent="0.25">
      <c r="E18906" t="s">
        <v>18401</v>
      </c>
    </row>
    <row r="18907" spans="5:5" x14ac:dyDescent="0.25">
      <c r="E18907" t="s">
        <v>18402</v>
      </c>
    </row>
    <row r="18908" spans="5:5" x14ac:dyDescent="0.25">
      <c r="E18908" t="s">
        <v>18403</v>
      </c>
    </row>
    <row r="18909" spans="5:5" x14ac:dyDescent="0.25">
      <c r="E18909" t="s">
        <v>18404</v>
      </c>
    </row>
    <row r="18910" spans="5:5" x14ac:dyDescent="0.25">
      <c r="E18910" t="s">
        <v>18405</v>
      </c>
    </row>
    <row r="18911" spans="5:5" x14ac:dyDescent="0.25">
      <c r="E18911" t="s">
        <v>18406</v>
      </c>
    </row>
    <row r="18912" spans="5:5" x14ac:dyDescent="0.25">
      <c r="E18912" t="s">
        <v>18407</v>
      </c>
    </row>
    <row r="18913" spans="5:5" x14ac:dyDescent="0.25">
      <c r="E18913" t="s">
        <v>18408</v>
      </c>
    </row>
    <row r="18914" spans="5:5" x14ac:dyDescent="0.25">
      <c r="E18914" t="s">
        <v>18409</v>
      </c>
    </row>
    <row r="18915" spans="5:5" x14ac:dyDescent="0.25">
      <c r="E18915" t="s">
        <v>18410</v>
      </c>
    </row>
    <row r="18916" spans="5:5" x14ac:dyDescent="0.25">
      <c r="E18916" t="s">
        <v>18411</v>
      </c>
    </row>
    <row r="18917" spans="5:5" x14ac:dyDescent="0.25">
      <c r="E18917" t="s">
        <v>18412</v>
      </c>
    </row>
    <row r="18918" spans="5:5" x14ac:dyDescent="0.25">
      <c r="E18918" t="s">
        <v>18413</v>
      </c>
    </row>
    <row r="18919" spans="5:5" x14ac:dyDescent="0.25">
      <c r="E18919" t="s">
        <v>18414</v>
      </c>
    </row>
    <row r="18920" spans="5:5" x14ac:dyDescent="0.25">
      <c r="E18920" t="s">
        <v>18415</v>
      </c>
    </row>
    <row r="18921" spans="5:5" x14ac:dyDescent="0.25">
      <c r="E18921" t="s">
        <v>18416</v>
      </c>
    </row>
    <row r="18922" spans="5:5" x14ac:dyDescent="0.25">
      <c r="E18922" t="s">
        <v>18417</v>
      </c>
    </row>
    <row r="18923" spans="5:5" x14ac:dyDescent="0.25">
      <c r="E18923" t="s">
        <v>18418</v>
      </c>
    </row>
    <row r="18924" spans="5:5" x14ac:dyDescent="0.25">
      <c r="E18924" t="s">
        <v>18419</v>
      </c>
    </row>
    <row r="18925" spans="5:5" x14ac:dyDescent="0.25">
      <c r="E18925" t="s">
        <v>18420</v>
      </c>
    </row>
    <row r="18926" spans="5:5" x14ac:dyDescent="0.25">
      <c r="E18926" t="s">
        <v>18421</v>
      </c>
    </row>
    <row r="18927" spans="5:5" x14ac:dyDescent="0.25">
      <c r="E18927" t="s">
        <v>18422</v>
      </c>
    </row>
    <row r="18928" spans="5:5" x14ac:dyDescent="0.25">
      <c r="E18928" t="s">
        <v>18423</v>
      </c>
    </row>
    <row r="18929" spans="5:5" x14ac:dyDescent="0.25">
      <c r="E18929" t="s">
        <v>18424</v>
      </c>
    </row>
    <row r="18930" spans="5:5" x14ac:dyDescent="0.25">
      <c r="E18930" t="s">
        <v>18425</v>
      </c>
    </row>
    <row r="18931" spans="5:5" x14ac:dyDescent="0.25">
      <c r="E18931" t="s">
        <v>18426</v>
      </c>
    </row>
    <row r="18932" spans="5:5" x14ac:dyDescent="0.25">
      <c r="E18932" t="s">
        <v>18427</v>
      </c>
    </row>
    <row r="18933" spans="5:5" x14ac:dyDescent="0.25">
      <c r="E18933" t="s">
        <v>18428</v>
      </c>
    </row>
    <row r="18934" spans="5:5" x14ac:dyDescent="0.25">
      <c r="E18934" t="s">
        <v>18429</v>
      </c>
    </row>
    <row r="18935" spans="5:5" x14ac:dyDescent="0.25">
      <c r="E18935" t="s">
        <v>18430</v>
      </c>
    </row>
    <row r="18936" spans="5:5" x14ac:dyDescent="0.25">
      <c r="E18936" t="s">
        <v>18431</v>
      </c>
    </row>
    <row r="18937" spans="5:5" x14ac:dyDescent="0.25">
      <c r="E18937" t="s">
        <v>18432</v>
      </c>
    </row>
    <row r="18938" spans="5:5" x14ac:dyDescent="0.25">
      <c r="E18938" t="s">
        <v>18433</v>
      </c>
    </row>
    <row r="18939" spans="5:5" x14ac:dyDescent="0.25">
      <c r="E18939" t="s">
        <v>18434</v>
      </c>
    </row>
    <row r="18940" spans="5:5" x14ac:dyDescent="0.25">
      <c r="E18940" t="s">
        <v>18435</v>
      </c>
    </row>
    <row r="18941" spans="5:5" x14ac:dyDescent="0.25">
      <c r="E18941" t="s">
        <v>18436</v>
      </c>
    </row>
    <row r="18942" spans="5:5" x14ac:dyDescent="0.25">
      <c r="E18942" t="s">
        <v>18437</v>
      </c>
    </row>
    <row r="18943" spans="5:5" x14ac:dyDescent="0.25">
      <c r="E18943" t="s">
        <v>18438</v>
      </c>
    </row>
    <row r="18944" spans="5:5" x14ac:dyDescent="0.25">
      <c r="E18944" t="s">
        <v>18439</v>
      </c>
    </row>
    <row r="18945" spans="5:5" x14ac:dyDescent="0.25">
      <c r="E18945" t="s">
        <v>18440</v>
      </c>
    </row>
    <row r="18946" spans="5:5" x14ac:dyDescent="0.25">
      <c r="E18946" t="s">
        <v>18441</v>
      </c>
    </row>
    <row r="18947" spans="5:5" x14ac:dyDescent="0.25">
      <c r="E18947" t="s">
        <v>18442</v>
      </c>
    </row>
    <row r="18948" spans="5:5" x14ac:dyDescent="0.25">
      <c r="E18948" t="s">
        <v>18443</v>
      </c>
    </row>
    <row r="18949" spans="5:5" x14ac:dyDescent="0.25">
      <c r="E18949" t="s">
        <v>18444</v>
      </c>
    </row>
    <row r="18950" spans="5:5" x14ac:dyDescent="0.25">
      <c r="E18950" t="s">
        <v>18445</v>
      </c>
    </row>
    <row r="18951" spans="5:5" x14ac:dyDescent="0.25">
      <c r="E18951" t="s">
        <v>18446</v>
      </c>
    </row>
    <row r="18952" spans="5:5" x14ac:dyDescent="0.25">
      <c r="E18952" t="s">
        <v>18447</v>
      </c>
    </row>
    <row r="18953" spans="5:5" x14ac:dyDescent="0.25">
      <c r="E18953" t="s">
        <v>18448</v>
      </c>
    </row>
    <row r="18954" spans="5:5" x14ac:dyDescent="0.25">
      <c r="E18954" t="s">
        <v>18449</v>
      </c>
    </row>
    <row r="18955" spans="5:5" x14ac:dyDescent="0.25">
      <c r="E18955" t="s">
        <v>18450</v>
      </c>
    </row>
    <row r="18956" spans="5:5" x14ac:dyDescent="0.25">
      <c r="E18956" t="s">
        <v>18451</v>
      </c>
    </row>
    <row r="18957" spans="5:5" x14ac:dyDescent="0.25">
      <c r="E18957" t="s">
        <v>18452</v>
      </c>
    </row>
    <row r="18958" spans="5:5" x14ac:dyDescent="0.25">
      <c r="E18958" t="s">
        <v>18453</v>
      </c>
    </row>
    <row r="18959" spans="5:5" x14ac:dyDescent="0.25">
      <c r="E18959" t="s">
        <v>18454</v>
      </c>
    </row>
    <row r="18960" spans="5:5" x14ac:dyDescent="0.25">
      <c r="E18960" t="s">
        <v>18455</v>
      </c>
    </row>
    <row r="18961" spans="5:5" x14ac:dyDescent="0.25">
      <c r="E18961" t="s">
        <v>18456</v>
      </c>
    </row>
    <row r="18962" spans="5:5" x14ac:dyDescent="0.25">
      <c r="E18962" t="s">
        <v>18457</v>
      </c>
    </row>
    <row r="18963" spans="5:5" x14ac:dyDescent="0.25">
      <c r="E18963" t="s">
        <v>18458</v>
      </c>
    </row>
    <row r="18964" spans="5:5" x14ac:dyDescent="0.25">
      <c r="E18964" t="s">
        <v>18459</v>
      </c>
    </row>
    <row r="18965" spans="5:5" x14ac:dyDescent="0.25">
      <c r="E18965" t="s">
        <v>18460</v>
      </c>
    </row>
    <row r="18966" spans="5:5" x14ac:dyDescent="0.25">
      <c r="E18966" t="s">
        <v>18461</v>
      </c>
    </row>
    <row r="18967" spans="5:5" x14ac:dyDescent="0.25">
      <c r="E18967" t="s">
        <v>18462</v>
      </c>
    </row>
    <row r="18968" spans="5:5" x14ac:dyDescent="0.25">
      <c r="E18968" t="s">
        <v>18463</v>
      </c>
    </row>
    <row r="18969" spans="5:5" x14ac:dyDescent="0.25">
      <c r="E18969" t="s">
        <v>18464</v>
      </c>
    </row>
    <row r="18970" spans="5:5" x14ac:dyDescent="0.25">
      <c r="E18970" t="s">
        <v>18465</v>
      </c>
    </row>
    <row r="18971" spans="5:5" x14ac:dyDescent="0.25">
      <c r="E18971" t="s">
        <v>18466</v>
      </c>
    </row>
    <row r="18972" spans="5:5" x14ac:dyDescent="0.25">
      <c r="E18972" t="s">
        <v>18467</v>
      </c>
    </row>
    <row r="18973" spans="5:5" x14ac:dyDescent="0.25">
      <c r="E18973" t="s">
        <v>18468</v>
      </c>
    </row>
    <row r="18974" spans="5:5" x14ac:dyDescent="0.25">
      <c r="E18974" t="s">
        <v>18469</v>
      </c>
    </row>
    <row r="18976" spans="5:5" x14ac:dyDescent="0.25">
      <c r="E18976" t="s">
        <v>18470</v>
      </c>
    </row>
    <row r="18977" spans="5:5" x14ac:dyDescent="0.25">
      <c r="E18977" t="s">
        <v>18471</v>
      </c>
    </row>
    <row r="18978" spans="5:5" x14ac:dyDescent="0.25">
      <c r="E18978" t="s">
        <v>18472</v>
      </c>
    </row>
    <row r="18979" spans="5:5" x14ac:dyDescent="0.25">
      <c r="E18979" t="s">
        <v>18473</v>
      </c>
    </row>
    <row r="18981" spans="5:5" x14ac:dyDescent="0.25">
      <c r="E18981" t="s">
        <v>18474</v>
      </c>
    </row>
    <row r="18982" spans="5:5" x14ac:dyDescent="0.25">
      <c r="E18982" t="s">
        <v>18475</v>
      </c>
    </row>
    <row r="18983" spans="5:5" x14ac:dyDescent="0.25">
      <c r="E18983" t="s">
        <v>18476</v>
      </c>
    </row>
    <row r="18984" spans="5:5" x14ac:dyDescent="0.25">
      <c r="E18984" t="s">
        <v>18477</v>
      </c>
    </row>
    <row r="18985" spans="5:5" x14ac:dyDescent="0.25">
      <c r="E18985" t="s">
        <v>18478</v>
      </c>
    </row>
    <row r="18986" spans="5:5" x14ac:dyDescent="0.25">
      <c r="E18986" t="s">
        <v>18479</v>
      </c>
    </row>
    <row r="18987" spans="5:5" x14ac:dyDescent="0.25">
      <c r="E18987" t="s">
        <v>18480</v>
      </c>
    </row>
    <row r="18988" spans="5:5" x14ac:dyDescent="0.25">
      <c r="E18988" t="s">
        <v>18481</v>
      </c>
    </row>
    <row r="18989" spans="5:5" x14ac:dyDescent="0.25">
      <c r="E18989" t="s">
        <v>18482</v>
      </c>
    </row>
    <row r="18990" spans="5:5" x14ac:dyDescent="0.25">
      <c r="E18990" t="s">
        <v>18483</v>
      </c>
    </row>
    <row r="18991" spans="5:5" x14ac:dyDescent="0.25">
      <c r="E18991" t="s">
        <v>18484</v>
      </c>
    </row>
    <row r="18992" spans="5:5" x14ac:dyDescent="0.25">
      <c r="E18992" t="s">
        <v>18485</v>
      </c>
    </row>
    <row r="18993" spans="5:5" x14ac:dyDescent="0.25">
      <c r="E18993" t="s">
        <v>18486</v>
      </c>
    </row>
    <row r="18994" spans="5:5" x14ac:dyDescent="0.25">
      <c r="E18994" t="s">
        <v>18487</v>
      </c>
    </row>
    <row r="18995" spans="5:5" x14ac:dyDescent="0.25">
      <c r="E18995" t="s">
        <v>18488</v>
      </c>
    </row>
    <row r="18996" spans="5:5" x14ac:dyDescent="0.25">
      <c r="E18996" t="s">
        <v>18489</v>
      </c>
    </row>
    <row r="18997" spans="5:5" x14ac:dyDescent="0.25">
      <c r="E18997" t="s">
        <v>18490</v>
      </c>
    </row>
    <row r="18998" spans="5:5" x14ac:dyDescent="0.25">
      <c r="E18998" t="s">
        <v>18491</v>
      </c>
    </row>
    <row r="18999" spans="5:5" x14ac:dyDescent="0.25">
      <c r="E18999" t="s">
        <v>18492</v>
      </c>
    </row>
    <row r="19000" spans="5:5" x14ac:dyDescent="0.25">
      <c r="E19000" t="s">
        <v>18493</v>
      </c>
    </row>
    <row r="19001" spans="5:5" x14ac:dyDescent="0.25">
      <c r="E19001" t="s">
        <v>18494</v>
      </c>
    </row>
    <row r="19002" spans="5:5" x14ac:dyDescent="0.25">
      <c r="E19002" t="s">
        <v>18495</v>
      </c>
    </row>
    <row r="19003" spans="5:5" x14ac:dyDescent="0.25">
      <c r="E19003" t="s">
        <v>18496</v>
      </c>
    </row>
    <row r="19004" spans="5:5" x14ac:dyDescent="0.25">
      <c r="E19004" t="s">
        <v>18497</v>
      </c>
    </row>
    <row r="19005" spans="5:5" x14ac:dyDescent="0.25">
      <c r="E19005" t="s">
        <v>18498</v>
      </c>
    </row>
    <row r="19006" spans="5:5" x14ac:dyDescent="0.25">
      <c r="E19006" t="s">
        <v>18499</v>
      </c>
    </row>
    <row r="19007" spans="5:5" x14ac:dyDescent="0.25">
      <c r="E19007" t="s">
        <v>18500</v>
      </c>
    </row>
    <row r="19008" spans="5:5" x14ac:dyDescent="0.25">
      <c r="E19008" t="s">
        <v>18501</v>
      </c>
    </row>
    <row r="19009" spans="5:5" x14ac:dyDescent="0.25">
      <c r="E19009" t="s">
        <v>18502</v>
      </c>
    </row>
    <row r="19010" spans="5:5" x14ac:dyDescent="0.25">
      <c r="E19010" t="s">
        <v>18503</v>
      </c>
    </row>
    <row r="19011" spans="5:5" x14ac:dyDescent="0.25">
      <c r="E19011" t="s">
        <v>18504</v>
      </c>
    </row>
    <row r="19012" spans="5:5" x14ac:dyDescent="0.25">
      <c r="E19012" t="s">
        <v>18505</v>
      </c>
    </row>
    <row r="19013" spans="5:5" x14ac:dyDescent="0.25">
      <c r="E19013" t="s">
        <v>18506</v>
      </c>
    </row>
    <row r="19014" spans="5:5" x14ac:dyDescent="0.25">
      <c r="E19014" t="s">
        <v>18507</v>
      </c>
    </row>
    <row r="19015" spans="5:5" x14ac:dyDescent="0.25">
      <c r="E19015" t="s">
        <v>18508</v>
      </c>
    </row>
    <row r="19019" spans="5:5" x14ac:dyDescent="0.25">
      <c r="E19019" t="s">
        <v>18509</v>
      </c>
    </row>
    <row r="19020" spans="5:5" x14ac:dyDescent="0.25">
      <c r="E19020" t="s">
        <v>18510</v>
      </c>
    </row>
    <row r="19021" spans="5:5" x14ac:dyDescent="0.25">
      <c r="E19021" t="s">
        <v>18511</v>
      </c>
    </row>
    <row r="19022" spans="5:5" x14ac:dyDescent="0.25">
      <c r="E19022" t="s">
        <v>18512</v>
      </c>
    </row>
    <row r="19023" spans="5:5" x14ac:dyDescent="0.25">
      <c r="E19023" t="s">
        <v>18513</v>
      </c>
    </row>
    <row r="19024" spans="5:5" x14ac:dyDescent="0.25">
      <c r="E19024" t="s">
        <v>18514</v>
      </c>
    </row>
    <row r="19025" spans="5:5" x14ac:dyDescent="0.25">
      <c r="E19025" t="s">
        <v>18515</v>
      </c>
    </row>
    <row r="19027" spans="5:5" x14ac:dyDescent="0.25">
      <c r="E19027" t="s">
        <v>18516</v>
      </c>
    </row>
    <row r="19028" spans="5:5" x14ac:dyDescent="0.25">
      <c r="E19028" t="s">
        <v>18517</v>
      </c>
    </row>
    <row r="19029" spans="5:5" x14ac:dyDescent="0.25">
      <c r="E19029" t="s">
        <v>18518</v>
      </c>
    </row>
    <row r="19030" spans="5:5" x14ac:dyDescent="0.25">
      <c r="E19030" t="s">
        <v>18519</v>
      </c>
    </row>
    <row r="19031" spans="5:5" x14ac:dyDescent="0.25">
      <c r="E19031" t="s">
        <v>18520</v>
      </c>
    </row>
    <row r="19032" spans="5:5" x14ac:dyDescent="0.25">
      <c r="E19032" t="s">
        <v>18521</v>
      </c>
    </row>
    <row r="19033" spans="5:5" x14ac:dyDescent="0.25">
      <c r="E19033" t="s">
        <v>18522</v>
      </c>
    </row>
    <row r="19034" spans="5:5" x14ac:dyDescent="0.25">
      <c r="E19034" t="s">
        <v>18523</v>
      </c>
    </row>
    <row r="19035" spans="5:5" x14ac:dyDescent="0.25">
      <c r="E19035" t="s">
        <v>18524</v>
      </c>
    </row>
    <row r="19036" spans="5:5" x14ac:dyDescent="0.25">
      <c r="E19036" t="s">
        <v>18525</v>
      </c>
    </row>
    <row r="19037" spans="5:5" x14ac:dyDescent="0.25">
      <c r="E19037" t="s">
        <v>18526</v>
      </c>
    </row>
    <row r="19038" spans="5:5" x14ac:dyDescent="0.25">
      <c r="E19038" t="s">
        <v>18527</v>
      </c>
    </row>
    <row r="19039" spans="5:5" x14ac:dyDescent="0.25">
      <c r="E19039" t="s">
        <v>18528</v>
      </c>
    </row>
    <row r="19040" spans="5:5" x14ac:dyDescent="0.25">
      <c r="E19040" t="s">
        <v>18529</v>
      </c>
    </row>
    <row r="19041" spans="5:5" x14ac:dyDescent="0.25">
      <c r="E19041" t="s">
        <v>18530</v>
      </c>
    </row>
    <row r="19042" spans="5:5" x14ac:dyDescent="0.25">
      <c r="E19042" t="s">
        <v>18531</v>
      </c>
    </row>
    <row r="19043" spans="5:5" x14ac:dyDescent="0.25">
      <c r="E19043" t="s">
        <v>18532</v>
      </c>
    </row>
    <row r="19044" spans="5:5" x14ac:dyDescent="0.25">
      <c r="E19044" t="s">
        <v>18533</v>
      </c>
    </row>
    <row r="19045" spans="5:5" x14ac:dyDescent="0.25">
      <c r="E19045" t="s">
        <v>18534</v>
      </c>
    </row>
    <row r="19046" spans="5:5" x14ac:dyDescent="0.25">
      <c r="E19046" t="s">
        <v>18535</v>
      </c>
    </row>
    <row r="19047" spans="5:5" x14ac:dyDescent="0.25">
      <c r="E19047" t="s">
        <v>18536</v>
      </c>
    </row>
    <row r="19048" spans="5:5" x14ac:dyDescent="0.25">
      <c r="E19048" t="s">
        <v>18537</v>
      </c>
    </row>
    <row r="19049" spans="5:5" x14ac:dyDescent="0.25">
      <c r="E19049" t="s">
        <v>18538</v>
      </c>
    </row>
    <row r="19050" spans="5:5" x14ac:dyDescent="0.25">
      <c r="E19050" t="s">
        <v>18539</v>
      </c>
    </row>
    <row r="19051" spans="5:5" x14ac:dyDescent="0.25">
      <c r="E19051" t="s">
        <v>18540</v>
      </c>
    </row>
    <row r="19052" spans="5:5" x14ac:dyDescent="0.25">
      <c r="E19052" t="s">
        <v>18541</v>
      </c>
    </row>
    <row r="19053" spans="5:5" x14ac:dyDescent="0.25">
      <c r="E19053" t="s">
        <v>18542</v>
      </c>
    </row>
    <row r="19054" spans="5:5" x14ac:dyDescent="0.25">
      <c r="E19054" t="s">
        <v>18543</v>
      </c>
    </row>
    <row r="19055" spans="5:5" x14ac:dyDescent="0.25">
      <c r="E19055" t="s">
        <v>18544</v>
      </c>
    </row>
    <row r="19056" spans="5:5" x14ac:dyDescent="0.25">
      <c r="E19056" t="s">
        <v>18545</v>
      </c>
    </row>
    <row r="19057" spans="5:5" x14ac:dyDescent="0.25">
      <c r="E19057" t="s">
        <v>18546</v>
      </c>
    </row>
    <row r="19058" spans="5:5" x14ac:dyDescent="0.25">
      <c r="E19058" t="s">
        <v>18547</v>
      </c>
    </row>
    <row r="19059" spans="5:5" x14ac:dyDescent="0.25">
      <c r="E19059" t="s">
        <v>18548</v>
      </c>
    </row>
    <row r="19060" spans="5:5" x14ac:dyDescent="0.25">
      <c r="E19060" t="s">
        <v>18549</v>
      </c>
    </row>
    <row r="19061" spans="5:5" x14ac:dyDescent="0.25">
      <c r="E19061" t="s">
        <v>18550</v>
      </c>
    </row>
    <row r="19062" spans="5:5" x14ac:dyDescent="0.25">
      <c r="E19062" t="s">
        <v>18551</v>
      </c>
    </row>
    <row r="19063" spans="5:5" x14ac:dyDescent="0.25">
      <c r="E19063" t="s">
        <v>18552</v>
      </c>
    </row>
    <row r="19064" spans="5:5" x14ac:dyDescent="0.25">
      <c r="E19064" t="s">
        <v>18553</v>
      </c>
    </row>
    <row r="19065" spans="5:5" x14ac:dyDescent="0.25">
      <c r="E19065" t="s">
        <v>18554</v>
      </c>
    </row>
    <row r="19066" spans="5:5" x14ac:dyDescent="0.25">
      <c r="E19066" t="s">
        <v>18555</v>
      </c>
    </row>
    <row r="19067" spans="5:5" x14ac:dyDescent="0.25">
      <c r="E19067" t="s">
        <v>18556</v>
      </c>
    </row>
    <row r="19068" spans="5:5" x14ac:dyDescent="0.25">
      <c r="E19068" t="s">
        <v>18557</v>
      </c>
    </row>
    <row r="19069" spans="5:5" x14ac:dyDescent="0.25">
      <c r="E19069" t="s">
        <v>18558</v>
      </c>
    </row>
    <row r="19070" spans="5:5" x14ac:dyDescent="0.25">
      <c r="E19070" t="s">
        <v>18559</v>
      </c>
    </row>
    <row r="19071" spans="5:5" x14ac:dyDescent="0.25">
      <c r="E19071" t="s">
        <v>18560</v>
      </c>
    </row>
    <row r="19072" spans="5:5" x14ac:dyDescent="0.25">
      <c r="E19072" t="s">
        <v>18561</v>
      </c>
    </row>
    <row r="19073" spans="5:5" x14ac:dyDescent="0.25">
      <c r="E19073" t="s">
        <v>18562</v>
      </c>
    </row>
    <row r="19074" spans="5:5" x14ac:dyDescent="0.25">
      <c r="E19074" t="s">
        <v>18563</v>
      </c>
    </row>
    <row r="19075" spans="5:5" x14ac:dyDescent="0.25">
      <c r="E19075" t="s">
        <v>18564</v>
      </c>
    </row>
    <row r="19076" spans="5:5" x14ac:dyDescent="0.25">
      <c r="E19076" t="s">
        <v>18565</v>
      </c>
    </row>
    <row r="19077" spans="5:5" x14ac:dyDescent="0.25">
      <c r="E19077" t="s">
        <v>18566</v>
      </c>
    </row>
    <row r="19078" spans="5:5" x14ac:dyDescent="0.25">
      <c r="E19078" t="s">
        <v>18567</v>
      </c>
    </row>
    <row r="19080" spans="5:5" x14ac:dyDescent="0.25">
      <c r="E19080" t="s">
        <v>18568</v>
      </c>
    </row>
    <row r="19081" spans="5:5" x14ac:dyDescent="0.25">
      <c r="E19081" t="s">
        <v>18569</v>
      </c>
    </row>
    <row r="19083" spans="5:5" x14ac:dyDescent="0.25">
      <c r="E19083" t="s">
        <v>18570</v>
      </c>
    </row>
    <row r="19084" spans="5:5" x14ac:dyDescent="0.25">
      <c r="E19084" t="s">
        <v>18571</v>
      </c>
    </row>
    <row r="19085" spans="5:5" x14ac:dyDescent="0.25">
      <c r="E19085" t="s">
        <v>18572</v>
      </c>
    </row>
    <row r="19086" spans="5:5" x14ac:dyDescent="0.25">
      <c r="E19086" t="s">
        <v>18573</v>
      </c>
    </row>
    <row r="19087" spans="5:5" x14ac:dyDescent="0.25">
      <c r="E19087" t="s">
        <v>18574</v>
      </c>
    </row>
    <row r="19088" spans="5:5" x14ac:dyDescent="0.25">
      <c r="E19088" t="s">
        <v>18575</v>
      </c>
    </row>
    <row r="19089" spans="5:5" x14ac:dyDescent="0.25">
      <c r="E19089" t="s">
        <v>18576</v>
      </c>
    </row>
    <row r="19090" spans="5:5" x14ac:dyDescent="0.25">
      <c r="E19090" t="s">
        <v>18577</v>
      </c>
    </row>
    <row r="19091" spans="5:5" x14ac:dyDescent="0.25">
      <c r="E19091" t="s">
        <v>18578</v>
      </c>
    </row>
    <row r="19092" spans="5:5" x14ac:dyDescent="0.25">
      <c r="E19092" t="s">
        <v>18579</v>
      </c>
    </row>
    <row r="19093" spans="5:5" x14ac:dyDescent="0.25">
      <c r="E19093" t="s">
        <v>18580</v>
      </c>
    </row>
    <row r="19094" spans="5:5" x14ac:dyDescent="0.25">
      <c r="E19094" t="s">
        <v>18581</v>
      </c>
    </row>
    <row r="19095" spans="5:5" x14ac:dyDescent="0.25">
      <c r="E19095" t="s">
        <v>18582</v>
      </c>
    </row>
    <row r="19096" spans="5:5" x14ac:dyDescent="0.25">
      <c r="E19096" t="s">
        <v>18583</v>
      </c>
    </row>
    <row r="19097" spans="5:5" x14ac:dyDescent="0.25">
      <c r="E19097" t="s">
        <v>18584</v>
      </c>
    </row>
    <row r="19098" spans="5:5" x14ac:dyDescent="0.25">
      <c r="E19098" t="s">
        <v>18585</v>
      </c>
    </row>
    <row r="19099" spans="5:5" x14ac:dyDescent="0.25">
      <c r="E19099" t="s">
        <v>18586</v>
      </c>
    </row>
    <row r="19100" spans="5:5" x14ac:dyDescent="0.25">
      <c r="E19100" t="s">
        <v>18587</v>
      </c>
    </row>
    <row r="19101" spans="5:5" x14ac:dyDescent="0.25">
      <c r="E19101" t="s">
        <v>18588</v>
      </c>
    </row>
    <row r="19102" spans="5:5" x14ac:dyDescent="0.25">
      <c r="E19102" t="s">
        <v>18589</v>
      </c>
    </row>
    <row r="19103" spans="5:5" x14ac:dyDescent="0.25">
      <c r="E19103" t="s">
        <v>18590</v>
      </c>
    </row>
    <row r="19104" spans="5:5" x14ac:dyDescent="0.25">
      <c r="E19104" t="s">
        <v>18591</v>
      </c>
    </row>
    <row r="19105" spans="5:5" x14ac:dyDescent="0.25">
      <c r="E19105" t="s">
        <v>18592</v>
      </c>
    </row>
    <row r="19106" spans="5:5" x14ac:dyDescent="0.25">
      <c r="E19106" t="s">
        <v>18593</v>
      </c>
    </row>
    <row r="19107" spans="5:5" x14ac:dyDescent="0.25">
      <c r="E19107" t="s">
        <v>18594</v>
      </c>
    </row>
    <row r="19108" spans="5:5" x14ac:dyDescent="0.25">
      <c r="E19108" t="s">
        <v>18595</v>
      </c>
    </row>
    <row r="19109" spans="5:5" x14ac:dyDescent="0.25">
      <c r="E19109" t="s">
        <v>18596</v>
      </c>
    </row>
    <row r="19110" spans="5:5" x14ac:dyDescent="0.25">
      <c r="E19110" t="s">
        <v>18597</v>
      </c>
    </row>
    <row r="19111" spans="5:5" x14ac:dyDescent="0.25">
      <c r="E19111" t="s">
        <v>18598</v>
      </c>
    </row>
    <row r="19112" spans="5:5" x14ac:dyDescent="0.25">
      <c r="E19112" t="s">
        <v>18599</v>
      </c>
    </row>
    <row r="19114" spans="5:5" x14ac:dyDescent="0.25">
      <c r="E19114" t="s">
        <v>18600</v>
      </c>
    </row>
    <row r="19115" spans="5:5" x14ac:dyDescent="0.25">
      <c r="E19115" t="s">
        <v>18601</v>
      </c>
    </row>
    <row r="19116" spans="5:5" x14ac:dyDescent="0.25">
      <c r="E19116" t="s">
        <v>18602</v>
      </c>
    </row>
    <row r="19117" spans="5:5" x14ac:dyDescent="0.25">
      <c r="E19117" t="s">
        <v>18603</v>
      </c>
    </row>
    <row r="19118" spans="5:5" x14ac:dyDescent="0.25">
      <c r="E19118" t="s">
        <v>18604</v>
      </c>
    </row>
    <row r="19119" spans="5:5" x14ac:dyDescent="0.25">
      <c r="E19119" t="s">
        <v>18605</v>
      </c>
    </row>
    <row r="19120" spans="5:5" x14ac:dyDescent="0.25">
      <c r="E19120" t="s">
        <v>18606</v>
      </c>
    </row>
    <row r="19121" spans="5:5" x14ac:dyDescent="0.25">
      <c r="E19121" t="s">
        <v>18607</v>
      </c>
    </row>
    <row r="19122" spans="5:5" x14ac:dyDescent="0.25">
      <c r="E19122" t="s">
        <v>18608</v>
      </c>
    </row>
    <row r="19123" spans="5:5" x14ac:dyDescent="0.25">
      <c r="E19123" t="s">
        <v>18609</v>
      </c>
    </row>
    <row r="19124" spans="5:5" x14ac:dyDescent="0.25">
      <c r="E19124" t="s">
        <v>18610</v>
      </c>
    </row>
    <row r="19125" spans="5:5" x14ac:dyDescent="0.25">
      <c r="E19125" t="s">
        <v>18611</v>
      </c>
    </row>
    <row r="19126" spans="5:5" x14ac:dyDescent="0.25">
      <c r="E19126" t="s">
        <v>18612</v>
      </c>
    </row>
    <row r="19127" spans="5:5" x14ac:dyDescent="0.25">
      <c r="E19127" t="s">
        <v>18613</v>
      </c>
    </row>
    <row r="19128" spans="5:5" x14ac:dyDescent="0.25">
      <c r="E19128" t="s">
        <v>18614</v>
      </c>
    </row>
    <row r="19129" spans="5:5" x14ac:dyDescent="0.25">
      <c r="E19129" t="s">
        <v>18615</v>
      </c>
    </row>
    <row r="19130" spans="5:5" x14ac:dyDescent="0.25">
      <c r="E19130" t="s">
        <v>18616</v>
      </c>
    </row>
    <row r="19131" spans="5:5" x14ac:dyDescent="0.25">
      <c r="E19131" t="s">
        <v>18617</v>
      </c>
    </row>
    <row r="19132" spans="5:5" x14ac:dyDescent="0.25">
      <c r="E19132" t="s">
        <v>18618</v>
      </c>
    </row>
    <row r="19133" spans="5:5" x14ac:dyDescent="0.25">
      <c r="E19133" t="s">
        <v>18619</v>
      </c>
    </row>
    <row r="19134" spans="5:5" x14ac:dyDescent="0.25">
      <c r="E19134" t="s">
        <v>18620</v>
      </c>
    </row>
    <row r="19135" spans="5:5" x14ac:dyDescent="0.25">
      <c r="E19135" t="s">
        <v>18621</v>
      </c>
    </row>
    <row r="19136" spans="5:5" x14ac:dyDescent="0.25">
      <c r="E19136" t="s">
        <v>18622</v>
      </c>
    </row>
    <row r="19137" spans="5:5" x14ac:dyDescent="0.25">
      <c r="E19137" t="s">
        <v>18623</v>
      </c>
    </row>
    <row r="19138" spans="5:5" x14ac:dyDescent="0.25">
      <c r="E19138" t="s">
        <v>18624</v>
      </c>
    </row>
    <row r="19139" spans="5:5" x14ac:dyDescent="0.25">
      <c r="E19139" t="s">
        <v>18625</v>
      </c>
    </row>
    <row r="19140" spans="5:5" x14ac:dyDescent="0.25">
      <c r="E19140" t="s">
        <v>18626</v>
      </c>
    </row>
    <row r="19141" spans="5:5" x14ac:dyDescent="0.25">
      <c r="E19141" t="s">
        <v>18627</v>
      </c>
    </row>
    <row r="19142" spans="5:5" x14ac:dyDescent="0.25">
      <c r="E19142" t="s">
        <v>18628</v>
      </c>
    </row>
    <row r="19143" spans="5:5" x14ac:dyDescent="0.25">
      <c r="E19143" t="s">
        <v>18629</v>
      </c>
    </row>
    <row r="19144" spans="5:5" x14ac:dyDescent="0.25">
      <c r="E19144" t="s">
        <v>18630</v>
      </c>
    </row>
    <row r="19145" spans="5:5" x14ac:dyDescent="0.25">
      <c r="E19145" t="s">
        <v>18631</v>
      </c>
    </row>
    <row r="19146" spans="5:5" x14ac:dyDescent="0.25">
      <c r="E19146" t="s">
        <v>18632</v>
      </c>
    </row>
    <row r="19147" spans="5:5" x14ac:dyDescent="0.25">
      <c r="E19147" t="s">
        <v>18633</v>
      </c>
    </row>
    <row r="19148" spans="5:5" x14ac:dyDescent="0.25">
      <c r="E19148" t="s">
        <v>18634</v>
      </c>
    </row>
    <row r="19149" spans="5:5" x14ac:dyDescent="0.25">
      <c r="E19149" t="s">
        <v>18635</v>
      </c>
    </row>
    <row r="19150" spans="5:5" x14ac:dyDescent="0.25">
      <c r="E19150" t="s">
        <v>18636</v>
      </c>
    </row>
    <row r="19151" spans="5:5" x14ac:dyDescent="0.25">
      <c r="E19151" t="s">
        <v>18637</v>
      </c>
    </row>
    <row r="19152" spans="5:5" x14ac:dyDescent="0.25">
      <c r="E19152" t="s">
        <v>18638</v>
      </c>
    </row>
    <row r="19153" spans="5:5" x14ac:dyDescent="0.25">
      <c r="E19153" t="s">
        <v>18639</v>
      </c>
    </row>
    <row r="19154" spans="5:5" x14ac:dyDescent="0.25">
      <c r="E19154" t="s">
        <v>18640</v>
      </c>
    </row>
    <row r="19155" spans="5:5" x14ac:dyDescent="0.25">
      <c r="E19155" t="s">
        <v>18641</v>
      </c>
    </row>
    <row r="19157" spans="5:5" x14ac:dyDescent="0.25">
      <c r="E19157" t="s">
        <v>18642</v>
      </c>
    </row>
    <row r="19158" spans="5:5" x14ac:dyDescent="0.25">
      <c r="E19158" t="s">
        <v>18643</v>
      </c>
    </row>
    <row r="19159" spans="5:5" x14ac:dyDescent="0.25">
      <c r="E19159" t="s">
        <v>18644</v>
      </c>
    </row>
    <row r="19160" spans="5:5" x14ac:dyDescent="0.25">
      <c r="E19160" t="s">
        <v>18645</v>
      </c>
    </row>
    <row r="19161" spans="5:5" x14ac:dyDescent="0.25">
      <c r="E19161" t="s">
        <v>18646</v>
      </c>
    </row>
    <row r="19162" spans="5:5" x14ac:dyDescent="0.25">
      <c r="E19162" t="s">
        <v>18647</v>
      </c>
    </row>
    <row r="19163" spans="5:5" x14ac:dyDescent="0.25">
      <c r="E19163" t="s">
        <v>18648</v>
      </c>
    </row>
    <row r="19164" spans="5:5" x14ac:dyDescent="0.25">
      <c r="E19164" t="s">
        <v>18649</v>
      </c>
    </row>
    <row r="19165" spans="5:5" x14ac:dyDescent="0.25">
      <c r="E19165" t="s">
        <v>18650</v>
      </c>
    </row>
    <row r="19166" spans="5:5" x14ac:dyDescent="0.25">
      <c r="E19166" t="s">
        <v>18651</v>
      </c>
    </row>
    <row r="19167" spans="5:5" x14ac:dyDescent="0.25">
      <c r="E19167" t="s">
        <v>18652</v>
      </c>
    </row>
    <row r="19168" spans="5:5" x14ac:dyDescent="0.25">
      <c r="E19168" t="s">
        <v>18653</v>
      </c>
    </row>
    <row r="19169" spans="5:5" x14ac:dyDescent="0.25">
      <c r="E19169" t="s">
        <v>18654</v>
      </c>
    </row>
    <row r="19170" spans="5:5" x14ac:dyDescent="0.25">
      <c r="E19170" t="s">
        <v>18655</v>
      </c>
    </row>
    <row r="19171" spans="5:5" x14ac:dyDescent="0.25">
      <c r="E19171" t="s">
        <v>18656</v>
      </c>
    </row>
    <row r="19172" spans="5:5" x14ac:dyDescent="0.25">
      <c r="E19172" t="s">
        <v>18657</v>
      </c>
    </row>
    <row r="19173" spans="5:5" x14ac:dyDescent="0.25">
      <c r="E19173" t="s">
        <v>18658</v>
      </c>
    </row>
    <row r="19174" spans="5:5" x14ac:dyDescent="0.25">
      <c r="E19174" t="s">
        <v>18659</v>
      </c>
    </row>
    <row r="19175" spans="5:5" x14ac:dyDescent="0.25">
      <c r="E19175" t="s">
        <v>18660</v>
      </c>
    </row>
    <row r="19176" spans="5:5" x14ac:dyDescent="0.25">
      <c r="E19176" t="s">
        <v>18661</v>
      </c>
    </row>
    <row r="19177" spans="5:5" x14ac:dyDescent="0.25">
      <c r="E19177" t="s">
        <v>18662</v>
      </c>
    </row>
    <row r="19178" spans="5:5" x14ac:dyDescent="0.25">
      <c r="E19178" t="s">
        <v>18663</v>
      </c>
    </row>
    <row r="19179" spans="5:5" x14ac:dyDescent="0.25">
      <c r="E19179" t="s">
        <v>18664</v>
      </c>
    </row>
    <row r="19180" spans="5:5" x14ac:dyDescent="0.25">
      <c r="E19180" t="s">
        <v>18665</v>
      </c>
    </row>
    <row r="19181" spans="5:5" x14ac:dyDescent="0.25">
      <c r="E19181" t="s">
        <v>18666</v>
      </c>
    </row>
    <row r="19182" spans="5:5" x14ac:dyDescent="0.25">
      <c r="E19182" t="s">
        <v>18667</v>
      </c>
    </row>
    <row r="19183" spans="5:5" x14ac:dyDescent="0.25">
      <c r="E19183" t="s">
        <v>18668</v>
      </c>
    </row>
    <row r="19184" spans="5:5" x14ac:dyDescent="0.25">
      <c r="E19184" t="s">
        <v>18669</v>
      </c>
    </row>
    <row r="19185" spans="5:5" x14ac:dyDescent="0.25">
      <c r="E19185" t="s">
        <v>18670</v>
      </c>
    </row>
    <row r="19186" spans="5:5" x14ac:dyDescent="0.25">
      <c r="E19186" t="s">
        <v>18671</v>
      </c>
    </row>
    <row r="19187" spans="5:5" x14ac:dyDescent="0.25">
      <c r="E19187" t="s">
        <v>18672</v>
      </c>
    </row>
    <row r="19188" spans="5:5" x14ac:dyDescent="0.25">
      <c r="E19188" t="s">
        <v>18673</v>
      </c>
    </row>
    <row r="19189" spans="5:5" x14ac:dyDescent="0.25">
      <c r="E19189" t="s">
        <v>18674</v>
      </c>
    </row>
    <row r="19190" spans="5:5" x14ac:dyDescent="0.25">
      <c r="E19190" t="s">
        <v>18675</v>
      </c>
    </row>
    <row r="19191" spans="5:5" x14ac:dyDescent="0.25">
      <c r="E19191" t="s">
        <v>18676</v>
      </c>
    </row>
    <row r="19192" spans="5:5" x14ac:dyDescent="0.25">
      <c r="E19192" t="s">
        <v>18677</v>
      </c>
    </row>
    <row r="19193" spans="5:5" x14ac:dyDescent="0.25">
      <c r="E19193" t="s">
        <v>18678</v>
      </c>
    </row>
    <row r="19194" spans="5:5" x14ac:dyDescent="0.25">
      <c r="E19194" t="s">
        <v>18679</v>
      </c>
    </row>
    <row r="19195" spans="5:5" x14ac:dyDescent="0.25">
      <c r="E19195" t="s">
        <v>18680</v>
      </c>
    </row>
    <row r="19196" spans="5:5" x14ac:dyDescent="0.25">
      <c r="E19196" t="s">
        <v>18681</v>
      </c>
    </row>
    <row r="19197" spans="5:5" x14ac:dyDescent="0.25">
      <c r="E19197" t="s">
        <v>18682</v>
      </c>
    </row>
    <row r="19198" spans="5:5" x14ac:dyDescent="0.25">
      <c r="E19198" t="s">
        <v>18683</v>
      </c>
    </row>
    <row r="19199" spans="5:5" x14ac:dyDescent="0.25">
      <c r="E19199" t="s">
        <v>18684</v>
      </c>
    </row>
    <row r="19200" spans="5:5" x14ac:dyDescent="0.25">
      <c r="E19200" t="s">
        <v>18685</v>
      </c>
    </row>
    <row r="19201" spans="5:5" x14ac:dyDescent="0.25">
      <c r="E19201" t="s">
        <v>18686</v>
      </c>
    </row>
    <row r="19202" spans="5:5" x14ac:dyDescent="0.25">
      <c r="E19202" t="s">
        <v>18687</v>
      </c>
    </row>
    <row r="19203" spans="5:5" x14ac:dyDescent="0.25">
      <c r="E19203" t="s">
        <v>18688</v>
      </c>
    </row>
    <row r="19204" spans="5:5" x14ac:dyDescent="0.25">
      <c r="E19204" t="s">
        <v>18689</v>
      </c>
    </row>
    <row r="19205" spans="5:5" x14ac:dyDescent="0.25">
      <c r="E19205" t="s">
        <v>18690</v>
      </c>
    </row>
    <row r="19206" spans="5:5" x14ac:dyDescent="0.25">
      <c r="E19206" t="s">
        <v>18691</v>
      </c>
    </row>
    <row r="19207" spans="5:5" x14ac:dyDescent="0.25">
      <c r="E19207" t="s">
        <v>18692</v>
      </c>
    </row>
    <row r="19208" spans="5:5" x14ac:dyDescent="0.25">
      <c r="E19208" t="s">
        <v>18693</v>
      </c>
    </row>
    <row r="19209" spans="5:5" x14ac:dyDescent="0.25">
      <c r="E19209" t="s">
        <v>18694</v>
      </c>
    </row>
    <row r="19210" spans="5:5" x14ac:dyDescent="0.25">
      <c r="E19210" t="s">
        <v>18695</v>
      </c>
    </row>
    <row r="19211" spans="5:5" x14ac:dyDescent="0.25">
      <c r="E19211" t="s">
        <v>18696</v>
      </c>
    </row>
    <row r="19212" spans="5:5" x14ac:dyDescent="0.25">
      <c r="E19212" t="s">
        <v>18697</v>
      </c>
    </row>
    <row r="19213" spans="5:5" x14ac:dyDescent="0.25">
      <c r="E19213" t="s">
        <v>18698</v>
      </c>
    </row>
    <row r="19214" spans="5:5" x14ac:dyDescent="0.25">
      <c r="E19214" t="s">
        <v>18699</v>
      </c>
    </row>
    <row r="19215" spans="5:5" x14ac:dyDescent="0.25">
      <c r="E19215" t="s">
        <v>18700</v>
      </c>
    </row>
    <row r="19216" spans="5:5" x14ac:dyDescent="0.25">
      <c r="E19216" t="s">
        <v>18701</v>
      </c>
    </row>
    <row r="19217" spans="5:5" x14ac:dyDescent="0.25">
      <c r="E19217" t="s">
        <v>18702</v>
      </c>
    </row>
    <row r="19218" spans="5:5" x14ac:dyDescent="0.25">
      <c r="E19218" t="s">
        <v>18703</v>
      </c>
    </row>
    <row r="19219" spans="5:5" x14ac:dyDescent="0.25">
      <c r="E19219" t="s">
        <v>18704</v>
      </c>
    </row>
    <row r="19220" spans="5:5" x14ac:dyDescent="0.25">
      <c r="E19220" t="s">
        <v>18705</v>
      </c>
    </row>
    <row r="19221" spans="5:5" x14ac:dyDescent="0.25">
      <c r="E19221" t="s">
        <v>18706</v>
      </c>
    </row>
    <row r="19222" spans="5:5" x14ac:dyDescent="0.25">
      <c r="E19222" t="s">
        <v>18707</v>
      </c>
    </row>
    <row r="19223" spans="5:5" x14ac:dyDescent="0.25">
      <c r="E19223" t="s">
        <v>18708</v>
      </c>
    </row>
    <row r="19224" spans="5:5" x14ac:dyDescent="0.25">
      <c r="E19224" t="s">
        <v>18709</v>
      </c>
    </row>
    <row r="19225" spans="5:5" x14ac:dyDescent="0.25">
      <c r="E19225" t="s">
        <v>18710</v>
      </c>
    </row>
    <row r="19226" spans="5:5" x14ac:dyDescent="0.25">
      <c r="E19226" t="s">
        <v>18711</v>
      </c>
    </row>
    <row r="19227" spans="5:5" x14ac:dyDescent="0.25">
      <c r="E19227" t="s">
        <v>18712</v>
      </c>
    </row>
    <row r="19228" spans="5:5" x14ac:dyDescent="0.25">
      <c r="E19228" t="s">
        <v>18713</v>
      </c>
    </row>
    <row r="19229" spans="5:5" x14ac:dyDescent="0.25">
      <c r="E19229" t="s">
        <v>18714</v>
      </c>
    </row>
    <row r="19230" spans="5:5" x14ac:dyDescent="0.25">
      <c r="E19230" t="s">
        <v>18715</v>
      </c>
    </row>
    <row r="19231" spans="5:5" x14ac:dyDescent="0.25">
      <c r="E19231" t="s">
        <v>18716</v>
      </c>
    </row>
    <row r="19232" spans="5:5" x14ac:dyDescent="0.25">
      <c r="E19232" t="s">
        <v>18717</v>
      </c>
    </row>
    <row r="19233" spans="5:5" x14ac:dyDescent="0.25">
      <c r="E19233" t="s">
        <v>18718</v>
      </c>
    </row>
    <row r="19234" spans="5:5" x14ac:dyDescent="0.25">
      <c r="E19234" t="s">
        <v>18719</v>
      </c>
    </row>
    <row r="19235" spans="5:5" x14ac:dyDescent="0.25">
      <c r="E19235" t="s">
        <v>18720</v>
      </c>
    </row>
    <row r="19236" spans="5:5" x14ac:dyDescent="0.25">
      <c r="E19236" t="s">
        <v>18721</v>
      </c>
    </row>
    <row r="19237" spans="5:5" x14ac:dyDescent="0.25">
      <c r="E19237" t="s">
        <v>18722</v>
      </c>
    </row>
    <row r="19238" spans="5:5" x14ac:dyDescent="0.25">
      <c r="E19238" t="s">
        <v>18723</v>
      </c>
    </row>
    <row r="19239" spans="5:5" x14ac:dyDescent="0.25">
      <c r="E19239" t="s">
        <v>18724</v>
      </c>
    </row>
    <row r="19240" spans="5:5" x14ac:dyDescent="0.25">
      <c r="E19240" t="s">
        <v>18725</v>
      </c>
    </row>
    <row r="19241" spans="5:5" x14ac:dyDescent="0.25">
      <c r="E19241" t="s">
        <v>18726</v>
      </c>
    </row>
    <row r="19242" spans="5:5" x14ac:dyDescent="0.25">
      <c r="E19242" t="s">
        <v>18727</v>
      </c>
    </row>
    <row r="19243" spans="5:5" x14ac:dyDescent="0.25">
      <c r="E19243" t="s">
        <v>18728</v>
      </c>
    </row>
    <row r="19244" spans="5:5" x14ac:dyDescent="0.25">
      <c r="E19244" t="s">
        <v>18729</v>
      </c>
    </row>
    <row r="19245" spans="5:5" x14ac:dyDescent="0.25">
      <c r="E19245" t="s">
        <v>18730</v>
      </c>
    </row>
    <row r="19246" spans="5:5" x14ac:dyDescent="0.25">
      <c r="E19246" t="s">
        <v>18731</v>
      </c>
    </row>
    <row r="19247" spans="5:5" x14ac:dyDescent="0.25">
      <c r="E19247" t="s">
        <v>18732</v>
      </c>
    </row>
    <row r="19248" spans="5:5" x14ac:dyDescent="0.25">
      <c r="E19248" t="s">
        <v>18733</v>
      </c>
    </row>
    <row r="19249" spans="5:5" x14ac:dyDescent="0.25">
      <c r="E19249" t="s">
        <v>18734</v>
      </c>
    </row>
    <row r="19250" spans="5:5" x14ac:dyDescent="0.25">
      <c r="E19250" t="s">
        <v>18735</v>
      </c>
    </row>
    <row r="19251" spans="5:5" x14ac:dyDescent="0.25">
      <c r="E19251" t="s">
        <v>18736</v>
      </c>
    </row>
    <row r="19252" spans="5:5" x14ac:dyDescent="0.25">
      <c r="E19252" t="s">
        <v>18737</v>
      </c>
    </row>
    <row r="19253" spans="5:5" x14ac:dyDescent="0.25">
      <c r="E19253" t="s">
        <v>18738</v>
      </c>
    </row>
    <row r="19254" spans="5:5" x14ac:dyDescent="0.25">
      <c r="E19254" t="s">
        <v>18739</v>
      </c>
    </row>
    <row r="19255" spans="5:5" x14ac:dyDescent="0.25">
      <c r="E19255" t="s">
        <v>18740</v>
      </c>
    </row>
    <row r="19256" spans="5:5" x14ac:dyDescent="0.25">
      <c r="E19256" t="s">
        <v>18741</v>
      </c>
    </row>
    <row r="19257" spans="5:5" x14ac:dyDescent="0.25">
      <c r="E19257" t="s">
        <v>18742</v>
      </c>
    </row>
    <row r="19258" spans="5:5" x14ac:dyDescent="0.25">
      <c r="E19258" t="s">
        <v>18743</v>
      </c>
    </row>
    <row r="19259" spans="5:5" x14ac:dyDescent="0.25">
      <c r="E19259" t="s">
        <v>18744</v>
      </c>
    </row>
    <row r="19260" spans="5:5" x14ac:dyDescent="0.25">
      <c r="E19260" t="s">
        <v>18745</v>
      </c>
    </row>
    <row r="19261" spans="5:5" x14ac:dyDescent="0.25">
      <c r="E19261" t="s">
        <v>18746</v>
      </c>
    </row>
    <row r="19262" spans="5:5" x14ac:dyDescent="0.25">
      <c r="E19262" t="s">
        <v>18747</v>
      </c>
    </row>
    <row r="19263" spans="5:5" x14ac:dyDescent="0.25">
      <c r="E19263" t="s">
        <v>18748</v>
      </c>
    </row>
    <row r="19264" spans="5:5" x14ac:dyDescent="0.25">
      <c r="E19264" t="s">
        <v>18749</v>
      </c>
    </row>
    <row r="19265" spans="5:5" x14ac:dyDescent="0.25">
      <c r="E19265" t="s">
        <v>18750</v>
      </c>
    </row>
    <row r="19266" spans="5:5" x14ac:dyDescent="0.25">
      <c r="E19266" t="s">
        <v>18751</v>
      </c>
    </row>
    <row r="19267" spans="5:5" x14ac:dyDescent="0.25">
      <c r="E19267" t="s">
        <v>18752</v>
      </c>
    </row>
    <row r="19268" spans="5:5" x14ac:dyDescent="0.25">
      <c r="E19268" t="s">
        <v>18753</v>
      </c>
    </row>
    <row r="19269" spans="5:5" x14ac:dyDescent="0.25">
      <c r="E19269" t="s">
        <v>18754</v>
      </c>
    </row>
    <row r="19270" spans="5:5" x14ac:dyDescent="0.25">
      <c r="E19270" t="s">
        <v>18755</v>
      </c>
    </row>
    <row r="19271" spans="5:5" x14ac:dyDescent="0.25">
      <c r="E19271" t="s">
        <v>18756</v>
      </c>
    </row>
    <row r="19272" spans="5:5" x14ac:dyDescent="0.25">
      <c r="E19272" t="s">
        <v>18757</v>
      </c>
    </row>
    <row r="19273" spans="5:5" x14ac:dyDescent="0.25">
      <c r="E19273" t="s">
        <v>18758</v>
      </c>
    </row>
    <row r="19274" spans="5:5" x14ac:dyDescent="0.25">
      <c r="E19274" t="s">
        <v>18759</v>
      </c>
    </row>
    <row r="19275" spans="5:5" x14ac:dyDescent="0.25">
      <c r="E19275" t="s">
        <v>18760</v>
      </c>
    </row>
    <row r="19276" spans="5:5" x14ac:dyDescent="0.25">
      <c r="E19276" t="s">
        <v>18761</v>
      </c>
    </row>
    <row r="19277" spans="5:5" x14ac:dyDescent="0.25">
      <c r="E19277" t="s">
        <v>18762</v>
      </c>
    </row>
    <row r="19278" spans="5:5" x14ac:dyDescent="0.25">
      <c r="E19278" t="s">
        <v>18763</v>
      </c>
    </row>
    <row r="19279" spans="5:5" x14ac:dyDescent="0.25">
      <c r="E19279" t="s">
        <v>18764</v>
      </c>
    </row>
    <row r="19280" spans="5:5" x14ac:dyDescent="0.25">
      <c r="E19280" t="s">
        <v>18765</v>
      </c>
    </row>
    <row r="19281" spans="5:5" x14ac:dyDescent="0.25">
      <c r="E19281" t="s">
        <v>18766</v>
      </c>
    </row>
    <row r="19282" spans="5:5" x14ac:dyDescent="0.25">
      <c r="E19282" t="s">
        <v>18767</v>
      </c>
    </row>
    <row r="19283" spans="5:5" x14ac:dyDescent="0.25">
      <c r="E19283" t="s">
        <v>18768</v>
      </c>
    </row>
    <row r="19284" spans="5:5" x14ac:dyDescent="0.25">
      <c r="E19284" t="s">
        <v>18769</v>
      </c>
    </row>
    <row r="19285" spans="5:5" x14ac:dyDescent="0.25">
      <c r="E19285" t="s">
        <v>18770</v>
      </c>
    </row>
    <row r="19286" spans="5:5" x14ac:dyDescent="0.25">
      <c r="E19286" t="s">
        <v>18771</v>
      </c>
    </row>
    <row r="19287" spans="5:5" x14ac:dyDescent="0.25">
      <c r="E19287" t="s">
        <v>18772</v>
      </c>
    </row>
    <row r="19288" spans="5:5" x14ac:dyDescent="0.25">
      <c r="E19288" t="s">
        <v>18773</v>
      </c>
    </row>
    <row r="19289" spans="5:5" x14ac:dyDescent="0.25">
      <c r="E19289" t="s">
        <v>18774</v>
      </c>
    </row>
    <row r="19290" spans="5:5" x14ac:dyDescent="0.25">
      <c r="E19290" t="s">
        <v>18775</v>
      </c>
    </row>
    <row r="19291" spans="5:5" x14ac:dyDescent="0.25">
      <c r="E19291" t="s">
        <v>18776</v>
      </c>
    </row>
    <row r="19292" spans="5:5" x14ac:dyDescent="0.25">
      <c r="E19292" t="s">
        <v>18777</v>
      </c>
    </row>
    <row r="19293" spans="5:5" x14ac:dyDescent="0.25">
      <c r="E19293" t="s">
        <v>18778</v>
      </c>
    </row>
    <row r="19294" spans="5:5" x14ac:dyDescent="0.25">
      <c r="E19294" t="s">
        <v>18779</v>
      </c>
    </row>
    <row r="19295" spans="5:5" x14ac:dyDescent="0.25">
      <c r="E19295" t="s">
        <v>18780</v>
      </c>
    </row>
    <row r="19296" spans="5:5" x14ac:dyDescent="0.25">
      <c r="E19296" t="s">
        <v>18781</v>
      </c>
    </row>
    <row r="19297" spans="5:5" x14ac:dyDescent="0.25">
      <c r="E19297" t="s">
        <v>18782</v>
      </c>
    </row>
    <row r="19298" spans="5:5" x14ac:dyDescent="0.25">
      <c r="E19298" t="s">
        <v>18783</v>
      </c>
    </row>
    <row r="19299" spans="5:5" x14ac:dyDescent="0.25">
      <c r="E19299" t="s">
        <v>18784</v>
      </c>
    </row>
    <row r="19300" spans="5:5" x14ac:dyDescent="0.25">
      <c r="E19300" t="s">
        <v>18785</v>
      </c>
    </row>
    <row r="19301" spans="5:5" x14ac:dyDescent="0.25">
      <c r="E19301" t="s">
        <v>18786</v>
      </c>
    </row>
    <row r="19302" spans="5:5" x14ac:dyDescent="0.25">
      <c r="E19302" t="s">
        <v>18787</v>
      </c>
    </row>
    <row r="19303" spans="5:5" x14ac:dyDescent="0.25">
      <c r="E19303" t="s">
        <v>18788</v>
      </c>
    </row>
    <row r="19304" spans="5:5" x14ac:dyDescent="0.25">
      <c r="E19304" t="s">
        <v>18789</v>
      </c>
    </row>
    <row r="19305" spans="5:5" x14ac:dyDescent="0.25">
      <c r="E19305" t="s">
        <v>18790</v>
      </c>
    </row>
    <row r="19306" spans="5:5" x14ac:dyDescent="0.25">
      <c r="E19306" t="s">
        <v>18791</v>
      </c>
    </row>
    <row r="19307" spans="5:5" x14ac:dyDescent="0.25">
      <c r="E19307" t="s">
        <v>18792</v>
      </c>
    </row>
    <row r="19308" spans="5:5" x14ac:dyDescent="0.25">
      <c r="E19308" t="s">
        <v>18793</v>
      </c>
    </row>
    <row r="19309" spans="5:5" x14ac:dyDescent="0.25">
      <c r="E19309" t="s">
        <v>18794</v>
      </c>
    </row>
    <row r="19310" spans="5:5" x14ac:dyDescent="0.25">
      <c r="E19310" t="s">
        <v>18795</v>
      </c>
    </row>
    <row r="19311" spans="5:5" x14ac:dyDescent="0.25">
      <c r="E19311" t="s">
        <v>18796</v>
      </c>
    </row>
    <row r="19312" spans="5:5" x14ac:dyDescent="0.25">
      <c r="E19312" t="s">
        <v>18797</v>
      </c>
    </row>
    <row r="19313" spans="5:5" x14ac:dyDescent="0.25">
      <c r="E19313" t="s">
        <v>18798</v>
      </c>
    </row>
    <row r="19314" spans="5:5" x14ac:dyDescent="0.25">
      <c r="E19314" t="s">
        <v>18799</v>
      </c>
    </row>
    <row r="19315" spans="5:5" x14ac:dyDescent="0.25">
      <c r="E19315" t="s">
        <v>18800</v>
      </c>
    </row>
    <row r="19316" spans="5:5" x14ac:dyDescent="0.25">
      <c r="E19316" t="s">
        <v>18801</v>
      </c>
    </row>
    <row r="19317" spans="5:5" x14ac:dyDescent="0.25">
      <c r="E19317" t="s">
        <v>18802</v>
      </c>
    </row>
    <row r="19318" spans="5:5" x14ac:dyDescent="0.25">
      <c r="E19318" t="s">
        <v>18803</v>
      </c>
    </row>
    <row r="19319" spans="5:5" x14ac:dyDescent="0.25">
      <c r="E19319" t="s">
        <v>18804</v>
      </c>
    </row>
    <row r="19320" spans="5:5" x14ac:dyDescent="0.25">
      <c r="E19320" t="s">
        <v>18805</v>
      </c>
    </row>
    <row r="19321" spans="5:5" x14ac:dyDescent="0.25">
      <c r="E19321" t="s">
        <v>18806</v>
      </c>
    </row>
    <row r="19322" spans="5:5" x14ac:dyDescent="0.25">
      <c r="E19322" t="s">
        <v>18807</v>
      </c>
    </row>
    <row r="19323" spans="5:5" x14ac:dyDescent="0.25">
      <c r="E19323" t="s">
        <v>18808</v>
      </c>
    </row>
    <row r="19324" spans="5:5" x14ac:dyDescent="0.25">
      <c r="E19324" t="s">
        <v>18809</v>
      </c>
    </row>
    <row r="19325" spans="5:5" x14ac:dyDescent="0.25">
      <c r="E19325" t="s">
        <v>18810</v>
      </c>
    </row>
    <row r="19326" spans="5:5" x14ac:dyDescent="0.25">
      <c r="E19326" t="s">
        <v>18811</v>
      </c>
    </row>
    <row r="19327" spans="5:5" x14ac:dyDescent="0.25">
      <c r="E19327" t="s">
        <v>18812</v>
      </c>
    </row>
    <row r="19328" spans="5:5" x14ac:dyDescent="0.25">
      <c r="E19328" t="s">
        <v>18813</v>
      </c>
    </row>
    <row r="19329" spans="5:5" x14ac:dyDescent="0.25">
      <c r="E19329" t="s">
        <v>18814</v>
      </c>
    </row>
    <row r="19330" spans="5:5" x14ac:dyDescent="0.25">
      <c r="E19330" t="s">
        <v>18815</v>
      </c>
    </row>
    <row r="19331" spans="5:5" x14ac:dyDescent="0.25">
      <c r="E19331" t="s">
        <v>18816</v>
      </c>
    </row>
    <row r="19332" spans="5:5" x14ac:dyDescent="0.25">
      <c r="E19332" t="s">
        <v>18817</v>
      </c>
    </row>
    <row r="19333" spans="5:5" x14ac:dyDescent="0.25">
      <c r="E19333" t="s">
        <v>18818</v>
      </c>
    </row>
    <row r="19334" spans="5:5" x14ac:dyDescent="0.25">
      <c r="E19334" t="s">
        <v>18819</v>
      </c>
    </row>
    <row r="19335" spans="5:5" x14ac:dyDescent="0.25">
      <c r="E19335" t="s">
        <v>18820</v>
      </c>
    </row>
    <row r="19336" spans="5:5" x14ac:dyDescent="0.25">
      <c r="E19336" t="s">
        <v>18821</v>
      </c>
    </row>
    <row r="19337" spans="5:5" x14ac:dyDescent="0.25">
      <c r="E19337" t="s">
        <v>18822</v>
      </c>
    </row>
    <row r="19338" spans="5:5" x14ac:dyDescent="0.25">
      <c r="E19338" t="s">
        <v>18823</v>
      </c>
    </row>
    <row r="19339" spans="5:5" x14ac:dyDescent="0.25">
      <c r="E19339" t="s">
        <v>18824</v>
      </c>
    </row>
    <row r="19340" spans="5:5" x14ac:dyDescent="0.25">
      <c r="E19340" t="s">
        <v>18825</v>
      </c>
    </row>
    <row r="19341" spans="5:5" x14ac:dyDescent="0.25">
      <c r="E19341" t="s">
        <v>18826</v>
      </c>
    </row>
    <row r="19342" spans="5:5" x14ac:dyDescent="0.25">
      <c r="E19342" t="s">
        <v>18827</v>
      </c>
    </row>
    <row r="19343" spans="5:5" x14ac:dyDescent="0.25">
      <c r="E19343" t="s">
        <v>18828</v>
      </c>
    </row>
    <row r="19344" spans="5:5" x14ac:dyDescent="0.25">
      <c r="E19344" t="s">
        <v>18829</v>
      </c>
    </row>
    <row r="19345" spans="5:5" x14ac:dyDescent="0.25">
      <c r="E19345" t="s">
        <v>18830</v>
      </c>
    </row>
    <row r="19346" spans="5:5" x14ac:dyDescent="0.25">
      <c r="E19346" t="s">
        <v>18831</v>
      </c>
    </row>
    <row r="19347" spans="5:5" x14ac:dyDescent="0.25">
      <c r="E19347" t="s">
        <v>18832</v>
      </c>
    </row>
    <row r="19348" spans="5:5" x14ac:dyDescent="0.25">
      <c r="E19348" t="s">
        <v>18833</v>
      </c>
    </row>
    <row r="19349" spans="5:5" x14ac:dyDescent="0.25">
      <c r="E19349" t="s">
        <v>18834</v>
      </c>
    </row>
    <row r="19350" spans="5:5" x14ac:dyDescent="0.25">
      <c r="E19350" t="s">
        <v>18835</v>
      </c>
    </row>
    <row r="19351" spans="5:5" x14ac:dyDescent="0.25">
      <c r="E19351" t="s">
        <v>18836</v>
      </c>
    </row>
    <row r="19352" spans="5:5" x14ac:dyDescent="0.25">
      <c r="E19352" t="s">
        <v>18837</v>
      </c>
    </row>
    <row r="19353" spans="5:5" x14ac:dyDescent="0.25">
      <c r="E19353" t="s">
        <v>18838</v>
      </c>
    </row>
    <row r="19354" spans="5:5" x14ac:dyDescent="0.25">
      <c r="E19354" t="s">
        <v>18839</v>
      </c>
    </row>
    <row r="19355" spans="5:5" x14ac:dyDescent="0.25">
      <c r="E19355" t="s">
        <v>18840</v>
      </c>
    </row>
    <row r="19356" spans="5:5" x14ac:dyDescent="0.25">
      <c r="E19356" t="s">
        <v>18841</v>
      </c>
    </row>
    <row r="19357" spans="5:5" x14ac:dyDescent="0.25">
      <c r="E19357" t="s">
        <v>18842</v>
      </c>
    </row>
    <row r="19358" spans="5:5" x14ac:dyDescent="0.25">
      <c r="E19358" t="s">
        <v>18843</v>
      </c>
    </row>
    <row r="19359" spans="5:5" x14ac:dyDescent="0.25">
      <c r="E19359" t="s">
        <v>18844</v>
      </c>
    </row>
    <row r="19360" spans="5:5" x14ac:dyDescent="0.25">
      <c r="E19360" t="s">
        <v>18845</v>
      </c>
    </row>
    <row r="19361" spans="5:5" x14ac:dyDescent="0.25">
      <c r="E19361" t="s">
        <v>18846</v>
      </c>
    </row>
    <row r="19362" spans="5:5" x14ac:dyDescent="0.25">
      <c r="E19362" t="s">
        <v>18847</v>
      </c>
    </row>
    <row r="19363" spans="5:5" x14ac:dyDescent="0.25">
      <c r="E19363" t="s">
        <v>18848</v>
      </c>
    </row>
    <row r="19364" spans="5:5" x14ac:dyDescent="0.25">
      <c r="E19364" t="s">
        <v>18849</v>
      </c>
    </row>
    <row r="19365" spans="5:5" x14ac:dyDescent="0.25">
      <c r="E19365" t="s">
        <v>18850</v>
      </c>
    </row>
    <row r="19366" spans="5:5" x14ac:dyDescent="0.25">
      <c r="E19366" t="s">
        <v>18851</v>
      </c>
    </row>
    <row r="19367" spans="5:5" x14ac:dyDescent="0.25">
      <c r="E19367" t="s">
        <v>18852</v>
      </c>
    </row>
    <row r="19368" spans="5:5" x14ac:dyDescent="0.25">
      <c r="E19368" t="s">
        <v>18853</v>
      </c>
    </row>
    <row r="19369" spans="5:5" x14ac:dyDescent="0.25">
      <c r="E19369" t="s">
        <v>18854</v>
      </c>
    </row>
    <row r="19370" spans="5:5" x14ac:dyDescent="0.25">
      <c r="E19370" t="s">
        <v>18855</v>
      </c>
    </row>
    <row r="19371" spans="5:5" x14ac:dyDescent="0.25">
      <c r="E19371" t="s">
        <v>18856</v>
      </c>
    </row>
    <row r="19372" spans="5:5" x14ac:dyDescent="0.25">
      <c r="E19372" t="s">
        <v>18857</v>
      </c>
    </row>
    <row r="19373" spans="5:5" x14ac:dyDescent="0.25">
      <c r="E19373" t="s">
        <v>18858</v>
      </c>
    </row>
    <row r="19374" spans="5:5" x14ac:dyDescent="0.25">
      <c r="E19374" t="s">
        <v>18859</v>
      </c>
    </row>
    <row r="19375" spans="5:5" x14ac:dyDescent="0.25">
      <c r="E19375" t="s">
        <v>18860</v>
      </c>
    </row>
    <row r="19376" spans="5:5" x14ac:dyDescent="0.25">
      <c r="E19376" t="s">
        <v>18861</v>
      </c>
    </row>
    <row r="19377" spans="5:5" x14ac:dyDescent="0.25">
      <c r="E19377" t="s">
        <v>18862</v>
      </c>
    </row>
    <row r="19378" spans="5:5" x14ac:dyDescent="0.25">
      <c r="E19378" t="s">
        <v>18863</v>
      </c>
    </row>
    <row r="19379" spans="5:5" x14ac:dyDescent="0.25">
      <c r="E19379" t="s">
        <v>18864</v>
      </c>
    </row>
    <row r="19380" spans="5:5" x14ac:dyDescent="0.25">
      <c r="E19380" t="s">
        <v>18865</v>
      </c>
    </row>
    <row r="19381" spans="5:5" x14ac:dyDescent="0.25">
      <c r="E19381" t="s">
        <v>18866</v>
      </c>
    </row>
    <row r="19382" spans="5:5" x14ac:dyDescent="0.25">
      <c r="E19382" t="s">
        <v>18867</v>
      </c>
    </row>
    <row r="19383" spans="5:5" x14ac:dyDescent="0.25">
      <c r="E19383" t="s">
        <v>18868</v>
      </c>
    </row>
    <row r="19384" spans="5:5" x14ac:dyDescent="0.25">
      <c r="E19384" t="s">
        <v>18869</v>
      </c>
    </row>
    <row r="19385" spans="5:5" x14ac:dyDescent="0.25">
      <c r="E19385" t="s">
        <v>18870</v>
      </c>
    </row>
    <row r="19386" spans="5:5" x14ac:dyDescent="0.25">
      <c r="E19386" t="s">
        <v>18871</v>
      </c>
    </row>
    <row r="19387" spans="5:5" x14ac:dyDescent="0.25">
      <c r="E19387" t="s">
        <v>18872</v>
      </c>
    </row>
    <row r="19388" spans="5:5" x14ac:dyDescent="0.25">
      <c r="E19388" t="s">
        <v>18873</v>
      </c>
    </row>
    <row r="19389" spans="5:5" x14ac:dyDescent="0.25">
      <c r="E19389" t="s">
        <v>18874</v>
      </c>
    </row>
    <row r="19390" spans="5:5" x14ac:dyDescent="0.25">
      <c r="E19390" t="s">
        <v>18875</v>
      </c>
    </row>
    <row r="19391" spans="5:5" x14ac:dyDescent="0.25">
      <c r="E19391" t="s">
        <v>18876</v>
      </c>
    </row>
    <row r="19392" spans="5:5" x14ac:dyDescent="0.25">
      <c r="E19392" t="s">
        <v>18877</v>
      </c>
    </row>
    <row r="19393" spans="5:5" x14ac:dyDescent="0.25">
      <c r="E19393" t="s">
        <v>18878</v>
      </c>
    </row>
    <row r="19394" spans="5:5" x14ac:dyDescent="0.25">
      <c r="E19394" t="s">
        <v>18879</v>
      </c>
    </row>
    <row r="19395" spans="5:5" x14ac:dyDescent="0.25">
      <c r="E19395" t="s">
        <v>18880</v>
      </c>
    </row>
    <row r="19396" spans="5:5" x14ac:dyDescent="0.25">
      <c r="E19396" t="s">
        <v>18881</v>
      </c>
    </row>
    <row r="19397" spans="5:5" x14ac:dyDescent="0.25">
      <c r="E19397" t="s">
        <v>18882</v>
      </c>
    </row>
    <row r="19398" spans="5:5" x14ac:dyDescent="0.25">
      <c r="E19398" t="s">
        <v>18883</v>
      </c>
    </row>
    <row r="19399" spans="5:5" x14ac:dyDescent="0.25">
      <c r="E19399" t="s">
        <v>18884</v>
      </c>
    </row>
    <row r="19400" spans="5:5" x14ac:dyDescent="0.25">
      <c r="E19400" t="s">
        <v>18885</v>
      </c>
    </row>
    <row r="19401" spans="5:5" x14ac:dyDescent="0.25">
      <c r="E19401" t="s">
        <v>18886</v>
      </c>
    </row>
    <row r="19402" spans="5:5" x14ac:dyDescent="0.25">
      <c r="E19402" t="s">
        <v>18887</v>
      </c>
    </row>
    <row r="19403" spans="5:5" x14ac:dyDescent="0.25">
      <c r="E19403" t="s">
        <v>18888</v>
      </c>
    </row>
    <row r="19404" spans="5:5" x14ac:dyDescent="0.25">
      <c r="E19404" t="s">
        <v>18889</v>
      </c>
    </row>
    <row r="19405" spans="5:5" x14ac:dyDescent="0.25">
      <c r="E19405" t="s">
        <v>18890</v>
      </c>
    </row>
    <row r="19406" spans="5:5" x14ac:dyDescent="0.25">
      <c r="E19406" t="s">
        <v>18891</v>
      </c>
    </row>
    <row r="19407" spans="5:5" x14ac:dyDescent="0.25">
      <c r="E19407" t="s">
        <v>18892</v>
      </c>
    </row>
    <row r="19408" spans="5:5" x14ac:dyDescent="0.25">
      <c r="E19408" t="s">
        <v>18893</v>
      </c>
    </row>
    <row r="19409" spans="5:5" x14ac:dyDescent="0.25">
      <c r="E19409" t="s">
        <v>18894</v>
      </c>
    </row>
    <row r="19410" spans="5:5" x14ac:dyDescent="0.25">
      <c r="E19410" t="s">
        <v>18895</v>
      </c>
    </row>
    <row r="19411" spans="5:5" x14ac:dyDescent="0.25">
      <c r="E19411" t="s">
        <v>18896</v>
      </c>
    </row>
    <row r="19412" spans="5:5" x14ac:dyDescent="0.25">
      <c r="E19412" t="s">
        <v>18897</v>
      </c>
    </row>
    <row r="19413" spans="5:5" x14ac:dyDescent="0.25">
      <c r="E19413" t="s">
        <v>18898</v>
      </c>
    </row>
    <row r="19414" spans="5:5" x14ac:dyDescent="0.25">
      <c r="E19414" t="s">
        <v>18899</v>
      </c>
    </row>
    <row r="19415" spans="5:5" x14ac:dyDescent="0.25">
      <c r="E19415" t="s">
        <v>18900</v>
      </c>
    </row>
    <row r="19416" spans="5:5" x14ac:dyDescent="0.25">
      <c r="E19416" t="s">
        <v>18901</v>
      </c>
    </row>
    <row r="19417" spans="5:5" x14ac:dyDescent="0.25">
      <c r="E19417" t="s">
        <v>18902</v>
      </c>
    </row>
    <row r="19418" spans="5:5" x14ac:dyDescent="0.25">
      <c r="E19418" t="s">
        <v>18903</v>
      </c>
    </row>
    <row r="19419" spans="5:5" x14ac:dyDescent="0.25">
      <c r="E19419" t="s">
        <v>18904</v>
      </c>
    </row>
    <row r="19420" spans="5:5" x14ac:dyDescent="0.25">
      <c r="E19420" t="s">
        <v>18905</v>
      </c>
    </row>
    <row r="19421" spans="5:5" x14ac:dyDescent="0.25">
      <c r="E19421" t="s">
        <v>18906</v>
      </c>
    </row>
    <row r="19422" spans="5:5" x14ac:dyDescent="0.25">
      <c r="E19422" t="s">
        <v>18907</v>
      </c>
    </row>
    <row r="19423" spans="5:5" x14ac:dyDescent="0.25">
      <c r="E19423" t="s">
        <v>18908</v>
      </c>
    </row>
    <row r="19424" spans="5:5" x14ac:dyDescent="0.25">
      <c r="E19424" t="s">
        <v>18909</v>
      </c>
    </row>
    <row r="19425" spans="5:5" x14ac:dyDescent="0.25">
      <c r="E19425" t="s">
        <v>18910</v>
      </c>
    </row>
    <row r="19426" spans="5:5" x14ac:dyDescent="0.25">
      <c r="E19426" t="s">
        <v>18911</v>
      </c>
    </row>
    <row r="19427" spans="5:5" x14ac:dyDescent="0.25">
      <c r="E19427" t="s">
        <v>18912</v>
      </c>
    </row>
    <row r="19428" spans="5:5" x14ac:dyDescent="0.25">
      <c r="E19428" t="s">
        <v>18913</v>
      </c>
    </row>
    <row r="19429" spans="5:5" x14ac:dyDescent="0.25">
      <c r="E19429" t="s">
        <v>18914</v>
      </c>
    </row>
    <row r="19430" spans="5:5" x14ac:dyDescent="0.25">
      <c r="E19430" t="s">
        <v>18915</v>
      </c>
    </row>
    <row r="19431" spans="5:5" x14ac:dyDescent="0.25">
      <c r="E19431" t="s">
        <v>18916</v>
      </c>
    </row>
    <row r="19432" spans="5:5" x14ac:dyDescent="0.25">
      <c r="E19432" t="s">
        <v>18917</v>
      </c>
    </row>
    <row r="19433" spans="5:5" x14ac:dyDescent="0.25">
      <c r="E19433" t="s">
        <v>18918</v>
      </c>
    </row>
    <row r="19434" spans="5:5" x14ac:dyDescent="0.25">
      <c r="E19434" t="s">
        <v>18919</v>
      </c>
    </row>
    <row r="19435" spans="5:5" x14ac:dyDescent="0.25">
      <c r="E19435" t="s">
        <v>18920</v>
      </c>
    </row>
    <row r="19436" spans="5:5" x14ac:dyDescent="0.25">
      <c r="E19436" t="s">
        <v>18921</v>
      </c>
    </row>
    <row r="19437" spans="5:5" x14ac:dyDescent="0.25">
      <c r="E19437" t="s">
        <v>18922</v>
      </c>
    </row>
    <row r="19438" spans="5:5" x14ac:dyDescent="0.25">
      <c r="E19438" t="s">
        <v>18923</v>
      </c>
    </row>
    <row r="19439" spans="5:5" x14ac:dyDescent="0.25">
      <c r="E19439" t="s">
        <v>18924</v>
      </c>
    </row>
    <row r="19440" spans="5:5" x14ac:dyDescent="0.25">
      <c r="E19440" t="s">
        <v>18925</v>
      </c>
    </row>
    <row r="19441" spans="5:5" x14ac:dyDescent="0.25">
      <c r="E19441" t="s">
        <v>18926</v>
      </c>
    </row>
    <row r="19442" spans="5:5" x14ac:dyDescent="0.25">
      <c r="E19442" t="s">
        <v>18927</v>
      </c>
    </row>
    <row r="19443" spans="5:5" x14ac:dyDescent="0.25">
      <c r="E19443" t="s">
        <v>18928</v>
      </c>
    </row>
    <row r="19444" spans="5:5" x14ac:dyDescent="0.25">
      <c r="E19444" t="s">
        <v>18929</v>
      </c>
    </row>
    <row r="19445" spans="5:5" x14ac:dyDescent="0.25">
      <c r="E19445" t="s">
        <v>18930</v>
      </c>
    </row>
    <row r="19446" spans="5:5" x14ac:dyDescent="0.25">
      <c r="E19446" t="s">
        <v>18931</v>
      </c>
    </row>
    <row r="19447" spans="5:5" x14ac:dyDescent="0.25">
      <c r="E19447" t="s">
        <v>18932</v>
      </c>
    </row>
    <row r="19448" spans="5:5" x14ac:dyDescent="0.25">
      <c r="E19448" t="s">
        <v>18933</v>
      </c>
    </row>
    <row r="19449" spans="5:5" x14ac:dyDescent="0.25">
      <c r="E19449" t="s">
        <v>18934</v>
      </c>
    </row>
    <row r="19450" spans="5:5" x14ac:dyDescent="0.25">
      <c r="E19450" t="s">
        <v>18935</v>
      </c>
    </row>
    <row r="19451" spans="5:5" x14ac:dyDescent="0.25">
      <c r="E19451" t="s">
        <v>18936</v>
      </c>
    </row>
    <row r="19452" spans="5:5" x14ac:dyDescent="0.25">
      <c r="E19452" t="s">
        <v>18937</v>
      </c>
    </row>
    <row r="19453" spans="5:5" x14ac:dyDescent="0.25">
      <c r="E19453" t="s">
        <v>18938</v>
      </c>
    </row>
    <row r="19454" spans="5:5" x14ac:dyDescent="0.25">
      <c r="E19454" t="s">
        <v>18939</v>
      </c>
    </row>
    <row r="19455" spans="5:5" x14ac:dyDescent="0.25">
      <c r="E19455" t="s">
        <v>18940</v>
      </c>
    </row>
    <row r="19456" spans="5:5" x14ac:dyDescent="0.25">
      <c r="E19456" t="s">
        <v>18941</v>
      </c>
    </row>
    <row r="19457" spans="5:5" x14ac:dyDescent="0.25">
      <c r="E19457" t="s">
        <v>18942</v>
      </c>
    </row>
    <row r="19458" spans="5:5" x14ac:dyDescent="0.25">
      <c r="E19458" t="s">
        <v>18943</v>
      </c>
    </row>
    <row r="19459" spans="5:5" x14ac:dyDescent="0.25">
      <c r="E19459" t="s">
        <v>18944</v>
      </c>
    </row>
    <row r="19460" spans="5:5" x14ac:dyDescent="0.25">
      <c r="E19460" t="s">
        <v>18945</v>
      </c>
    </row>
    <row r="19461" spans="5:5" x14ac:dyDescent="0.25">
      <c r="E19461" t="s">
        <v>18946</v>
      </c>
    </row>
    <row r="19462" spans="5:5" x14ac:dyDescent="0.25">
      <c r="E19462" t="s">
        <v>18947</v>
      </c>
    </row>
    <row r="19463" spans="5:5" x14ac:dyDescent="0.25">
      <c r="E19463" t="s">
        <v>18948</v>
      </c>
    </row>
    <row r="19464" spans="5:5" x14ac:dyDescent="0.25">
      <c r="E19464" t="s">
        <v>18949</v>
      </c>
    </row>
    <row r="19465" spans="5:5" x14ac:dyDescent="0.25">
      <c r="E19465" t="s">
        <v>18950</v>
      </c>
    </row>
    <row r="19466" spans="5:5" x14ac:dyDescent="0.25">
      <c r="E19466" t="s">
        <v>18951</v>
      </c>
    </row>
    <row r="19467" spans="5:5" x14ac:dyDescent="0.25">
      <c r="E19467" t="s">
        <v>18952</v>
      </c>
    </row>
    <row r="19468" spans="5:5" x14ac:dyDescent="0.25">
      <c r="E19468" t="s">
        <v>18953</v>
      </c>
    </row>
    <row r="19469" spans="5:5" x14ac:dyDescent="0.25">
      <c r="E19469" t="s">
        <v>18954</v>
      </c>
    </row>
    <row r="19470" spans="5:5" x14ac:dyDescent="0.25">
      <c r="E19470" t="s">
        <v>18955</v>
      </c>
    </row>
    <row r="19471" spans="5:5" x14ac:dyDescent="0.25">
      <c r="E19471" t="s">
        <v>18956</v>
      </c>
    </row>
    <row r="19472" spans="5:5" x14ac:dyDescent="0.25">
      <c r="E19472" t="s">
        <v>18957</v>
      </c>
    </row>
    <row r="19473" spans="5:5" x14ac:dyDescent="0.25">
      <c r="E19473" t="s">
        <v>18958</v>
      </c>
    </row>
    <row r="19474" spans="5:5" x14ac:dyDescent="0.25">
      <c r="E19474" t="s">
        <v>18959</v>
      </c>
    </row>
    <row r="19475" spans="5:5" x14ac:dyDescent="0.25">
      <c r="E19475" t="s">
        <v>18960</v>
      </c>
    </row>
    <row r="19476" spans="5:5" x14ac:dyDescent="0.25">
      <c r="E19476" t="s">
        <v>18961</v>
      </c>
    </row>
    <row r="19477" spans="5:5" x14ac:dyDescent="0.25">
      <c r="E19477" t="s">
        <v>18962</v>
      </c>
    </row>
    <row r="19478" spans="5:5" x14ac:dyDescent="0.25">
      <c r="E19478" t="s">
        <v>18963</v>
      </c>
    </row>
    <row r="19479" spans="5:5" x14ac:dyDescent="0.25">
      <c r="E19479" t="s">
        <v>18964</v>
      </c>
    </row>
    <row r="19480" spans="5:5" x14ac:dyDescent="0.25">
      <c r="E19480" t="s">
        <v>18965</v>
      </c>
    </row>
    <row r="19481" spans="5:5" x14ac:dyDescent="0.25">
      <c r="E19481" t="s">
        <v>18966</v>
      </c>
    </row>
    <row r="19482" spans="5:5" x14ac:dyDescent="0.25">
      <c r="E19482" t="s">
        <v>18967</v>
      </c>
    </row>
    <row r="19483" spans="5:5" x14ac:dyDescent="0.25">
      <c r="E19483" t="s">
        <v>18968</v>
      </c>
    </row>
    <row r="19484" spans="5:5" x14ac:dyDescent="0.25">
      <c r="E19484" t="s">
        <v>18969</v>
      </c>
    </row>
    <row r="19485" spans="5:5" x14ac:dyDescent="0.25">
      <c r="E19485" t="s">
        <v>18970</v>
      </c>
    </row>
    <row r="19486" spans="5:5" x14ac:dyDescent="0.25">
      <c r="E19486" t="s">
        <v>18971</v>
      </c>
    </row>
    <row r="19487" spans="5:5" x14ac:dyDescent="0.25">
      <c r="E19487" t="s">
        <v>18972</v>
      </c>
    </row>
    <row r="19488" spans="5:5" x14ac:dyDescent="0.25">
      <c r="E19488" t="s">
        <v>18973</v>
      </c>
    </row>
    <row r="19489" spans="5:5" x14ac:dyDescent="0.25">
      <c r="E19489" t="s">
        <v>18974</v>
      </c>
    </row>
    <row r="19490" spans="5:5" x14ac:dyDescent="0.25">
      <c r="E19490" t="s">
        <v>18975</v>
      </c>
    </row>
    <row r="19491" spans="5:5" x14ac:dyDescent="0.25">
      <c r="E19491" t="s">
        <v>18976</v>
      </c>
    </row>
    <row r="19492" spans="5:5" x14ac:dyDescent="0.25">
      <c r="E19492" t="s">
        <v>18977</v>
      </c>
    </row>
    <row r="19493" spans="5:5" x14ac:dyDescent="0.25">
      <c r="E19493" t="s">
        <v>18978</v>
      </c>
    </row>
    <row r="19494" spans="5:5" x14ac:dyDescent="0.25">
      <c r="E19494" t="s">
        <v>18979</v>
      </c>
    </row>
    <row r="19495" spans="5:5" x14ac:dyDescent="0.25">
      <c r="E19495" t="s">
        <v>18980</v>
      </c>
    </row>
    <row r="19496" spans="5:5" x14ac:dyDescent="0.25">
      <c r="E19496" t="s">
        <v>18981</v>
      </c>
    </row>
    <row r="19497" spans="5:5" x14ac:dyDescent="0.25">
      <c r="E19497" t="s">
        <v>18982</v>
      </c>
    </row>
    <row r="19498" spans="5:5" x14ac:dyDescent="0.25">
      <c r="E19498" t="s">
        <v>18983</v>
      </c>
    </row>
    <row r="19499" spans="5:5" x14ac:dyDescent="0.25">
      <c r="E19499" t="s">
        <v>18984</v>
      </c>
    </row>
    <row r="19500" spans="5:5" x14ac:dyDescent="0.25">
      <c r="E19500" t="s">
        <v>18985</v>
      </c>
    </row>
    <row r="19501" spans="5:5" x14ac:dyDescent="0.25">
      <c r="E19501" t="s">
        <v>18986</v>
      </c>
    </row>
    <row r="19502" spans="5:5" x14ac:dyDescent="0.25">
      <c r="E19502" t="s">
        <v>18987</v>
      </c>
    </row>
    <row r="19503" spans="5:5" x14ac:dyDescent="0.25">
      <c r="E19503" t="s">
        <v>18988</v>
      </c>
    </row>
    <row r="19504" spans="5:5" x14ac:dyDescent="0.25">
      <c r="E19504" t="s">
        <v>18989</v>
      </c>
    </row>
    <row r="19505" spans="5:5" x14ac:dyDescent="0.25">
      <c r="E19505" t="s">
        <v>18990</v>
      </c>
    </row>
    <row r="19506" spans="5:5" x14ac:dyDescent="0.25">
      <c r="E19506" t="s">
        <v>18991</v>
      </c>
    </row>
    <row r="19507" spans="5:5" x14ac:dyDescent="0.25">
      <c r="E19507" t="s">
        <v>18992</v>
      </c>
    </row>
    <row r="19508" spans="5:5" x14ac:dyDescent="0.25">
      <c r="E19508" t="s">
        <v>18993</v>
      </c>
    </row>
    <row r="19509" spans="5:5" x14ac:dyDescent="0.25">
      <c r="E19509" t="s">
        <v>18994</v>
      </c>
    </row>
    <row r="19510" spans="5:5" x14ac:dyDescent="0.25">
      <c r="E19510" t="s">
        <v>18995</v>
      </c>
    </row>
    <row r="19511" spans="5:5" x14ac:dyDescent="0.25">
      <c r="E19511" t="s">
        <v>18996</v>
      </c>
    </row>
    <row r="19512" spans="5:5" x14ac:dyDescent="0.25">
      <c r="E19512" t="s">
        <v>18997</v>
      </c>
    </row>
    <row r="19513" spans="5:5" x14ac:dyDescent="0.25">
      <c r="E19513" t="s">
        <v>18998</v>
      </c>
    </row>
    <row r="19514" spans="5:5" x14ac:dyDescent="0.25">
      <c r="E19514" t="s">
        <v>18999</v>
      </c>
    </row>
    <row r="19515" spans="5:5" x14ac:dyDescent="0.25">
      <c r="E19515" t="s">
        <v>19000</v>
      </c>
    </row>
    <row r="19516" spans="5:5" x14ac:dyDescent="0.25">
      <c r="E19516" t="s">
        <v>19001</v>
      </c>
    </row>
    <row r="19517" spans="5:5" x14ac:dyDescent="0.25">
      <c r="E19517" t="s">
        <v>19002</v>
      </c>
    </row>
    <row r="19518" spans="5:5" x14ac:dyDescent="0.25">
      <c r="E19518" t="s">
        <v>19003</v>
      </c>
    </row>
    <row r="19519" spans="5:5" x14ac:dyDescent="0.25">
      <c r="E19519" t="s">
        <v>19004</v>
      </c>
    </row>
    <row r="19520" spans="5:5" x14ac:dyDescent="0.25">
      <c r="E19520" t="s">
        <v>19005</v>
      </c>
    </row>
    <row r="19521" spans="5:5" x14ac:dyDescent="0.25">
      <c r="E19521" t="s">
        <v>19006</v>
      </c>
    </row>
    <row r="19522" spans="5:5" x14ac:dyDescent="0.25">
      <c r="E19522" t="s">
        <v>19007</v>
      </c>
    </row>
    <row r="19523" spans="5:5" x14ac:dyDescent="0.25">
      <c r="E19523" t="s">
        <v>19008</v>
      </c>
    </row>
    <row r="19524" spans="5:5" x14ac:dyDescent="0.25">
      <c r="E19524" t="s">
        <v>19009</v>
      </c>
    </row>
    <row r="19525" spans="5:5" x14ac:dyDescent="0.25">
      <c r="E19525" t="s">
        <v>19010</v>
      </c>
    </row>
    <row r="19526" spans="5:5" x14ac:dyDescent="0.25">
      <c r="E19526" t="s">
        <v>19011</v>
      </c>
    </row>
    <row r="19527" spans="5:5" x14ac:dyDescent="0.25">
      <c r="E19527" t="s">
        <v>19012</v>
      </c>
    </row>
    <row r="19528" spans="5:5" x14ac:dyDescent="0.25">
      <c r="E19528" t="s">
        <v>19013</v>
      </c>
    </row>
    <row r="19529" spans="5:5" x14ac:dyDescent="0.25">
      <c r="E19529" t="s">
        <v>19014</v>
      </c>
    </row>
    <row r="19530" spans="5:5" x14ac:dyDescent="0.25">
      <c r="E19530" t="s">
        <v>19015</v>
      </c>
    </row>
    <row r="19531" spans="5:5" x14ac:dyDescent="0.25">
      <c r="E19531" t="s">
        <v>19016</v>
      </c>
    </row>
    <row r="19532" spans="5:5" x14ac:dyDescent="0.25">
      <c r="E19532" t="s">
        <v>19017</v>
      </c>
    </row>
    <row r="19533" spans="5:5" x14ac:dyDescent="0.25">
      <c r="E19533" t="s">
        <v>19018</v>
      </c>
    </row>
    <row r="19534" spans="5:5" x14ac:dyDescent="0.25">
      <c r="E19534" t="s">
        <v>19019</v>
      </c>
    </row>
    <row r="19535" spans="5:5" x14ac:dyDescent="0.25">
      <c r="E19535" t="s">
        <v>19020</v>
      </c>
    </row>
    <row r="19536" spans="5:5" x14ac:dyDescent="0.25">
      <c r="E19536" t="s">
        <v>19021</v>
      </c>
    </row>
    <row r="19537" spans="5:5" x14ac:dyDescent="0.25">
      <c r="E19537" t="s">
        <v>19022</v>
      </c>
    </row>
    <row r="19538" spans="5:5" x14ac:dyDescent="0.25">
      <c r="E19538" t="s">
        <v>19023</v>
      </c>
    </row>
    <row r="19539" spans="5:5" x14ac:dyDescent="0.25">
      <c r="E19539" t="s">
        <v>19024</v>
      </c>
    </row>
    <row r="19540" spans="5:5" x14ac:dyDescent="0.25">
      <c r="E19540" t="s">
        <v>19025</v>
      </c>
    </row>
    <row r="19541" spans="5:5" x14ac:dyDescent="0.25">
      <c r="E19541" t="s">
        <v>19026</v>
      </c>
    </row>
    <row r="19542" spans="5:5" x14ac:dyDescent="0.25">
      <c r="E19542" t="s">
        <v>19027</v>
      </c>
    </row>
    <row r="19543" spans="5:5" x14ac:dyDescent="0.25">
      <c r="E19543" t="s">
        <v>19028</v>
      </c>
    </row>
    <row r="19544" spans="5:5" x14ac:dyDescent="0.25">
      <c r="E19544" t="s">
        <v>19029</v>
      </c>
    </row>
    <row r="19545" spans="5:5" x14ac:dyDescent="0.25">
      <c r="E19545" t="s">
        <v>19030</v>
      </c>
    </row>
    <row r="19546" spans="5:5" x14ac:dyDescent="0.25">
      <c r="E19546" t="s">
        <v>19031</v>
      </c>
    </row>
    <row r="19547" spans="5:5" x14ac:dyDescent="0.25">
      <c r="E19547" t="s">
        <v>19032</v>
      </c>
    </row>
    <row r="19548" spans="5:5" x14ac:dyDescent="0.25">
      <c r="E19548" t="s">
        <v>19033</v>
      </c>
    </row>
    <row r="19549" spans="5:5" x14ac:dyDescent="0.25">
      <c r="E19549" t="s">
        <v>19034</v>
      </c>
    </row>
    <row r="19550" spans="5:5" x14ac:dyDescent="0.25">
      <c r="E19550" t="s">
        <v>19035</v>
      </c>
    </row>
    <row r="19551" spans="5:5" x14ac:dyDescent="0.25">
      <c r="E19551" t="s">
        <v>19036</v>
      </c>
    </row>
    <row r="19552" spans="5:5" x14ac:dyDescent="0.25">
      <c r="E19552" t="s">
        <v>19037</v>
      </c>
    </row>
    <row r="19553" spans="5:5" x14ac:dyDescent="0.25">
      <c r="E19553" t="s">
        <v>19038</v>
      </c>
    </row>
    <row r="19554" spans="5:5" x14ac:dyDescent="0.25">
      <c r="E19554" t="s">
        <v>19039</v>
      </c>
    </row>
    <row r="19555" spans="5:5" x14ac:dyDescent="0.25">
      <c r="E19555" t="s">
        <v>19040</v>
      </c>
    </row>
    <row r="19556" spans="5:5" x14ac:dyDescent="0.25">
      <c r="E19556" t="s">
        <v>19041</v>
      </c>
    </row>
    <row r="19557" spans="5:5" x14ac:dyDescent="0.25">
      <c r="E19557" t="s">
        <v>19042</v>
      </c>
    </row>
    <row r="19558" spans="5:5" x14ac:dyDescent="0.25">
      <c r="E19558" t="s">
        <v>19043</v>
      </c>
    </row>
    <row r="19559" spans="5:5" x14ac:dyDescent="0.25">
      <c r="E19559" t="s">
        <v>19044</v>
      </c>
    </row>
    <row r="19560" spans="5:5" x14ac:dyDescent="0.25">
      <c r="E19560" t="s">
        <v>19045</v>
      </c>
    </row>
    <row r="19561" spans="5:5" x14ac:dyDescent="0.25">
      <c r="E19561" t="s">
        <v>19046</v>
      </c>
    </row>
    <row r="19562" spans="5:5" x14ac:dyDescent="0.25">
      <c r="E19562" t="s">
        <v>19047</v>
      </c>
    </row>
    <row r="19563" spans="5:5" x14ac:dyDescent="0.25">
      <c r="E19563" t="s">
        <v>19048</v>
      </c>
    </row>
    <row r="19564" spans="5:5" x14ac:dyDescent="0.25">
      <c r="E19564" t="s">
        <v>19049</v>
      </c>
    </row>
    <row r="19565" spans="5:5" x14ac:dyDescent="0.25">
      <c r="E19565" t="s">
        <v>19050</v>
      </c>
    </row>
    <row r="19566" spans="5:5" x14ac:dyDescent="0.25">
      <c r="E19566" t="s">
        <v>19051</v>
      </c>
    </row>
    <row r="19567" spans="5:5" x14ac:dyDescent="0.25">
      <c r="E19567" t="s">
        <v>19052</v>
      </c>
    </row>
    <row r="19568" spans="5:5" x14ac:dyDescent="0.25">
      <c r="E19568" t="s">
        <v>19053</v>
      </c>
    </row>
    <row r="19569" spans="5:5" x14ac:dyDescent="0.25">
      <c r="E19569" t="s">
        <v>19054</v>
      </c>
    </row>
    <row r="19570" spans="5:5" x14ac:dyDescent="0.25">
      <c r="E19570" t="s">
        <v>19055</v>
      </c>
    </row>
    <row r="19571" spans="5:5" x14ac:dyDescent="0.25">
      <c r="E19571" t="s">
        <v>19056</v>
      </c>
    </row>
    <row r="19572" spans="5:5" x14ac:dyDescent="0.25">
      <c r="E19572" t="s">
        <v>19057</v>
      </c>
    </row>
    <row r="19573" spans="5:5" x14ac:dyDescent="0.25">
      <c r="E19573" t="s">
        <v>19058</v>
      </c>
    </row>
    <row r="19574" spans="5:5" x14ac:dyDescent="0.25">
      <c r="E19574" t="s">
        <v>19059</v>
      </c>
    </row>
    <row r="19575" spans="5:5" x14ac:dyDescent="0.25">
      <c r="E19575" t="s">
        <v>19060</v>
      </c>
    </row>
    <row r="19576" spans="5:5" x14ac:dyDescent="0.25">
      <c r="E19576" t="s">
        <v>19061</v>
      </c>
    </row>
    <row r="19577" spans="5:5" x14ac:dyDescent="0.25">
      <c r="E19577" t="s">
        <v>19062</v>
      </c>
    </row>
    <row r="19578" spans="5:5" x14ac:dyDescent="0.25">
      <c r="E19578" t="s">
        <v>19063</v>
      </c>
    </row>
    <row r="19579" spans="5:5" x14ac:dyDescent="0.25">
      <c r="E19579" t="s">
        <v>19064</v>
      </c>
    </row>
    <row r="19580" spans="5:5" x14ac:dyDescent="0.25">
      <c r="E19580" t="s">
        <v>19065</v>
      </c>
    </row>
    <row r="19581" spans="5:5" x14ac:dyDescent="0.25">
      <c r="E19581" t="s">
        <v>19066</v>
      </c>
    </row>
    <row r="19582" spans="5:5" x14ac:dyDescent="0.25">
      <c r="E19582" t="s">
        <v>19067</v>
      </c>
    </row>
    <row r="19583" spans="5:5" x14ac:dyDescent="0.25">
      <c r="E19583" t="s">
        <v>19068</v>
      </c>
    </row>
    <row r="19584" spans="5:5" x14ac:dyDescent="0.25">
      <c r="E19584" t="s">
        <v>19069</v>
      </c>
    </row>
    <row r="19585" spans="5:5" x14ac:dyDescent="0.25">
      <c r="E19585" t="s">
        <v>19070</v>
      </c>
    </row>
    <row r="19586" spans="5:5" x14ac:dyDescent="0.25">
      <c r="E19586" t="s">
        <v>19071</v>
      </c>
    </row>
    <row r="19587" spans="5:5" x14ac:dyDescent="0.25">
      <c r="E19587" t="s">
        <v>19072</v>
      </c>
    </row>
    <row r="19588" spans="5:5" x14ac:dyDescent="0.25">
      <c r="E19588" t="s">
        <v>19073</v>
      </c>
    </row>
    <row r="19589" spans="5:5" x14ac:dyDescent="0.25">
      <c r="E19589" t="s">
        <v>19074</v>
      </c>
    </row>
    <row r="19590" spans="5:5" x14ac:dyDescent="0.25">
      <c r="E19590" t="s">
        <v>19075</v>
      </c>
    </row>
    <row r="19591" spans="5:5" x14ac:dyDescent="0.25">
      <c r="E19591" t="s">
        <v>19076</v>
      </c>
    </row>
    <row r="19592" spans="5:5" x14ac:dyDescent="0.25">
      <c r="E19592" t="s">
        <v>19077</v>
      </c>
    </row>
    <row r="19593" spans="5:5" x14ac:dyDescent="0.25">
      <c r="E19593" t="s">
        <v>19078</v>
      </c>
    </row>
    <row r="19594" spans="5:5" x14ac:dyDescent="0.25">
      <c r="E19594" t="s">
        <v>19079</v>
      </c>
    </row>
    <row r="19595" spans="5:5" x14ac:dyDescent="0.25">
      <c r="E19595" t="s">
        <v>19080</v>
      </c>
    </row>
    <row r="19596" spans="5:5" x14ac:dyDescent="0.25">
      <c r="E19596" t="s">
        <v>19081</v>
      </c>
    </row>
    <row r="19597" spans="5:5" x14ac:dyDescent="0.25">
      <c r="E19597" t="s">
        <v>19082</v>
      </c>
    </row>
    <row r="19598" spans="5:5" x14ac:dyDescent="0.25">
      <c r="E19598" t="s">
        <v>19083</v>
      </c>
    </row>
    <row r="19599" spans="5:5" x14ac:dyDescent="0.25">
      <c r="E19599" t="s">
        <v>19084</v>
      </c>
    </row>
    <row r="19600" spans="5:5" x14ac:dyDescent="0.25">
      <c r="E19600" t="s">
        <v>19085</v>
      </c>
    </row>
    <row r="19601" spans="5:5" x14ac:dyDescent="0.25">
      <c r="E19601" t="s">
        <v>19086</v>
      </c>
    </row>
    <row r="19602" spans="5:5" x14ac:dyDescent="0.25">
      <c r="E19602" t="s">
        <v>19087</v>
      </c>
    </row>
    <row r="19603" spans="5:5" x14ac:dyDescent="0.25">
      <c r="E19603" t="s">
        <v>19088</v>
      </c>
    </row>
    <row r="19604" spans="5:5" x14ac:dyDescent="0.25">
      <c r="E19604" t="s">
        <v>19089</v>
      </c>
    </row>
    <row r="19605" spans="5:5" x14ac:dyDescent="0.25">
      <c r="E19605" t="s">
        <v>19090</v>
      </c>
    </row>
    <row r="19606" spans="5:5" x14ac:dyDescent="0.25">
      <c r="E19606" t="s">
        <v>19091</v>
      </c>
    </row>
    <row r="19607" spans="5:5" x14ac:dyDescent="0.25">
      <c r="E19607" t="s">
        <v>19092</v>
      </c>
    </row>
    <row r="19608" spans="5:5" x14ac:dyDescent="0.25">
      <c r="E19608" t="s">
        <v>19093</v>
      </c>
    </row>
    <row r="19609" spans="5:5" x14ac:dyDescent="0.25">
      <c r="E19609" t="s">
        <v>19094</v>
      </c>
    </row>
    <row r="19610" spans="5:5" x14ac:dyDescent="0.25">
      <c r="E19610" t="s">
        <v>19095</v>
      </c>
    </row>
    <row r="19611" spans="5:5" x14ac:dyDescent="0.25">
      <c r="E19611" t="s">
        <v>19096</v>
      </c>
    </row>
    <row r="19612" spans="5:5" x14ac:dyDescent="0.25">
      <c r="E19612" t="s">
        <v>19097</v>
      </c>
    </row>
    <row r="19613" spans="5:5" x14ac:dyDescent="0.25">
      <c r="E19613" t="s">
        <v>19098</v>
      </c>
    </row>
    <row r="19614" spans="5:5" x14ac:dyDescent="0.25">
      <c r="E19614" t="s">
        <v>19099</v>
      </c>
    </row>
    <row r="19615" spans="5:5" x14ac:dyDescent="0.25">
      <c r="E19615" t="s">
        <v>19100</v>
      </c>
    </row>
    <row r="19616" spans="5:5" x14ac:dyDescent="0.25">
      <c r="E19616" t="s">
        <v>19101</v>
      </c>
    </row>
    <row r="19617" spans="5:5" x14ac:dyDescent="0.25">
      <c r="E19617" t="s">
        <v>19102</v>
      </c>
    </row>
    <row r="19618" spans="5:5" x14ac:dyDescent="0.25">
      <c r="E19618" t="s">
        <v>19103</v>
      </c>
    </row>
    <row r="19619" spans="5:5" x14ac:dyDescent="0.25">
      <c r="E19619" t="s">
        <v>19104</v>
      </c>
    </row>
    <row r="19620" spans="5:5" x14ac:dyDescent="0.25">
      <c r="E19620" t="s">
        <v>19105</v>
      </c>
    </row>
    <row r="19621" spans="5:5" x14ac:dyDescent="0.25">
      <c r="E19621" t="s">
        <v>19106</v>
      </c>
    </row>
    <row r="19622" spans="5:5" x14ac:dyDescent="0.25">
      <c r="E19622" t="s">
        <v>19107</v>
      </c>
    </row>
    <row r="19623" spans="5:5" x14ac:dyDescent="0.25">
      <c r="E19623" t="s">
        <v>19108</v>
      </c>
    </row>
    <row r="19624" spans="5:5" x14ac:dyDescent="0.25">
      <c r="E19624" t="s">
        <v>19109</v>
      </c>
    </row>
    <row r="19625" spans="5:5" x14ac:dyDescent="0.25">
      <c r="E19625" t="s">
        <v>19110</v>
      </c>
    </row>
    <row r="19626" spans="5:5" x14ac:dyDescent="0.25">
      <c r="E19626" t="s">
        <v>19111</v>
      </c>
    </row>
    <row r="19627" spans="5:5" x14ac:dyDescent="0.25">
      <c r="E19627" t="s">
        <v>19112</v>
      </c>
    </row>
    <row r="19628" spans="5:5" x14ac:dyDescent="0.25">
      <c r="E19628" t="s">
        <v>19113</v>
      </c>
    </row>
    <row r="19629" spans="5:5" x14ac:dyDescent="0.25">
      <c r="E19629" t="s">
        <v>19114</v>
      </c>
    </row>
    <row r="19630" spans="5:5" x14ac:dyDescent="0.25">
      <c r="E19630" t="s">
        <v>19115</v>
      </c>
    </row>
    <row r="19631" spans="5:5" x14ac:dyDescent="0.25">
      <c r="E19631" t="s">
        <v>19116</v>
      </c>
    </row>
    <row r="19632" spans="5:5" x14ac:dyDescent="0.25">
      <c r="E19632" t="s">
        <v>19117</v>
      </c>
    </row>
    <row r="19633" spans="5:5" x14ac:dyDescent="0.25">
      <c r="E19633" t="s">
        <v>19118</v>
      </c>
    </row>
    <row r="19634" spans="5:5" x14ac:dyDescent="0.25">
      <c r="E19634" t="s">
        <v>19119</v>
      </c>
    </row>
    <row r="19635" spans="5:5" x14ac:dyDescent="0.25">
      <c r="E19635" t="s">
        <v>19120</v>
      </c>
    </row>
    <row r="19636" spans="5:5" x14ac:dyDescent="0.25">
      <c r="E19636" t="s">
        <v>19121</v>
      </c>
    </row>
    <row r="19637" spans="5:5" x14ac:dyDescent="0.25">
      <c r="E19637" t="s">
        <v>19122</v>
      </c>
    </row>
    <row r="19638" spans="5:5" x14ac:dyDescent="0.25">
      <c r="E19638" t="s">
        <v>19123</v>
      </c>
    </row>
    <row r="19639" spans="5:5" x14ac:dyDescent="0.25">
      <c r="E19639" t="s">
        <v>19124</v>
      </c>
    </row>
    <row r="19640" spans="5:5" x14ac:dyDescent="0.25">
      <c r="E19640" t="s">
        <v>19125</v>
      </c>
    </row>
    <row r="19641" spans="5:5" x14ac:dyDescent="0.25">
      <c r="E19641" t="s">
        <v>19126</v>
      </c>
    </row>
    <row r="19642" spans="5:5" x14ac:dyDescent="0.25">
      <c r="E19642" t="s">
        <v>19127</v>
      </c>
    </row>
    <row r="19643" spans="5:5" x14ac:dyDescent="0.25">
      <c r="E19643" t="s">
        <v>19128</v>
      </c>
    </row>
    <row r="19644" spans="5:5" x14ac:dyDescent="0.25">
      <c r="E19644" t="s">
        <v>19129</v>
      </c>
    </row>
    <row r="19645" spans="5:5" x14ac:dyDescent="0.25">
      <c r="E19645" t="s">
        <v>19130</v>
      </c>
    </row>
    <row r="19646" spans="5:5" x14ac:dyDescent="0.25">
      <c r="E19646" t="s">
        <v>19131</v>
      </c>
    </row>
    <row r="19647" spans="5:5" x14ac:dyDescent="0.25">
      <c r="E19647" t="s">
        <v>19132</v>
      </c>
    </row>
    <row r="19648" spans="5:5" x14ac:dyDescent="0.25">
      <c r="E19648" t="s">
        <v>19133</v>
      </c>
    </row>
    <row r="19649" spans="5:5" x14ac:dyDescent="0.25">
      <c r="E19649" t="s">
        <v>19134</v>
      </c>
    </row>
    <row r="19650" spans="5:5" x14ac:dyDescent="0.25">
      <c r="E19650" t="s">
        <v>19135</v>
      </c>
    </row>
    <row r="19651" spans="5:5" x14ac:dyDescent="0.25">
      <c r="E19651" t="s">
        <v>19136</v>
      </c>
    </row>
    <row r="19652" spans="5:5" x14ac:dyDescent="0.25">
      <c r="E19652" t="s">
        <v>19137</v>
      </c>
    </row>
    <row r="19653" spans="5:5" x14ac:dyDescent="0.25">
      <c r="E19653" t="s">
        <v>19138</v>
      </c>
    </row>
    <row r="19654" spans="5:5" x14ac:dyDescent="0.25">
      <c r="E19654" t="s">
        <v>19139</v>
      </c>
    </row>
    <row r="19655" spans="5:5" x14ac:dyDescent="0.25">
      <c r="E19655" t="s">
        <v>19140</v>
      </c>
    </row>
    <row r="19656" spans="5:5" x14ac:dyDescent="0.25">
      <c r="E19656" t="s">
        <v>19141</v>
      </c>
    </row>
    <row r="19657" spans="5:5" x14ac:dyDescent="0.25">
      <c r="E19657" t="s">
        <v>19142</v>
      </c>
    </row>
    <row r="19658" spans="5:5" x14ac:dyDescent="0.25">
      <c r="E19658" t="s">
        <v>19143</v>
      </c>
    </row>
    <row r="19659" spans="5:5" x14ac:dyDescent="0.25">
      <c r="E19659" t="s">
        <v>19144</v>
      </c>
    </row>
    <row r="19660" spans="5:5" x14ac:dyDescent="0.25">
      <c r="E19660" t="s">
        <v>19145</v>
      </c>
    </row>
    <row r="19661" spans="5:5" x14ac:dyDescent="0.25">
      <c r="E19661" t="s">
        <v>19146</v>
      </c>
    </row>
    <row r="19662" spans="5:5" x14ac:dyDescent="0.25">
      <c r="E19662" t="s">
        <v>19147</v>
      </c>
    </row>
    <row r="19663" spans="5:5" x14ac:dyDescent="0.25">
      <c r="E19663" t="s">
        <v>19148</v>
      </c>
    </row>
    <row r="19664" spans="5:5" x14ac:dyDescent="0.25">
      <c r="E19664" t="s">
        <v>19149</v>
      </c>
    </row>
    <row r="19665" spans="5:5" x14ac:dyDescent="0.25">
      <c r="E19665" t="s">
        <v>19150</v>
      </c>
    </row>
    <row r="19666" spans="5:5" x14ac:dyDescent="0.25">
      <c r="E19666" t="s">
        <v>19151</v>
      </c>
    </row>
    <row r="19667" spans="5:5" x14ac:dyDescent="0.25">
      <c r="E19667" t="s">
        <v>19152</v>
      </c>
    </row>
    <row r="19668" spans="5:5" x14ac:dyDescent="0.25">
      <c r="E19668" t="s">
        <v>19153</v>
      </c>
    </row>
    <row r="19669" spans="5:5" x14ac:dyDescent="0.25">
      <c r="E19669" t="s">
        <v>19154</v>
      </c>
    </row>
    <row r="19670" spans="5:5" x14ac:dyDescent="0.25">
      <c r="E19670" t="s">
        <v>19155</v>
      </c>
    </row>
    <row r="19671" spans="5:5" x14ac:dyDescent="0.25">
      <c r="E19671" t="s">
        <v>19156</v>
      </c>
    </row>
    <row r="19672" spans="5:5" x14ac:dyDescent="0.25">
      <c r="E19672" t="s">
        <v>19157</v>
      </c>
    </row>
    <row r="19673" spans="5:5" x14ac:dyDescent="0.25">
      <c r="E19673" t="s">
        <v>19158</v>
      </c>
    </row>
    <row r="19674" spans="5:5" x14ac:dyDescent="0.25">
      <c r="E19674" t="s">
        <v>19159</v>
      </c>
    </row>
    <row r="19675" spans="5:5" x14ac:dyDescent="0.25">
      <c r="E19675" t="s">
        <v>19160</v>
      </c>
    </row>
    <row r="19676" spans="5:5" x14ac:dyDescent="0.25">
      <c r="E19676" t="s">
        <v>19161</v>
      </c>
    </row>
    <row r="19677" spans="5:5" x14ac:dyDescent="0.25">
      <c r="E19677" t="s">
        <v>19162</v>
      </c>
    </row>
    <row r="19678" spans="5:5" x14ac:dyDescent="0.25">
      <c r="E19678" t="s">
        <v>19163</v>
      </c>
    </row>
    <row r="19679" spans="5:5" x14ac:dyDescent="0.25">
      <c r="E19679" t="s">
        <v>19164</v>
      </c>
    </row>
    <row r="19680" spans="5:5" x14ac:dyDescent="0.25">
      <c r="E19680" t="s">
        <v>19165</v>
      </c>
    </row>
    <row r="19681" spans="5:5" x14ac:dyDescent="0.25">
      <c r="E19681" t="s">
        <v>19166</v>
      </c>
    </row>
    <row r="19682" spans="5:5" x14ac:dyDescent="0.25">
      <c r="E19682" t="s">
        <v>19167</v>
      </c>
    </row>
    <row r="19683" spans="5:5" x14ac:dyDescent="0.25">
      <c r="E19683" t="s">
        <v>19168</v>
      </c>
    </row>
    <row r="19684" spans="5:5" x14ac:dyDescent="0.25">
      <c r="E19684" t="s">
        <v>19169</v>
      </c>
    </row>
    <row r="19685" spans="5:5" x14ac:dyDescent="0.25">
      <c r="E19685" t="s">
        <v>19170</v>
      </c>
    </row>
    <row r="19686" spans="5:5" x14ac:dyDescent="0.25">
      <c r="E19686" t="s">
        <v>19171</v>
      </c>
    </row>
    <row r="19687" spans="5:5" x14ac:dyDescent="0.25">
      <c r="E19687" t="s">
        <v>19172</v>
      </c>
    </row>
    <row r="19688" spans="5:5" x14ac:dyDescent="0.25">
      <c r="E19688" t="s">
        <v>19173</v>
      </c>
    </row>
    <row r="19689" spans="5:5" x14ac:dyDescent="0.25">
      <c r="E19689" t="s">
        <v>19174</v>
      </c>
    </row>
    <row r="19690" spans="5:5" x14ac:dyDescent="0.25">
      <c r="E19690" t="s">
        <v>19175</v>
      </c>
    </row>
    <row r="19691" spans="5:5" x14ac:dyDescent="0.25">
      <c r="E19691" t="s">
        <v>19176</v>
      </c>
    </row>
    <row r="19692" spans="5:5" x14ac:dyDescent="0.25">
      <c r="E19692" t="s">
        <v>19177</v>
      </c>
    </row>
    <row r="19693" spans="5:5" x14ac:dyDescent="0.25">
      <c r="E19693" t="s">
        <v>19178</v>
      </c>
    </row>
    <row r="19694" spans="5:5" x14ac:dyDescent="0.25">
      <c r="E19694" t="s">
        <v>19179</v>
      </c>
    </row>
    <row r="19695" spans="5:5" x14ac:dyDescent="0.25">
      <c r="E19695" t="s">
        <v>19180</v>
      </c>
    </row>
    <row r="19696" spans="5:5" x14ac:dyDescent="0.25">
      <c r="E19696" t="s">
        <v>19181</v>
      </c>
    </row>
    <row r="19697" spans="5:5" x14ac:dyDescent="0.25">
      <c r="E19697" t="s">
        <v>19182</v>
      </c>
    </row>
    <row r="19698" spans="5:5" x14ac:dyDescent="0.25">
      <c r="E19698" t="s">
        <v>19183</v>
      </c>
    </row>
    <row r="19699" spans="5:5" x14ac:dyDescent="0.25">
      <c r="E19699" t="s">
        <v>19184</v>
      </c>
    </row>
    <row r="19700" spans="5:5" x14ac:dyDescent="0.25">
      <c r="E19700" t="s">
        <v>19185</v>
      </c>
    </row>
    <row r="19701" spans="5:5" x14ac:dyDescent="0.25">
      <c r="E19701" t="s">
        <v>19186</v>
      </c>
    </row>
    <row r="19702" spans="5:5" x14ac:dyDescent="0.25">
      <c r="E19702" t="s">
        <v>19187</v>
      </c>
    </row>
    <row r="19703" spans="5:5" x14ac:dyDescent="0.25">
      <c r="E19703" t="s">
        <v>19188</v>
      </c>
    </row>
    <row r="19704" spans="5:5" x14ac:dyDescent="0.25">
      <c r="E19704" t="s">
        <v>19189</v>
      </c>
    </row>
    <row r="19705" spans="5:5" x14ac:dyDescent="0.25">
      <c r="E19705" t="s">
        <v>19190</v>
      </c>
    </row>
    <row r="19706" spans="5:5" x14ac:dyDescent="0.25">
      <c r="E19706" t="s">
        <v>19191</v>
      </c>
    </row>
    <row r="19707" spans="5:5" x14ac:dyDescent="0.25">
      <c r="E19707" t="s">
        <v>19192</v>
      </c>
    </row>
    <row r="19708" spans="5:5" x14ac:dyDescent="0.25">
      <c r="E19708" t="s">
        <v>19193</v>
      </c>
    </row>
    <row r="19709" spans="5:5" x14ac:dyDescent="0.25">
      <c r="E19709" t="s">
        <v>19194</v>
      </c>
    </row>
    <row r="19710" spans="5:5" x14ac:dyDescent="0.25">
      <c r="E19710" t="s">
        <v>19195</v>
      </c>
    </row>
    <row r="19711" spans="5:5" x14ac:dyDescent="0.25">
      <c r="E19711" t="s">
        <v>19196</v>
      </c>
    </row>
    <row r="19712" spans="5:5" x14ac:dyDescent="0.25">
      <c r="E19712" t="s">
        <v>19197</v>
      </c>
    </row>
    <row r="19713" spans="5:5" x14ac:dyDescent="0.25">
      <c r="E19713" t="s">
        <v>19198</v>
      </c>
    </row>
    <row r="19714" spans="5:5" x14ac:dyDescent="0.25">
      <c r="E19714" t="s">
        <v>19199</v>
      </c>
    </row>
    <row r="19715" spans="5:5" x14ac:dyDescent="0.25">
      <c r="E19715" t="s">
        <v>19200</v>
      </c>
    </row>
    <row r="19716" spans="5:5" x14ac:dyDescent="0.25">
      <c r="E19716" t="s">
        <v>19201</v>
      </c>
    </row>
    <row r="19717" spans="5:5" x14ac:dyDescent="0.25">
      <c r="E19717" t="s">
        <v>19202</v>
      </c>
    </row>
    <row r="19718" spans="5:5" x14ac:dyDescent="0.25">
      <c r="E19718" t="s">
        <v>19203</v>
      </c>
    </row>
    <row r="19719" spans="5:5" x14ac:dyDescent="0.25">
      <c r="E19719" t="s">
        <v>19204</v>
      </c>
    </row>
    <row r="19720" spans="5:5" x14ac:dyDescent="0.25">
      <c r="E19720" t="s">
        <v>19205</v>
      </c>
    </row>
    <row r="19721" spans="5:5" x14ac:dyDescent="0.25">
      <c r="E19721" t="s">
        <v>19206</v>
      </c>
    </row>
    <row r="19722" spans="5:5" x14ac:dyDescent="0.25">
      <c r="E19722" t="s">
        <v>19207</v>
      </c>
    </row>
    <row r="19723" spans="5:5" x14ac:dyDescent="0.25">
      <c r="E19723" t="s">
        <v>19208</v>
      </c>
    </row>
    <row r="19724" spans="5:5" x14ac:dyDescent="0.25">
      <c r="E19724" t="s">
        <v>19209</v>
      </c>
    </row>
    <row r="19725" spans="5:5" x14ac:dyDescent="0.25">
      <c r="E19725" t="s">
        <v>19210</v>
      </c>
    </row>
    <row r="19726" spans="5:5" x14ac:dyDescent="0.25">
      <c r="E19726" t="s">
        <v>19211</v>
      </c>
    </row>
    <row r="19727" spans="5:5" x14ac:dyDescent="0.25">
      <c r="E19727" t="s">
        <v>19212</v>
      </c>
    </row>
    <row r="19728" spans="5:5" x14ac:dyDescent="0.25">
      <c r="E19728" t="s">
        <v>19213</v>
      </c>
    </row>
    <row r="19729" spans="5:5" x14ac:dyDescent="0.25">
      <c r="E19729" t="s">
        <v>19214</v>
      </c>
    </row>
    <row r="19730" spans="5:5" x14ac:dyDescent="0.25">
      <c r="E19730" t="s">
        <v>19215</v>
      </c>
    </row>
    <row r="19731" spans="5:5" x14ac:dyDescent="0.25">
      <c r="E19731" t="s">
        <v>19216</v>
      </c>
    </row>
    <row r="19732" spans="5:5" x14ac:dyDescent="0.25">
      <c r="E19732" t="s">
        <v>19217</v>
      </c>
    </row>
    <row r="19733" spans="5:5" x14ac:dyDescent="0.25">
      <c r="E19733" t="s">
        <v>19218</v>
      </c>
    </row>
    <row r="19734" spans="5:5" x14ac:dyDescent="0.25">
      <c r="E19734" t="s">
        <v>19219</v>
      </c>
    </row>
    <row r="19735" spans="5:5" x14ac:dyDescent="0.25">
      <c r="E19735" t="s">
        <v>19220</v>
      </c>
    </row>
    <row r="19736" spans="5:5" x14ac:dyDescent="0.25">
      <c r="E19736" t="s">
        <v>19221</v>
      </c>
    </row>
    <row r="19737" spans="5:5" x14ac:dyDescent="0.25">
      <c r="E19737" t="s">
        <v>19222</v>
      </c>
    </row>
    <row r="19738" spans="5:5" x14ac:dyDescent="0.25">
      <c r="E19738" t="s">
        <v>19223</v>
      </c>
    </row>
    <row r="19739" spans="5:5" x14ac:dyDescent="0.25">
      <c r="E19739" t="s">
        <v>19224</v>
      </c>
    </row>
    <row r="19740" spans="5:5" x14ac:dyDescent="0.25">
      <c r="E19740" t="s">
        <v>19225</v>
      </c>
    </row>
    <row r="19741" spans="5:5" x14ac:dyDescent="0.25">
      <c r="E19741" t="s">
        <v>19226</v>
      </c>
    </row>
    <row r="19742" spans="5:5" x14ac:dyDescent="0.25">
      <c r="E19742" t="s">
        <v>19227</v>
      </c>
    </row>
    <row r="19743" spans="5:5" x14ac:dyDescent="0.25">
      <c r="E19743" t="s">
        <v>19228</v>
      </c>
    </row>
    <row r="19744" spans="5:5" x14ac:dyDescent="0.25">
      <c r="E19744" t="s">
        <v>19229</v>
      </c>
    </row>
    <row r="19745" spans="5:5" x14ac:dyDescent="0.25">
      <c r="E19745" t="s">
        <v>19230</v>
      </c>
    </row>
    <row r="19746" spans="5:5" x14ac:dyDescent="0.25">
      <c r="E19746" t="s">
        <v>19231</v>
      </c>
    </row>
    <row r="19747" spans="5:5" x14ac:dyDescent="0.25">
      <c r="E19747" t="s">
        <v>19232</v>
      </c>
    </row>
    <row r="19748" spans="5:5" x14ac:dyDescent="0.25">
      <c r="E19748" t="s">
        <v>19233</v>
      </c>
    </row>
    <row r="19749" spans="5:5" x14ac:dyDescent="0.25">
      <c r="E19749" t="s">
        <v>19234</v>
      </c>
    </row>
    <row r="19750" spans="5:5" x14ac:dyDescent="0.25">
      <c r="E19750" t="s">
        <v>19235</v>
      </c>
    </row>
    <row r="19751" spans="5:5" x14ac:dyDescent="0.25">
      <c r="E19751" t="s">
        <v>19236</v>
      </c>
    </row>
    <row r="19752" spans="5:5" x14ac:dyDescent="0.25">
      <c r="E19752" t="s">
        <v>19237</v>
      </c>
    </row>
    <row r="19753" spans="5:5" x14ac:dyDescent="0.25">
      <c r="E19753" t="s">
        <v>19238</v>
      </c>
    </row>
    <row r="19754" spans="5:5" x14ac:dyDescent="0.25">
      <c r="E19754" t="s">
        <v>19239</v>
      </c>
    </row>
    <row r="19755" spans="5:5" x14ac:dyDescent="0.25">
      <c r="E19755" t="s">
        <v>19240</v>
      </c>
    </row>
    <row r="19756" spans="5:5" x14ac:dyDescent="0.25">
      <c r="E19756" t="s">
        <v>19241</v>
      </c>
    </row>
    <row r="19757" spans="5:5" x14ac:dyDescent="0.25">
      <c r="E19757" t="s">
        <v>19242</v>
      </c>
    </row>
    <row r="19758" spans="5:5" x14ac:dyDescent="0.25">
      <c r="E19758" t="s">
        <v>19243</v>
      </c>
    </row>
    <row r="19759" spans="5:5" x14ac:dyDescent="0.25">
      <c r="E19759" t="s">
        <v>19244</v>
      </c>
    </row>
    <row r="19760" spans="5:5" x14ac:dyDescent="0.25">
      <c r="E19760" t="s">
        <v>19245</v>
      </c>
    </row>
    <row r="19761" spans="5:5" x14ac:dyDescent="0.25">
      <c r="E19761" t="s">
        <v>19246</v>
      </c>
    </row>
    <row r="19762" spans="5:5" x14ac:dyDescent="0.25">
      <c r="E19762" t="s">
        <v>19247</v>
      </c>
    </row>
    <row r="19763" spans="5:5" x14ac:dyDescent="0.25">
      <c r="E19763" t="s">
        <v>19248</v>
      </c>
    </row>
    <row r="19764" spans="5:5" x14ac:dyDescent="0.25">
      <c r="E19764" t="s">
        <v>19249</v>
      </c>
    </row>
    <row r="19765" spans="5:5" x14ac:dyDescent="0.25">
      <c r="E19765" t="s">
        <v>19250</v>
      </c>
    </row>
    <row r="19766" spans="5:5" x14ac:dyDescent="0.25">
      <c r="E19766" t="s">
        <v>19251</v>
      </c>
    </row>
    <row r="19767" spans="5:5" x14ac:dyDescent="0.25">
      <c r="E19767" t="s">
        <v>19252</v>
      </c>
    </row>
    <row r="19768" spans="5:5" x14ac:dyDescent="0.25">
      <c r="E19768" t="s">
        <v>19253</v>
      </c>
    </row>
    <row r="19769" spans="5:5" x14ac:dyDescent="0.25">
      <c r="E19769" t="s">
        <v>19254</v>
      </c>
    </row>
    <row r="19770" spans="5:5" x14ac:dyDescent="0.25">
      <c r="E19770" t="s">
        <v>19255</v>
      </c>
    </row>
    <row r="19771" spans="5:5" x14ac:dyDescent="0.25">
      <c r="E19771" t="s">
        <v>19256</v>
      </c>
    </row>
    <row r="19772" spans="5:5" x14ac:dyDescent="0.25">
      <c r="E19772" t="s">
        <v>19257</v>
      </c>
    </row>
    <row r="19773" spans="5:5" x14ac:dyDescent="0.25">
      <c r="E19773" t="s">
        <v>19258</v>
      </c>
    </row>
    <row r="19774" spans="5:5" x14ac:dyDescent="0.25">
      <c r="E19774" t="s">
        <v>19259</v>
      </c>
    </row>
    <row r="19775" spans="5:5" x14ac:dyDescent="0.25">
      <c r="E19775" t="s">
        <v>19260</v>
      </c>
    </row>
    <row r="19776" spans="5:5" x14ac:dyDescent="0.25">
      <c r="E19776" t="s">
        <v>19261</v>
      </c>
    </row>
    <row r="19777" spans="5:5" x14ac:dyDescent="0.25">
      <c r="E19777" t="s">
        <v>19262</v>
      </c>
    </row>
    <row r="19778" spans="5:5" x14ac:dyDescent="0.25">
      <c r="E19778" t="s">
        <v>19263</v>
      </c>
    </row>
    <row r="19779" spans="5:5" x14ac:dyDescent="0.25">
      <c r="E19779" t="s">
        <v>19264</v>
      </c>
    </row>
    <row r="19780" spans="5:5" x14ac:dyDescent="0.25">
      <c r="E19780" t="s">
        <v>19265</v>
      </c>
    </row>
    <row r="19781" spans="5:5" x14ac:dyDescent="0.25">
      <c r="E19781" t="s">
        <v>19266</v>
      </c>
    </row>
    <row r="19782" spans="5:5" x14ac:dyDescent="0.25">
      <c r="E19782" t="s">
        <v>19267</v>
      </c>
    </row>
    <row r="19783" spans="5:5" x14ac:dyDescent="0.25">
      <c r="E19783" t="s">
        <v>19268</v>
      </c>
    </row>
    <row r="19784" spans="5:5" x14ac:dyDescent="0.25">
      <c r="E19784" t="s">
        <v>19269</v>
      </c>
    </row>
    <row r="19785" spans="5:5" x14ac:dyDescent="0.25">
      <c r="E19785" t="s">
        <v>19270</v>
      </c>
    </row>
    <row r="19786" spans="5:5" x14ac:dyDescent="0.25">
      <c r="E19786" t="s">
        <v>19271</v>
      </c>
    </row>
    <row r="19787" spans="5:5" x14ac:dyDescent="0.25">
      <c r="E19787" t="s">
        <v>19272</v>
      </c>
    </row>
    <row r="19788" spans="5:5" x14ac:dyDescent="0.25">
      <c r="E19788" t="s">
        <v>19273</v>
      </c>
    </row>
    <row r="19789" spans="5:5" x14ac:dyDescent="0.25">
      <c r="E19789" t="s">
        <v>19274</v>
      </c>
    </row>
    <row r="19790" spans="5:5" x14ac:dyDescent="0.25">
      <c r="E19790" t="s">
        <v>19275</v>
      </c>
    </row>
    <row r="19791" spans="5:5" x14ac:dyDescent="0.25">
      <c r="E19791" t="s">
        <v>19276</v>
      </c>
    </row>
    <row r="19792" spans="5:5" x14ac:dyDescent="0.25">
      <c r="E19792" t="s">
        <v>19277</v>
      </c>
    </row>
    <row r="19793" spans="5:5" x14ac:dyDescent="0.25">
      <c r="E19793" t="s">
        <v>19278</v>
      </c>
    </row>
    <row r="19794" spans="5:5" x14ac:dyDescent="0.25">
      <c r="E19794" t="s">
        <v>19279</v>
      </c>
    </row>
    <row r="19795" spans="5:5" x14ac:dyDescent="0.25">
      <c r="E19795" t="s">
        <v>19280</v>
      </c>
    </row>
    <row r="19796" spans="5:5" x14ac:dyDescent="0.25">
      <c r="E19796" t="s">
        <v>19281</v>
      </c>
    </row>
    <row r="19797" spans="5:5" x14ac:dyDescent="0.25">
      <c r="E19797" t="s">
        <v>19282</v>
      </c>
    </row>
    <row r="19798" spans="5:5" x14ac:dyDescent="0.25">
      <c r="E19798" t="s">
        <v>19283</v>
      </c>
    </row>
    <row r="19799" spans="5:5" x14ac:dyDescent="0.25">
      <c r="E19799" t="s">
        <v>19284</v>
      </c>
    </row>
    <row r="19800" spans="5:5" x14ac:dyDescent="0.25">
      <c r="E19800" t="s">
        <v>19285</v>
      </c>
    </row>
    <row r="19801" spans="5:5" x14ac:dyDescent="0.25">
      <c r="E19801" t="s">
        <v>19286</v>
      </c>
    </row>
    <row r="19802" spans="5:5" x14ac:dyDescent="0.25">
      <c r="E19802" t="s">
        <v>19287</v>
      </c>
    </row>
    <row r="19803" spans="5:5" x14ac:dyDescent="0.25">
      <c r="E19803" t="s">
        <v>19288</v>
      </c>
    </row>
    <row r="19804" spans="5:5" x14ac:dyDescent="0.25">
      <c r="E19804" t="s">
        <v>19289</v>
      </c>
    </row>
    <row r="19805" spans="5:5" x14ac:dyDescent="0.25">
      <c r="E19805" t="s">
        <v>19290</v>
      </c>
    </row>
    <row r="19806" spans="5:5" x14ac:dyDescent="0.25">
      <c r="E19806" t="s">
        <v>19291</v>
      </c>
    </row>
    <row r="19807" spans="5:5" x14ac:dyDescent="0.25">
      <c r="E19807" t="s">
        <v>19292</v>
      </c>
    </row>
    <row r="19808" spans="5:5" x14ac:dyDescent="0.25">
      <c r="E19808" t="s">
        <v>19293</v>
      </c>
    </row>
    <row r="19809" spans="5:5" x14ac:dyDescent="0.25">
      <c r="E19809" t="s">
        <v>19294</v>
      </c>
    </row>
    <row r="19810" spans="5:5" x14ac:dyDescent="0.25">
      <c r="E19810" t="s">
        <v>19295</v>
      </c>
    </row>
    <row r="19811" spans="5:5" x14ac:dyDescent="0.25">
      <c r="E19811" t="s">
        <v>19296</v>
      </c>
    </row>
    <row r="19812" spans="5:5" x14ac:dyDescent="0.25">
      <c r="E19812" t="s">
        <v>19297</v>
      </c>
    </row>
    <row r="19813" spans="5:5" x14ac:dyDescent="0.25">
      <c r="E19813" t="s">
        <v>19298</v>
      </c>
    </row>
    <row r="19814" spans="5:5" x14ac:dyDescent="0.25">
      <c r="E19814" t="s">
        <v>19299</v>
      </c>
    </row>
    <row r="19815" spans="5:5" x14ac:dyDescent="0.25">
      <c r="E19815" t="s">
        <v>19300</v>
      </c>
    </row>
    <row r="19816" spans="5:5" x14ac:dyDescent="0.25">
      <c r="E19816" t="s">
        <v>19301</v>
      </c>
    </row>
    <row r="19817" spans="5:5" x14ac:dyDescent="0.25">
      <c r="E19817" t="s">
        <v>19302</v>
      </c>
    </row>
    <row r="19818" spans="5:5" x14ac:dyDescent="0.25">
      <c r="E19818" t="s">
        <v>19303</v>
      </c>
    </row>
    <row r="19819" spans="5:5" x14ac:dyDescent="0.25">
      <c r="E19819" t="s">
        <v>19304</v>
      </c>
    </row>
    <row r="19820" spans="5:5" x14ac:dyDescent="0.25">
      <c r="E19820" t="s">
        <v>19305</v>
      </c>
    </row>
    <row r="19821" spans="5:5" x14ac:dyDescent="0.25">
      <c r="E19821" t="s">
        <v>19306</v>
      </c>
    </row>
    <row r="19822" spans="5:5" x14ac:dyDescent="0.25">
      <c r="E19822" t="s">
        <v>19307</v>
      </c>
    </row>
    <row r="19823" spans="5:5" x14ac:dyDescent="0.25">
      <c r="E19823" t="s">
        <v>19308</v>
      </c>
    </row>
    <row r="19824" spans="5:5" x14ac:dyDescent="0.25">
      <c r="E19824" t="s">
        <v>19309</v>
      </c>
    </row>
    <row r="19825" spans="5:5" x14ac:dyDescent="0.25">
      <c r="E19825" t="s">
        <v>19310</v>
      </c>
    </row>
    <row r="19826" spans="5:5" x14ac:dyDescent="0.25">
      <c r="E19826" t="s">
        <v>19311</v>
      </c>
    </row>
    <row r="19827" spans="5:5" x14ac:dyDescent="0.25">
      <c r="E19827" t="s">
        <v>19312</v>
      </c>
    </row>
    <row r="19828" spans="5:5" x14ac:dyDescent="0.25">
      <c r="E19828" t="s">
        <v>19313</v>
      </c>
    </row>
    <row r="19829" spans="5:5" x14ac:dyDescent="0.25">
      <c r="E19829" t="s">
        <v>19314</v>
      </c>
    </row>
    <row r="19830" spans="5:5" x14ac:dyDescent="0.25">
      <c r="E19830" t="s">
        <v>19315</v>
      </c>
    </row>
    <row r="19831" spans="5:5" x14ac:dyDescent="0.25">
      <c r="E19831" t="s">
        <v>19316</v>
      </c>
    </row>
    <row r="19832" spans="5:5" x14ac:dyDescent="0.25">
      <c r="E19832" t="s">
        <v>19317</v>
      </c>
    </row>
    <row r="19833" spans="5:5" x14ac:dyDescent="0.25">
      <c r="E19833" t="s">
        <v>19318</v>
      </c>
    </row>
    <row r="19834" spans="5:5" x14ac:dyDescent="0.25">
      <c r="E19834" t="s">
        <v>19319</v>
      </c>
    </row>
    <row r="19835" spans="5:5" x14ac:dyDescent="0.25">
      <c r="E19835" t="s">
        <v>19320</v>
      </c>
    </row>
    <row r="19836" spans="5:5" x14ac:dyDescent="0.25">
      <c r="E19836" t="s">
        <v>19321</v>
      </c>
    </row>
    <row r="19837" spans="5:5" x14ac:dyDescent="0.25">
      <c r="E19837" t="s">
        <v>19322</v>
      </c>
    </row>
    <row r="19838" spans="5:5" x14ac:dyDescent="0.25">
      <c r="E19838" t="s">
        <v>19323</v>
      </c>
    </row>
    <row r="19839" spans="5:5" x14ac:dyDescent="0.25">
      <c r="E19839" t="s">
        <v>19324</v>
      </c>
    </row>
    <row r="19840" spans="5:5" x14ac:dyDescent="0.25">
      <c r="E19840" t="s">
        <v>19325</v>
      </c>
    </row>
    <row r="19841" spans="5:5" x14ac:dyDescent="0.25">
      <c r="E19841" t="s">
        <v>19326</v>
      </c>
    </row>
    <row r="19842" spans="5:5" x14ac:dyDescent="0.25">
      <c r="E19842" t="s">
        <v>19327</v>
      </c>
    </row>
    <row r="19843" spans="5:5" x14ac:dyDescent="0.25">
      <c r="E19843" t="s">
        <v>19328</v>
      </c>
    </row>
    <row r="19844" spans="5:5" x14ac:dyDescent="0.25">
      <c r="E19844" t="s">
        <v>19329</v>
      </c>
    </row>
    <row r="19845" spans="5:5" x14ac:dyDescent="0.25">
      <c r="E19845" t="s">
        <v>19330</v>
      </c>
    </row>
    <row r="19846" spans="5:5" x14ac:dyDescent="0.25">
      <c r="E19846" t="s">
        <v>19331</v>
      </c>
    </row>
    <row r="19847" spans="5:5" x14ac:dyDescent="0.25">
      <c r="E19847" t="s">
        <v>19332</v>
      </c>
    </row>
    <row r="19848" spans="5:5" x14ac:dyDescent="0.25">
      <c r="E19848" t="s">
        <v>19333</v>
      </c>
    </row>
    <row r="19849" spans="5:5" x14ac:dyDescent="0.25">
      <c r="E19849" t="s">
        <v>19334</v>
      </c>
    </row>
    <row r="19850" spans="5:5" x14ac:dyDescent="0.25">
      <c r="E19850" t="s">
        <v>19335</v>
      </c>
    </row>
    <row r="19851" spans="5:5" x14ac:dyDescent="0.25">
      <c r="E19851" t="s">
        <v>19336</v>
      </c>
    </row>
    <row r="19852" spans="5:5" x14ac:dyDescent="0.25">
      <c r="E19852" t="s">
        <v>19337</v>
      </c>
    </row>
    <row r="19853" spans="5:5" x14ac:dyDescent="0.25">
      <c r="E19853" t="s">
        <v>19338</v>
      </c>
    </row>
    <row r="19854" spans="5:5" x14ac:dyDescent="0.25">
      <c r="E19854" t="s">
        <v>19339</v>
      </c>
    </row>
    <row r="19855" spans="5:5" x14ac:dyDescent="0.25">
      <c r="E19855" t="s">
        <v>19340</v>
      </c>
    </row>
    <row r="19856" spans="5:5" x14ac:dyDescent="0.25">
      <c r="E19856" t="s">
        <v>19341</v>
      </c>
    </row>
    <row r="19857" spans="5:5" x14ac:dyDescent="0.25">
      <c r="E19857" t="s">
        <v>19342</v>
      </c>
    </row>
    <row r="19858" spans="5:5" x14ac:dyDescent="0.25">
      <c r="E19858" t="s">
        <v>19343</v>
      </c>
    </row>
    <row r="19859" spans="5:5" x14ac:dyDescent="0.25">
      <c r="E19859" t="s">
        <v>19344</v>
      </c>
    </row>
    <row r="19860" spans="5:5" x14ac:dyDescent="0.25">
      <c r="E19860" t="s">
        <v>19345</v>
      </c>
    </row>
    <row r="19861" spans="5:5" x14ac:dyDescent="0.25">
      <c r="E19861" t="s">
        <v>19346</v>
      </c>
    </row>
    <row r="19862" spans="5:5" x14ac:dyDescent="0.25">
      <c r="E19862" t="s">
        <v>19347</v>
      </c>
    </row>
    <row r="19863" spans="5:5" x14ac:dyDescent="0.25">
      <c r="E19863" t="s">
        <v>19348</v>
      </c>
    </row>
    <row r="19864" spans="5:5" x14ac:dyDescent="0.25">
      <c r="E19864" t="s">
        <v>19349</v>
      </c>
    </row>
    <row r="19865" spans="5:5" x14ac:dyDescent="0.25">
      <c r="E19865" t="s">
        <v>19350</v>
      </c>
    </row>
    <row r="19866" spans="5:5" x14ac:dyDescent="0.25">
      <c r="E19866" t="s">
        <v>19351</v>
      </c>
    </row>
    <row r="19867" spans="5:5" x14ac:dyDescent="0.25">
      <c r="E19867" t="s">
        <v>19352</v>
      </c>
    </row>
    <row r="19868" spans="5:5" x14ac:dyDescent="0.25">
      <c r="E19868" t="s">
        <v>19353</v>
      </c>
    </row>
    <row r="19869" spans="5:5" x14ac:dyDescent="0.25">
      <c r="E19869" t="s">
        <v>19354</v>
      </c>
    </row>
    <row r="19870" spans="5:5" x14ac:dyDescent="0.25">
      <c r="E19870" t="s">
        <v>19355</v>
      </c>
    </row>
    <row r="19871" spans="5:5" x14ac:dyDescent="0.25">
      <c r="E19871" t="s">
        <v>19356</v>
      </c>
    </row>
    <row r="19872" spans="5:5" x14ac:dyDescent="0.25">
      <c r="E19872" t="s">
        <v>19357</v>
      </c>
    </row>
    <row r="19873" spans="5:5" x14ac:dyDescent="0.25">
      <c r="E19873" t="s">
        <v>19358</v>
      </c>
    </row>
    <row r="19874" spans="5:5" x14ac:dyDescent="0.25">
      <c r="E19874" t="s">
        <v>19359</v>
      </c>
    </row>
    <row r="19875" spans="5:5" x14ac:dyDescent="0.25">
      <c r="E19875" t="s">
        <v>19360</v>
      </c>
    </row>
    <row r="19876" spans="5:5" x14ac:dyDescent="0.25">
      <c r="E19876" t="s">
        <v>19361</v>
      </c>
    </row>
    <row r="19877" spans="5:5" x14ac:dyDescent="0.25">
      <c r="E19877" t="s">
        <v>19362</v>
      </c>
    </row>
    <row r="19878" spans="5:5" x14ac:dyDescent="0.25">
      <c r="E19878" t="s">
        <v>19363</v>
      </c>
    </row>
    <row r="19879" spans="5:5" x14ac:dyDescent="0.25">
      <c r="E19879" t="s">
        <v>19364</v>
      </c>
    </row>
    <row r="19880" spans="5:5" x14ac:dyDescent="0.25">
      <c r="E19880" t="s">
        <v>19365</v>
      </c>
    </row>
    <row r="19881" spans="5:5" x14ac:dyDescent="0.25">
      <c r="E19881" t="s">
        <v>19366</v>
      </c>
    </row>
    <row r="19882" spans="5:5" x14ac:dyDescent="0.25">
      <c r="E19882" t="s">
        <v>19367</v>
      </c>
    </row>
    <row r="19883" spans="5:5" x14ac:dyDescent="0.25">
      <c r="E19883" t="s">
        <v>19368</v>
      </c>
    </row>
    <row r="19884" spans="5:5" x14ac:dyDescent="0.25">
      <c r="E19884" t="s">
        <v>19369</v>
      </c>
    </row>
    <row r="19885" spans="5:5" x14ac:dyDescent="0.25">
      <c r="E19885" t="s">
        <v>19370</v>
      </c>
    </row>
    <row r="19886" spans="5:5" x14ac:dyDescent="0.25">
      <c r="E19886" t="s">
        <v>19371</v>
      </c>
    </row>
    <row r="19887" spans="5:5" x14ac:dyDescent="0.25">
      <c r="E19887" t="s">
        <v>19372</v>
      </c>
    </row>
    <row r="19888" spans="5:5" x14ac:dyDescent="0.25">
      <c r="E19888" t="s">
        <v>19373</v>
      </c>
    </row>
    <row r="19889" spans="5:5" x14ac:dyDescent="0.25">
      <c r="E19889" t="s">
        <v>19374</v>
      </c>
    </row>
    <row r="19890" spans="5:5" x14ac:dyDescent="0.25">
      <c r="E19890" t="s">
        <v>19375</v>
      </c>
    </row>
    <row r="19891" spans="5:5" x14ac:dyDescent="0.25">
      <c r="E19891" t="s">
        <v>19376</v>
      </c>
    </row>
    <row r="19892" spans="5:5" x14ac:dyDescent="0.25">
      <c r="E19892" t="s">
        <v>19377</v>
      </c>
    </row>
    <row r="19893" spans="5:5" x14ac:dyDescent="0.25">
      <c r="E19893" t="s">
        <v>19378</v>
      </c>
    </row>
    <row r="19894" spans="5:5" x14ac:dyDescent="0.25">
      <c r="E19894" t="s">
        <v>19379</v>
      </c>
    </row>
    <row r="19895" spans="5:5" x14ac:dyDescent="0.25">
      <c r="E19895" t="s">
        <v>19380</v>
      </c>
    </row>
    <row r="19896" spans="5:5" x14ac:dyDescent="0.25">
      <c r="E19896" t="s">
        <v>19381</v>
      </c>
    </row>
    <row r="19897" spans="5:5" x14ac:dyDescent="0.25">
      <c r="E19897" t="s">
        <v>19382</v>
      </c>
    </row>
    <row r="19898" spans="5:5" x14ac:dyDescent="0.25">
      <c r="E19898" t="s">
        <v>19383</v>
      </c>
    </row>
    <row r="19899" spans="5:5" x14ac:dyDescent="0.25">
      <c r="E19899" t="s">
        <v>19384</v>
      </c>
    </row>
    <row r="19900" spans="5:5" x14ac:dyDescent="0.25">
      <c r="E19900" t="s">
        <v>19385</v>
      </c>
    </row>
    <row r="19901" spans="5:5" x14ac:dyDescent="0.25">
      <c r="E19901" t="s">
        <v>19386</v>
      </c>
    </row>
    <row r="19902" spans="5:5" x14ac:dyDescent="0.25">
      <c r="E19902" t="s">
        <v>19387</v>
      </c>
    </row>
    <row r="19903" spans="5:5" x14ac:dyDescent="0.25">
      <c r="E19903" t="s">
        <v>19388</v>
      </c>
    </row>
    <row r="19904" spans="5:5" x14ac:dyDescent="0.25">
      <c r="E19904" t="s">
        <v>19389</v>
      </c>
    </row>
    <row r="19905" spans="5:5" x14ac:dyDescent="0.25">
      <c r="E19905" t="s">
        <v>19390</v>
      </c>
    </row>
    <row r="19906" spans="5:5" x14ac:dyDescent="0.25">
      <c r="E19906" t="s">
        <v>19391</v>
      </c>
    </row>
    <row r="19907" spans="5:5" x14ac:dyDescent="0.25">
      <c r="E19907" t="s">
        <v>19392</v>
      </c>
    </row>
    <row r="19908" spans="5:5" x14ac:dyDescent="0.25">
      <c r="E19908" t="s">
        <v>19393</v>
      </c>
    </row>
    <row r="19909" spans="5:5" x14ac:dyDescent="0.25">
      <c r="E19909" t="s">
        <v>19394</v>
      </c>
    </row>
    <row r="19910" spans="5:5" x14ac:dyDescent="0.25">
      <c r="E19910" t="s">
        <v>19395</v>
      </c>
    </row>
    <row r="19911" spans="5:5" x14ac:dyDescent="0.25">
      <c r="E19911" t="s">
        <v>19396</v>
      </c>
    </row>
    <row r="19912" spans="5:5" x14ac:dyDescent="0.25">
      <c r="E19912" t="s">
        <v>19397</v>
      </c>
    </row>
    <row r="19913" spans="5:5" x14ac:dyDescent="0.25">
      <c r="E19913" t="s">
        <v>19398</v>
      </c>
    </row>
    <row r="19914" spans="5:5" x14ac:dyDescent="0.25">
      <c r="E19914" t="s">
        <v>19399</v>
      </c>
    </row>
    <row r="19915" spans="5:5" x14ac:dyDescent="0.25">
      <c r="E19915" t="s">
        <v>19400</v>
      </c>
    </row>
    <row r="19916" spans="5:5" x14ac:dyDescent="0.25">
      <c r="E19916" t="s">
        <v>19401</v>
      </c>
    </row>
    <row r="19917" spans="5:5" x14ac:dyDescent="0.25">
      <c r="E19917" t="s">
        <v>19402</v>
      </c>
    </row>
    <row r="19918" spans="5:5" x14ac:dyDescent="0.25">
      <c r="E19918" t="s">
        <v>19403</v>
      </c>
    </row>
    <row r="19919" spans="5:5" x14ac:dyDescent="0.25">
      <c r="E19919" t="s">
        <v>19404</v>
      </c>
    </row>
    <row r="19920" spans="5:5" x14ac:dyDescent="0.25">
      <c r="E19920" t="s">
        <v>19405</v>
      </c>
    </row>
    <row r="19921" spans="5:5" x14ac:dyDescent="0.25">
      <c r="E19921" t="s">
        <v>19406</v>
      </c>
    </row>
    <row r="19922" spans="5:5" x14ac:dyDescent="0.25">
      <c r="E19922" t="s">
        <v>19407</v>
      </c>
    </row>
    <row r="19923" spans="5:5" x14ac:dyDescent="0.25">
      <c r="E19923" t="s">
        <v>19408</v>
      </c>
    </row>
    <row r="19924" spans="5:5" x14ac:dyDescent="0.25">
      <c r="E19924" t="s">
        <v>19409</v>
      </c>
    </row>
    <row r="19925" spans="5:5" x14ac:dyDescent="0.25">
      <c r="E19925" t="s">
        <v>19410</v>
      </c>
    </row>
    <row r="19926" spans="5:5" x14ac:dyDescent="0.25">
      <c r="E19926" t="s">
        <v>19411</v>
      </c>
    </row>
    <row r="19927" spans="5:5" x14ac:dyDescent="0.25">
      <c r="E19927" t="s">
        <v>19412</v>
      </c>
    </row>
    <row r="19928" spans="5:5" x14ac:dyDescent="0.25">
      <c r="E19928" t="s">
        <v>19413</v>
      </c>
    </row>
    <row r="19929" spans="5:5" x14ac:dyDescent="0.25">
      <c r="E19929" t="s">
        <v>19414</v>
      </c>
    </row>
    <row r="19930" spans="5:5" x14ac:dyDescent="0.25">
      <c r="E19930" t="s">
        <v>19415</v>
      </c>
    </row>
    <row r="19931" spans="5:5" x14ac:dyDescent="0.25">
      <c r="E19931" t="s">
        <v>19416</v>
      </c>
    </row>
    <row r="19932" spans="5:5" x14ac:dyDescent="0.25">
      <c r="E19932" t="s">
        <v>19417</v>
      </c>
    </row>
    <row r="19933" spans="5:5" x14ac:dyDescent="0.25">
      <c r="E19933" t="s">
        <v>19418</v>
      </c>
    </row>
    <row r="19934" spans="5:5" x14ac:dyDescent="0.25">
      <c r="E19934" t="s">
        <v>19419</v>
      </c>
    </row>
    <row r="19935" spans="5:5" x14ac:dyDescent="0.25">
      <c r="E19935" t="s">
        <v>19420</v>
      </c>
    </row>
    <row r="19936" spans="5:5" x14ac:dyDescent="0.25">
      <c r="E19936" t="s">
        <v>19421</v>
      </c>
    </row>
    <row r="19937" spans="5:5" x14ac:dyDescent="0.25">
      <c r="E19937" t="s">
        <v>19422</v>
      </c>
    </row>
    <row r="19938" spans="5:5" x14ac:dyDescent="0.25">
      <c r="E19938" t="s">
        <v>19423</v>
      </c>
    </row>
    <row r="19939" spans="5:5" x14ac:dyDescent="0.25">
      <c r="E19939" t="s">
        <v>19424</v>
      </c>
    </row>
    <row r="19940" spans="5:5" x14ac:dyDescent="0.25">
      <c r="E19940" t="s">
        <v>19425</v>
      </c>
    </row>
    <row r="19941" spans="5:5" x14ac:dyDescent="0.25">
      <c r="E19941" t="s">
        <v>19426</v>
      </c>
    </row>
    <row r="19942" spans="5:5" x14ac:dyDescent="0.25">
      <c r="E19942" t="s">
        <v>19427</v>
      </c>
    </row>
    <row r="19943" spans="5:5" x14ac:dyDescent="0.25">
      <c r="E19943" t="s">
        <v>19428</v>
      </c>
    </row>
    <row r="19944" spans="5:5" x14ac:dyDescent="0.25">
      <c r="E19944" t="s">
        <v>19429</v>
      </c>
    </row>
    <row r="19945" spans="5:5" x14ac:dyDescent="0.25">
      <c r="E19945" t="s">
        <v>19430</v>
      </c>
    </row>
    <row r="19946" spans="5:5" x14ac:dyDescent="0.25">
      <c r="E19946" t="s">
        <v>19431</v>
      </c>
    </row>
    <row r="19947" spans="5:5" x14ac:dyDescent="0.25">
      <c r="E19947" t="s">
        <v>19432</v>
      </c>
    </row>
    <row r="19948" spans="5:5" x14ac:dyDescent="0.25">
      <c r="E19948" t="s">
        <v>19433</v>
      </c>
    </row>
    <row r="19949" spans="5:5" x14ac:dyDescent="0.25">
      <c r="E19949" t="s">
        <v>19434</v>
      </c>
    </row>
    <row r="19950" spans="5:5" x14ac:dyDescent="0.25">
      <c r="E19950" t="s">
        <v>19435</v>
      </c>
    </row>
    <row r="19951" spans="5:5" x14ac:dyDescent="0.25">
      <c r="E19951" t="s">
        <v>19436</v>
      </c>
    </row>
    <row r="19952" spans="5:5" x14ac:dyDescent="0.25">
      <c r="E19952" t="s">
        <v>19437</v>
      </c>
    </row>
    <row r="19953" spans="5:5" x14ac:dyDescent="0.25">
      <c r="E19953" t="s">
        <v>19438</v>
      </c>
    </row>
    <row r="19954" spans="5:5" x14ac:dyDescent="0.25">
      <c r="E19954" t="s">
        <v>19439</v>
      </c>
    </row>
    <row r="19955" spans="5:5" x14ac:dyDescent="0.25">
      <c r="E19955" t="s">
        <v>19440</v>
      </c>
    </row>
    <row r="19956" spans="5:5" x14ac:dyDescent="0.25">
      <c r="E19956" t="s">
        <v>19441</v>
      </c>
    </row>
    <row r="19957" spans="5:5" x14ac:dyDescent="0.25">
      <c r="E19957" t="s">
        <v>19442</v>
      </c>
    </row>
    <row r="19958" spans="5:5" x14ac:dyDescent="0.25">
      <c r="E19958" t="s">
        <v>19443</v>
      </c>
    </row>
    <row r="19959" spans="5:5" x14ac:dyDescent="0.25">
      <c r="E19959" t="s">
        <v>19444</v>
      </c>
    </row>
    <row r="19960" spans="5:5" x14ac:dyDescent="0.25">
      <c r="E19960" t="s">
        <v>19445</v>
      </c>
    </row>
    <row r="19961" spans="5:5" x14ac:dyDescent="0.25">
      <c r="E19961" t="s">
        <v>19446</v>
      </c>
    </row>
    <row r="19962" spans="5:5" x14ac:dyDescent="0.25">
      <c r="E19962" t="s">
        <v>19447</v>
      </c>
    </row>
    <row r="19963" spans="5:5" x14ac:dyDescent="0.25">
      <c r="E19963" t="s">
        <v>19448</v>
      </c>
    </row>
    <row r="19964" spans="5:5" x14ac:dyDescent="0.25">
      <c r="E19964" t="s">
        <v>19449</v>
      </c>
    </row>
    <row r="19965" spans="5:5" x14ac:dyDescent="0.25">
      <c r="E19965" t="s">
        <v>19450</v>
      </c>
    </row>
    <row r="19966" spans="5:5" x14ac:dyDescent="0.25">
      <c r="E19966" t="s">
        <v>19451</v>
      </c>
    </row>
    <row r="19967" spans="5:5" x14ac:dyDescent="0.25">
      <c r="E19967" t="s">
        <v>19452</v>
      </c>
    </row>
    <row r="19968" spans="5:5" x14ac:dyDescent="0.25">
      <c r="E19968" t="s">
        <v>19453</v>
      </c>
    </row>
    <row r="19969" spans="5:5" x14ac:dyDescent="0.25">
      <c r="E19969" t="s">
        <v>19454</v>
      </c>
    </row>
    <row r="19970" spans="5:5" x14ac:dyDescent="0.25">
      <c r="E19970" t="s">
        <v>19455</v>
      </c>
    </row>
    <row r="19971" spans="5:5" x14ac:dyDescent="0.25">
      <c r="E19971" t="s">
        <v>19456</v>
      </c>
    </row>
    <row r="19972" spans="5:5" x14ac:dyDescent="0.25">
      <c r="E19972" t="s">
        <v>19457</v>
      </c>
    </row>
    <row r="19973" spans="5:5" x14ac:dyDescent="0.25">
      <c r="E19973" t="s">
        <v>19458</v>
      </c>
    </row>
    <row r="19974" spans="5:5" x14ac:dyDescent="0.25">
      <c r="E19974" t="s">
        <v>19459</v>
      </c>
    </row>
    <row r="19975" spans="5:5" x14ac:dyDescent="0.25">
      <c r="E19975" t="s">
        <v>19460</v>
      </c>
    </row>
    <row r="19976" spans="5:5" x14ac:dyDescent="0.25">
      <c r="E19976" t="s">
        <v>19461</v>
      </c>
    </row>
    <row r="19977" spans="5:5" x14ac:dyDescent="0.25">
      <c r="E19977" t="s">
        <v>19462</v>
      </c>
    </row>
    <row r="19978" spans="5:5" x14ac:dyDescent="0.25">
      <c r="E19978" t="s">
        <v>19463</v>
      </c>
    </row>
    <row r="19979" spans="5:5" x14ac:dyDescent="0.25">
      <c r="E19979" t="s">
        <v>19464</v>
      </c>
    </row>
    <row r="19980" spans="5:5" x14ac:dyDescent="0.25">
      <c r="E19980" t="s">
        <v>19465</v>
      </c>
    </row>
    <row r="19981" spans="5:5" x14ac:dyDescent="0.25">
      <c r="E19981" t="s">
        <v>120</v>
      </c>
    </row>
    <row r="19982" spans="5:5" x14ac:dyDescent="0.25">
      <c r="E19982" t="s">
        <v>19466</v>
      </c>
    </row>
    <row r="19983" spans="5:5" x14ac:dyDescent="0.25">
      <c r="E19983" t="s">
        <v>19467</v>
      </c>
    </row>
    <row r="19984" spans="5:5" x14ac:dyDescent="0.25">
      <c r="E19984" t="s">
        <v>19468</v>
      </c>
    </row>
    <row r="19985" spans="5:5" x14ac:dyDescent="0.25">
      <c r="E19985" t="s">
        <v>19469</v>
      </c>
    </row>
    <row r="19986" spans="5:5" x14ac:dyDescent="0.25">
      <c r="E19986" t="s">
        <v>19470</v>
      </c>
    </row>
    <row r="19987" spans="5:5" x14ac:dyDescent="0.25">
      <c r="E19987" t="s">
        <v>19471</v>
      </c>
    </row>
    <row r="19988" spans="5:5" x14ac:dyDescent="0.25">
      <c r="E19988" t="s">
        <v>19472</v>
      </c>
    </row>
    <row r="19989" spans="5:5" x14ac:dyDescent="0.25">
      <c r="E19989" t="s">
        <v>19473</v>
      </c>
    </row>
    <row r="19990" spans="5:5" x14ac:dyDescent="0.25">
      <c r="E19990" t="s">
        <v>19474</v>
      </c>
    </row>
    <row r="19991" spans="5:5" x14ac:dyDescent="0.25">
      <c r="E19991" t="s">
        <v>19475</v>
      </c>
    </row>
    <row r="19992" spans="5:5" x14ac:dyDescent="0.25">
      <c r="E19992" t="s">
        <v>19476</v>
      </c>
    </row>
    <row r="19993" spans="5:5" x14ac:dyDescent="0.25">
      <c r="E19993" t="s">
        <v>19477</v>
      </c>
    </row>
    <row r="19994" spans="5:5" x14ac:dyDescent="0.25">
      <c r="E19994" t="s">
        <v>19478</v>
      </c>
    </row>
    <row r="19995" spans="5:5" x14ac:dyDescent="0.25">
      <c r="E19995" t="s">
        <v>19479</v>
      </c>
    </row>
    <row r="19996" spans="5:5" x14ac:dyDescent="0.25">
      <c r="E19996" t="s">
        <v>19480</v>
      </c>
    </row>
    <row r="19997" spans="5:5" x14ac:dyDescent="0.25">
      <c r="E19997" t="s">
        <v>19481</v>
      </c>
    </row>
    <row r="19998" spans="5:5" x14ac:dyDescent="0.25">
      <c r="E19998" t="s">
        <v>19482</v>
      </c>
    </row>
    <row r="19999" spans="5:5" x14ac:dyDescent="0.25">
      <c r="E19999" t="s">
        <v>19483</v>
      </c>
    </row>
    <row r="20000" spans="5:5" x14ac:dyDescent="0.25">
      <c r="E20000" t="s">
        <v>19484</v>
      </c>
    </row>
    <row r="20001" spans="5:5" x14ac:dyDescent="0.25">
      <c r="E20001" t="s">
        <v>19485</v>
      </c>
    </row>
    <row r="20002" spans="5:5" x14ac:dyDescent="0.25">
      <c r="E20002" t="s">
        <v>19486</v>
      </c>
    </row>
    <row r="20003" spans="5:5" x14ac:dyDescent="0.25">
      <c r="E20003" t="s">
        <v>19487</v>
      </c>
    </row>
    <row r="20004" spans="5:5" x14ac:dyDescent="0.25">
      <c r="E20004" t="s">
        <v>19488</v>
      </c>
    </row>
    <row r="20005" spans="5:5" x14ac:dyDescent="0.25">
      <c r="E20005" t="s">
        <v>19489</v>
      </c>
    </row>
    <row r="20006" spans="5:5" x14ac:dyDescent="0.25">
      <c r="E20006" t="s">
        <v>19490</v>
      </c>
    </row>
    <row r="20007" spans="5:5" x14ac:dyDescent="0.25">
      <c r="E20007" t="s">
        <v>19491</v>
      </c>
    </row>
    <row r="20008" spans="5:5" x14ac:dyDescent="0.25">
      <c r="E20008" t="s">
        <v>19492</v>
      </c>
    </row>
    <row r="20009" spans="5:5" x14ac:dyDescent="0.25">
      <c r="E20009" t="s">
        <v>19493</v>
      </c>
    </row>
    <row r="20010" spans="5:5" x14ac:dyDescent="0.25">
      <c r="E20010" t="s">
        <v>19494</v>
      </c>
    </row>
    <row r="20011" spans="5:5" x14ac:dyDescent="0.25">
      <c r="E20011" t="s">
        <v>19495</v>
      </c>
    </row>
    <row r="20012" spans="5:5" x14ac:dyDescent="0.25">
      <c r="E20012" t="s">
        <v>19496</v>
      </c>
    </row>
    <row r="20013" spans="5:5" x14ac:dyDescent="0.25">
      <c r="E20013" t="s">
        <v>19497</v>
      </c>
    </row>
    <row r="20014" spans="5:5" x14ac:dyDescent="0.25">
      <c r="E20014" t="s">
        <v>19498</v>
      </c>
    </row>
    <row r="20015" spans="5:5" x14ac:dyDescent="0.25">
      <c r="E20015" t="s">
        <v>19499</v>
      </c>
    </row>
    <row r="20016" spans="5:5" x14ac:dyDescent="0.25">
      <c r="E20016" t="s">
        <v>19500</v>
      </c>
    </row>
    <row r="20017" spans="5:5" x14ac:dyDescent="0.25">
      <c r="E20017" t="s">
        <v>19501</v>
      </c>
    </row>
    <row r="20018" spans="5:5" x14ac:dyDescent="0.25">
      <c r="E20018" t="s">
        <v>19502</v>
      </c>
    </row>
    <row r="20019" spans="5:5" x14ac:dyDescent="0.25">
      <c r="E20019" t="s">
        <v>19503</v>
      </c>
    </row>
    <row r="20020" spans="5:5" x14ac:dyDescent="0.25">
      <c r="E20020" t="s">
        <v>19504</v>
      </c>
    </row>
    <row r="20021" spans="5:5" x14ac:dyDescent="0.25">
      <c r="E20021" t="s">
        <v>19505</v>
      </c>
    </row>
    <row r="20022" spans="5:5" x14ac:dyDescent="0.25">
      <c r="E20022" t="s">
        <v>19506</v>
      </c>
    </row>
    <row r="20023" spans="5:5" x14ac:dyDescent="0.25">
      <c r="E20023" t="s">
        <v>19507</v>
      </c>
    </row>
    <row r="20024" spans="5:5" x14ac:dyDescent="0.25">
      <c r="E20024" t="s">
        <v>19508</v>
      </c>
    </row>
    <row r="20025" spans="5:5" x14ac:dyDescent="0.25">
      <c r="E20025" t="s">
        <v>19509</v>
      </c>
    </row>
    <row r="20026" spans="5:5" x14ac:dyDescent="0.25">
      <c r="E20026" t="s">
        <v>19510</v>
      </c>
    </row>
    <row r="20027" spans="5:5" x14ac:dyDescent="0.25">
      <c r="E20027" t="s">
        <v>19511</v>
      </c>
    </row>
    <row r="20028" spans="5:5" x14ac:dyDescent="0.25">
      <c r="E20028" t="s">
        <v>19512</v>
      </c>
    </row>
    <row r="20029" spans="5:5" x14ac:dyDescent="0.25">
      <c r="E20029" t="s">
        <v>19513</v>
      </c>
    </row>
    <row r="20030" spans="5:5" x14ac:dyDescent="0.25">
      <c r="E20030" t="s">
        <v>19514</v>
      </c>
    </row>
    <row r="20031" spans="5:5" x14ac:dyDescent="0.25">
      <c r="E20031" t="s">
        <v>19515</v>
      </c>
    </row>
    <row r="20032" spans="5:5" x14ac:dyDescent="0.25">
      <c r="E20032" t="s">
        <v>19516</v>
      </c>
    </row>
    <row r="20033" spans="5:5" x14ac:dyDescent="0.25">
      <c r="E20033" t="s">
        <v>19517</v>
      </c>
    </row>
    <row r="20034" spans="5:5" x14ac:dyDescent="0.25">
      <c r="E20034" t="s">
        <v>19518</v>
      </c>
    </row>
    <row r="20035" spans="5:5" x14ac:dyDescent="0.25">
      <c r="E20035" t="s">
        <v>19519</v>
      </c>
    </row>
    <row r="20036" spans="5:5" x14ac:dyDescent="0.25">
      <c r="E20036" t="s">
        <v>19520</v>
      </c>
    </row>
    <row r="20037" spans="5:5" x14ac:dyDescent="0.25">
      <c r="E20037" t="s">
        <v>19521</v>
      </c>
    </row>
    <row r="20038" spans="5:5" x14ac:dyDescent="0.25">
      <c r="E20038" t="s">
        <v>19522</v>
      </c>
    </row>
    <row r="20039" spans="5:5" x14ac:dyDescent="0.25">
      <c r="E20039" t="s">
        <v>19523</v>
      </c>
    </row>
    <row r="20040" spans="5:5" x14ac:dyDescent="0.25">
      <c r="E20040" t="s">
        <v>19524</v>
      </c>
    </row>
    <row r="20041" spans="5:5" x14ac:dyDescent="0.25">
      <c r="E20041" t="s">
        <v>19525</v>
      </c>
    </row>
    <row r="20042" spans="5:5" x14ac:dyDescent="0.25">
      <c r="E20042" t="s">
        <v>19526</v>
      </c>
    </row>
    <row r="20043" spans="5:5" x14ac:dyDescent="0.25">
      <c r="E20043" t="s">
        <v>19527</v>
      </c>
    </row>
    <row r="20044" spans="5:5" x14ac:dyDescent="0.25">
      <c r="E20044" t="s">
        <v>19528</v>
      </c>
    </row>
    <row r="20045" spans="5:5" x14ac:dyDescent="0.25">
      <c r="E20045" t="s">
        <v>19529</v>
      </c>
    </row>
    <row r="20046" spans="5:5" x14ac:dyDescent="0.25">
      <c r="E20046" t="s">
        <v>19530</v>
      </c>
    </row>
    <row r="20047" spans="5:5" x14ac:dyDescent="0.25">
      <c r="E20047" t="s">
        <v>19531</v>
      </c>
    </row>
    <row r="20048" spans="5:5" x14ac:dyDescent="0.25">
      <c r="E20048" t="s">
        <v>19532</v>
      </c>
    </row>
    <row r="20049" spans="5:5" x14ac:dyDescent="0.25">
      <c r="E20049" t="s">
        <v>19533</v>
      </c>
    </row>
    <row r="20050" spans="5:5" x14ac:dyDescent="0.25">
      <c r="E20050" t="s">
        <v>19534</v>
      </c>
    </row>
    <row r="20051" spans="5:5" x14ac:dyDescent="0.25">
      <c r="E20051" t="s">
        <v>19535</v>
      </c>
    </row>
    <row r="20052" spans="5:5" x14ac:dyDescent="0.25">
      <c r="E20052" t="s">
        <v>19536</v>
      </c>
    </row>
    <row r="20053" spans="5:5" x14ac:dyDescent="0.25">
      <c r="E20053" t="s">
        <v>19537</v>
      </c>
    </row>
    <row r="20054" spans="5:5" x14ac:dyDescent="0.25">
      <c r="E20054" t="s">
        <v>19538</v>
      </c>
    </row>
    <row r="20055" spans="5:5" x14ac:dyDescent="0.25">
      <c r="E20055" t="s">
        <v>19539</v>
      </c>
    </row>
    <row r="20056" spans="5:5" x14ac:dyDescent="0.25">
      <c r="E20056" t="s">
        <v>19540</v>
      </c>
    </row>
    <row r="20057" spans="5:5" x14ac:dyDescent="0.25">
      <c r="E20057" t="s">
        <v>19541</v>
      </c>
    </row>
    <row r="20058" spans="5:5" x14ac:dyDescent="0.25">
      <c r="E20058" t="s">
        <v>19542</v>
      </c>
    </row>
    <row r="20059" spans="5:5" x14ac:dyDescent="0.25">
      <c r="E20059" t="s">
        <v>19543</v>
      </c>
    </row>
    <row r="20060" spans="5:5" x14ac:dyDescent="0.25">
      <c r="E20060" t="s">
        <v>19544</v>
      </c>
    </row>
    <row r="20061" spans="5:5" x14ac:dyDescent="0.25">
      <c r="E20061" t="s">
        <v>19545</v>
      </c>
    </row>
    <row r="20062" spans="5:5" x14ac:dyDescent="0.25">
      <c r="E20062" t="s">
        <v>19546</v>
      </c>
    </row>
    <row r="20063" spans="5:5" x14ac:dyDescent="0.25">
      <c r="E20063" t="s">
        <v>19547</v>
      </c>
    </row>
    <row r="20064" spans="5:5" x14ac:dyDescent="0.25">
      <c r="E20064" t="s">
        <v>19548</v>
      </c>
    </row>
    <row r="20065" spans="5:5" x14ac:dyDescent="0.25">
      <c r="E20065" t="s">
        <v>19549</v>
      </c>
    </row>
    <row r="20066" spans="5:5" x14ac:dyDescent="0.25">
      <c r="E20066" t="s">
        <v>19550</v>
      </c>
    </row>
    <row r="20067" spans="5:5" x14ac:dyDescent="0.25">
      <c r="E20067" t="s">
        <v>19551</v>
      </c>
    </row>
    <row r="20068" spans="5:5" x14ac:dyDescent="0.25">
      <c r="E20068" t="s">
        <v>19552</v>
      </c>
    </row>
    <row r="20069" spans="5:5" x14ac:dyDescent="0.25">
      <c r="E20069" t="s">
        <v>19553</v>
      </c>
    </row>
    <row r="20070" spans="5:5" x14ac:dyDescent="0.25">
      <c r="E20070" t="s">
        <v>19554</v>
      </c>
    </row>
    <row r="20071" spans="5:5" x14ac:dyDescent="0.25">
      <c r="E20071" t="s">
        <v>19555</v>
      </c>
    </row>
    <row r="20072" spans="5:5" x14ac:dyDescent="0.25">
      <c r="E20072" t="s">
        <v>19556</v>
      </c>
    </row>
    <row r="20073" spans="5:5" x14ac:dyDescent="0.25">
      <c r="E20073" t="s">
        <v>19557</v>
      </c>
    </row>
    <row r="20074" spans="5:5" x14ac:dyDescent="0.25">
      <c r="E20074" t="s">
        <v>19558</v>
      </c>
    </row>
    <row r="20075" spans="5:5" x14ac:dyDescent="0.25">
      <c r="E20075" t="s">
        <v>19559</v>
      </c>
    </row>
    <row r="20076" spans="5:5" x14ac:dyDescent="0.25">
      <c r="E20076" t="s">
        <v>19560</v>
      </c>
    </row>
    <row r="20077" spans="5:5" x14ac:dyDescent="0.25">
      <c r="E20077" t="s">
        <v>19561</v>
      </c>
    </row>
    <row r="20078" spans="5:5" x14ac:dyDescent="0.25">
      <c r="E20078" t="s">
        <v>19562</v>
      </c>
    </row>
    <row r="20079" spans="5:5" x14ac:dyDescent="0.25">
      <c r="E20079" t="s">
        <v>19563</v>
      </c>
    </row>
    <row r="20080" spans="5:5" x14ac:dyDescent="0.25">
      <c r="E20080" t="s">
        <v>19564</v>
      </c>
    </row>
    <row r="20081" spans="5:5" x14ac:dyDescent="0.25">
      <c r="E20081" t="s">
        <v>19565</v>
      </c>
    </row>
    <row r="20082" spans="5:5" x14ac:dyDescent="0.25">
      <c r="E20082" t="s">
        <v>19566</v>
      </c>
    </row>
    <row r="20083" spans="5:5" x14ac:dyDescent="0.25">
      <c r="E20083" t="s">
        <v>19567</v>
      </c>
    </row>
    <row r="20084" spans="5:5" x14ac:dyDescent="0.25">
      <c r="E20084" t="s">
        <v>19568</v>
      </c>
    </row>
    <row r="20085" spans="5:5" x14ac:dyDescent="0.25">
      <c r="E20085" t="s">
        <v>19569</v>
      </c>
    </row>
    <row r="20086" spans="5:5" x14ac:dyDescent="0.25">
      <c r="E20086" t="s">
        <v>19570</v>
      </c>
    </row>
    <row r="20087" spans="5:5" x14ac:dyDescent="0.25">
      <c r="E20087" t="s">
        <v>19571</v>
      </c>
    </row>
    <row r="20088" spans="5:5" x14ac:dyDescent="0.25">
      <c r="E20088" t="s">
        <v>19572</v>
      </c>
    </row>
    <row r="20089" spans="5:5" x14ac:dyDescent="0.25">
      <c r="E20089" t="s">
        <v>19573</v>
      </c>
    </row>
    <row r="20090" spans="5:5" x14ac:dyDescent="0.25">
      <c r="E20090" t="s">
        <v>19574</v>
      </c>
    </row>
    <row r="20091" spans="5:5" x14ac:dyDescent="0.25">
      <c r="E20091" t="s">
        <v>19575</v>
      </c>
    </row>
    <row r="20092" spans="5:5" x14ac:dyDescent="0.25">
      <c r="E20092" t="s">
        <v>19576</v>
      </c>
    </row>
    <row r="20093" spans="5:5" x14ac:dyDescent="0.25">
      <c r="E20093" t="s">
        <v>19577</v>
      </c>
    </row>
    <row r="20094" spans="5:5" x14ac:dyDescent="0.25">
      <c r="E20094" t="s">
        <v>19578</v>
      </c>
    </row>
    <row r="20095" spans="5:5" x14ac:dyDescent="0.25">
      <c r="E20095" t="s">
        <v>19579</v>
      </c>
    </row>
    <row r="20096" spans="5:5" x14ac:dyDescent="0.25">
      <c r="E20096" t="s">
        <v>19580</v>
      </c>
    </row>
    <row r="20097" spans="5:5" x14ac:dyDescent="0.25">
      <c r="E20097" t="s">
        <v>19581</v>
      </c>
    </row>
    <row r="20098" spans="5:5" x14ac:dyDescent="0.25">
      <c r="E20098" t="s">
        <v>19582</v>
      </c>
    </row>
    <row r="20099" spans="5:5" x14ac:dyDescent="0.25">
      <c r="E20099" t="s">
        <v>19583</v>
      </c>
    </row>
    <row r="20100" spans="5:5" x14ac:dyDescent="0.25">
      <c r="E20100" t="s">
        <v>19584</v>
      </c>
    </row>
    <row r="20101" spans="5:5" x14ac:dyDescent="0.25">
      <c r="E20101" t="s">
        <v>19585</v>
      </c>
    </row>
    <row r="20102" spans="5:5" x14ac:dyDescent="0.25">
      <c r="E20102" t="s">
        <v>19586</v>
      </c>
    </row>
    <row r="20103" spans="5:5" x14ac:dyDescent="0.25">
      <c r="E20103" t="s">
        <v>19587</v>
      </c>
    </row>
    <row r="20104" spans="5:5" x14ac:dyDescent="0.25">
      <c r="E20104" t="s">
        <v>19588</v>
      </c>
    </row>
    <row r="20105" spans="5:5" x14ac:dyDescent="0.25">
      <c r="E20105" t="s">
        <v>19589</v>
      </c>
    </row>
    <row r="20106" spans="5:5" x14ac:dyDescent="0.25">
      <c r="E20106" t="s">
        <v>19590</v>
      </c>
    </row>
    <row r="20107" spans="5:5" x14ac:dyDescent="0.25">
      <c r="E20107" t="s">
        <v>19591</v>
      </c>
    </row>
    <row r="20108" spans="5:5" x14ac:dyDescent="0.25">
      <c r="E20108" t="s">
        <v>19592</v>
      </c>
    </row>
    <row r="20109" spans="5:5" x14ac:dyDescent="0.25">
      <c r="E20109" t="s">
        <v>19593</v>
      </c>
    </row>
    <row r="20110" spans="5:5" x14ac:dyDescent="0.25">
      <c r="E20110" t="s">
        <v>19594</v>
      </c>
    </row>
    <row r="20111" spans="5:5" x14ac:dyDescent="0.25">
      <c r="E20111" t="s">
        <v>19595</v>
      </c>
    </row>
    <row r="20112" spans="5:5" x14ac:dyDescent="0.25">
      <c r="E20112" t="s">
        <v>19596</v>
      </c>
    </row>
    <row r="20113" spans="5:5" x14ac:dyDescent="0.25">
      <c r="E20113" t="s">
        <v>19597</v>
      </c>
    </row>
    <row r="20114" spans="5:5" x14ac:dyDescent="0.25">
      <c r="E20114" t="s">
        <v>19598</v>
      </c>
    </row>
    <row r="20115" spans="5:5" x14ac:dyDescent="0.25">
      <c r="E20115" t="s">
        <v>19599</v>
      </c>
    </row>
    <row r="20116" spans="5:5" x14ac:dyDescent="0.25">
      <c r="E20116" t="s">
        <v>19600</v>
      </c>
    </row>
    <row r="20117" spans="5:5" x14ac:dyDescent="0.25">
      <c r="E20117" t="s">
        <v>19601</v>
      </c>
    </row>
    <row r="20118" spans="5:5" x14ac:dyDescent="0.25">
      <c r="E20118" t="s">
        <v>19602</v>
      </c>
    </row>
    <row r="20119" spans="5:5" x14ac:dyDescent="0.25">
      <c r="E20119" t="s">
        <v>19603</v>
      </c>
    </row>
    <row r="20120" spans="5:5" x14ac:dyDescent="0.25">
      <c r="E20120" t="s">
        <v>19604</v>
      </c>
    </row>
    <row r="20121" spans="5:5" x14ac:dyDescent="0.25">
      <c r="E20121" t="s">
        <v>19605</v>
      </c>
    </row>
    <row r="20122" spans="5:5" x14ac:dyDescent="0.25">
      <c r="E20122" t="s">
        <v>19606</v>
      </c>
    </row>
    <row r="20123" spans="5:5" x14ac:dyDescent="0.25">
      <c r="E20123" t="s">
        <v>19607</v>
      </c>
    </row>
    <row r="20124" spans="5:5" x14ac:dyDescent="0.25">
      <c r="E20124" t="s">
        <v>19608</v>
      </c>
    </row>
    <row r="20125" spans="5:5" x14ac:dyDescent="0.25">
      <c r="E20125" t="s">
        <v>19609</v>
      </c>
    </row>
    <row r="20126" spans="5:5" x14ac:dyDescent="0.25">
      <c r="E20126" t="s">
        <v>19610</v>
      </c>
    </row>
    <row r="20127" spans="5:5" x14ac:dyDescent="0.25">
      <c r="E20127" t="s">
        <v>19611</v>
      </c>
    </row>
    <row r="20128" spans="5:5" x14ac:dyDescent="0.25">
      <c r="E20128" t="s">
        <v>19612</v>
      </c>
    </row>
    <row r="20129" spans="5:5" x14ac:dyDescent="0.25">
      <c r="E20129" t="s">
        <v>19613</v>
      </c>
    </row>
    <row r="20130" spans="5:5" x14ac:dyDescent="0.25">
      <c r="E20130" t="s">
        <v>19614</v>
      </c>
    </row>
    <row r="20131" spans="5:5" x14ac:dyDescent="0.25">
      <c r="E20131" t="s">
        <v>19615</v>
      </c>
    </row>
    <row r="20132" spans="5:5" x14ac:dyDescent="0.25">
      <c r="E20132" t="s">
        <v>19616</v>
      </c>
    </row>
    <row r="20133" spans="5:5" x14ac:dyDescent="0.25">
      <c r="E20133" t="s">
        <v>19617</v>
      </c>
    </row>
    <row r="20134" spans="5:5" x14ac:dyDescent="0.25">
      <c r="E20134" t="s">
        <v>19618</v>
      </c>
    </row>
    <row r="20135" spans="5:5" x14ac:dyDescent="0.25">
      <c r="E20135" t="s">
        <v>19619</v>
      </c>
    </row>
    <row r="20140" spans="5:5" x14ac:dyDescent="0.25">
      <c r="E20140" t="s">
        <v>19620</v>
      </c>
    </row>
    <row r="20141" spans="5:5" x14ac:dyDescent="0.25">
      <c r="E20141" t="s">
        <v>19621</v>
      </c>
    </row>
    <row r="20142" spans="5:5" x14ac:dyDescent="0.25">
      <c r="E20142" t="s">
        <v>19622</v>
      </c>
    </row>
    <row r="20143" spans="5:5" x14ac:dyDescent="0.25">
      <c r="E20143" t="s">
        <v>19623</v>
      </c>
    </row>
    <row r="20144" spans="5:5" x14ac:dyDescent="0.25">
      <c r="E20144" t="s">
        <v>19624</v>
      </c>
    </row>
    <row r="20145" spans="5:5" x14ac:dyDescent="0.25">
      <c r="E20145" t="s">
        <v>19625</v>
      </c>
    </row>
    <row r="20146" spans="5:5" x14ac:dyDescent="0.25">
      <c r="E20146" t="s">
        <v>19626</v>
      </c>
    </row>
    <row r="20147" spans="5:5" x14ac:dyDescent="0.25">
      <c r="E20147" t="s">
        <v>19627</v>
      </c>
    </row>
    <row r="20148" spans="5:5" x14ac:dyDescent="0.25">
      <c r="E20148" t="s">
        <v>19628</v>
      </c>
    </row>
    <row r="20149" spans="5:5" x14ac:dyDescent="0.25">
      <c r="E20149" t="s">
        <v>19629</v>
      </c>
    </row>
    <row r="20150" spans="5:5" x14ac:dyDescent="0.25">
      <c r="E20150" t="s">
        <v>19630</v>
      </c>
    </row>
    <row r="20151" spans="5:5" x14ac:dyDescent="0.25">
      <c r="E20151" t="s">
        <v>19631</v>
      </c>
    </row>
    <row r="20152" spans="5:5" x14ac:dyDescent="0.25">
      <c r="E20152" t="s">
        <v>19632</v>
      </c>
    </row>
    <row r="20153" spans="5:5" x14ac:dyDescent="0.25">
      <c r="E20153" t="s">
        <v>19633</v>
      </c>
    </row>
    <row r="20154" spans="5:5" x14ac:dyDescent="0.25">
      <c r="E20154" t="s">
        <v>19634</v>
      </c>
    </row>
    <row r="20155" spans="5:5" x14ac:dyDescent="0.25">
      <c r="E20155" t="s">
        <v>19635</v>
      </c>
    </row>
    <row r="20156" spans="5:5" x14ac:dyDescent="0.25">
      <c r="E20156" t="s">
        <v>19636</v>
      </c>
    </row>
    <row r="20157" spans="5:5" x14ac:dyDescent="0.25">
      <c r="E20157" t="s">
        <v>19637</v>
      </c>
    </row>
    <row r="20158" spans="5:5" x14ac:dyDescent="0.25">
      <c r="E20158" t="s">
        <v>19638</v>
      </c>
    </row>
    <row r="20159" spans="5:5" x14ac:dyDescent="0.25">
      <c r="E20159" t="s">
        <v>19639</v>
      </c>
    </row>
    <row r="20160" spans="5:5" x14ac:dyDescent="0.25">
      <c r="E20160" t="s">
        <v>19640</v>
      </c>
    </row>
    <row r="20161" spans="5:5" x14ac:dyDescent="0.25">
      <c r="E20161" t="s">
        <v>19641</v>
      </c>
    </row>
    <row r="20162" spans="5:5" x14ac:dyDescent="0.25">
      <c r="E20162" t="s">
        <v>19642</v>
      </c>
    </row>
    <row r="20163" spans="5:5" x14ac:dyDescent="0.25">
      <c r="E20163" t="s">
        <v>19643</v>
      </c>
    </row>
    <row r="20164" spans="5:5" x14ac:dyDescent="0.25">
      <c r="E20164" t="s">
        <v>19644</v>
      </c>
    </row>
    <row r="20165" spans="5:5" x14ac:dyDescent="0.25">
      <c r="E20165" t="s">
        <v>19645</v>
      </c>
    </row>
    <row r="20166" spans="5:5" x14ac:dyDescent="0.25">
      <c r="E20166" t="s">
        <v>19646</v>
      </c>
    </row>
    <row r="20167" spans="5:5" x14ac:dyDescent="0.25">
      <c r="E20167" t="s">
        <v>19647</v>
      </c>
    </row>
    <row r="20168" spans="5:5" x14ac:dyDescent="0.25">
      <c r="E20168" t="s">
        <v>19648</v>
      </c>
    </row>
    <row r="20169" spans="5:5" x14ac:dyDescent="0.25">
      <c r="E20169" t="s">
        <v>19649</v>
      </c>
    </row>
    <row r="20170" spans="5:5" x14ac:dyDescent="0.25">
      <c r="E20170" t="s">
        <v>19650</v>
      </c>
    </row>
    <row r="20171" spans="5:5" x14ac:dyDescent="0.25">
      <c r="E20171" t="s">
        <v>19651</v>
      </c>
    </row>
    <row r="20172" spans="5:5" x14ac:dyDescent="0.25">
      <c r="E20172" t="s">
        <v>19652</v>
      </c>
    </row>
    <row r="20173" spans="5:5" x14ac:dyDescent="0.25">
      <c r="E20173" t="s">
        <v>19653</v>
      </c>
    </row>
    <row r="20174" spans="5:5" x14ac:dyDescent="0.25">
      <c r="E20174" t="s">
        <v>19654</v>
      </c>
    </row>
    <row r="20175" spans="5:5" x14ac:dyDescent="0.25">
      <c r="E20175" t="s">
        <v>19655</v>
      </c>
    </row>
    <row r="20176" spans="5:5" x14ac:dyDescent="0.25">
      <c r="E20176" t="s">
        <v>19656</v>
      </c>
    </row>
    <row r="20177" spans="5:5" x14ac:dyDescent="0.25">
      <c r="E20177" t="s">
        <v>19657</v>
      </c>
    </row>
    <row r="20178" spans="5:5" x14ac:dyDescent="0.25">
      <c r="E20178" t="s">
        <v>19658</v>
      </c>
    </row>
    <row r="20179" spans="5:5" x14ac:dyDescent="0.25">
      <c r="E20179" t="s">
        <v>19659</v>
      </c>
    </row>
    <row r="20180" spans="5:5" x14ac:dyDescent="0.25">
      <c r="E20180" t="s">
        <v>19660</v>
      </c>
    </row>
    <row r="20181" spans="5:5" x14ac:dyDescent="0.25">
      <c r="E20181" t="s">
        <v>19661</v>
      </c>
    </row>
    <row r="20182" spans="5:5" x14ac:dyDescent="0.25">
      <c r="E20182" t="s">
        <v>19662</v>
      </c>
    </row>
    <row r="20183" spans="5:5" x14ac:dyDescent="0.25">
      <c r="E20183" t="s">
        <v>19663</v>
      </c>
    </row>
    <row r="20184" spans="5:5" x14ac:dyDescent="0.25">
      <c r="E20184" t="s">
        <v>19664</v>
      </c>
    </row>
    <row r="20185" spans="5:5" x14ac:dyDescent="0.25">
      <c r="E20185" t="s">
        <v>19665</v>
      </c>
    </row>
    <row r="20186" spans="5:5" x14ac:dyDescent="0.25">
      <c r="E20186" t="s">
        <v>19666</v>
      </c>
    </row>
    <row r="20187" spans="5:5" x14ac:dyDescent="0.25">
      <c r="E20187" t="s">
        <v>19667</v>
      </c>
    </row>
    <row r="20188" spans="5:5" x14ac:dyDescent="0.25">
      <c r="E20188" t="s">
        <v>19668</v>
      </c>
    </row>
    <row r="20189" spans="5:5" x14ac:dyDescent="0.25">
      <c r="E20189" t="s">
        <v>19669</v>
      </c>
    </row>
    <row r="20190" spans="5:5" x14ac:dyDescent="0.25">
      <c r="E20190" t="s">
        <v>19670</v>
      </c>
    </row>
    <row r="20191" spans="5:5" x14ac:dyDescent="0.25">
      <c r="E20191" t="s">
        <v>19671</v>
      </c>
    </row>
    <row r="20192" spans="5:5" x14ac:dyDescent="0.25">
      <c r="E20192" t="s">
        <v>19672</v>
      </c>
    </row>
    <row r="20193" spans="5:5" x14ac:dyDescent="0.25">
      <c r="E20193" t="s">
        <v>19673</v>
      </c>
    </row>
    <row r="20194" spans="5:5" x14ac:dyDescent="0.25">
      <c r="E20194" t="s">
        <v>19674</v>
      </c>
    </row>
    <row r="20195" spans="5:5" x14ac:dyDescent="0.25">
      <c r="E20195" t="s">
        <v>19675</v>
      </c>
    </row>
    <row r="20196" spans="5:5" x14ac:dyDescent="0.25">
      <c r="E20196" t="s">
        <v>19676</v>
      </c>
    </row>
    <row r="20197" spans="5:5" x14ac:dyDescent="0.25">
      <c r="E20197" t="s">
        <v>19677</v>
      </c>
    </row>
    <row r="20198" spans="5:5" x14ac:dyDescent="0.25">
      <c r="E20198" t="s">
        <v>19678</v>
      </c>
    </row>
    <row r="20199" spans="5:5" x14ac:dyDescent="0.25">
      <c r="E20199" t="s">
        <v>19679</v>
      </c>
    </row>
    <row r="20200" spans="5:5" x14ac:dyDescent="0.25">
      <c r="E20200" t="s">
        <v>19680</v>
      </c>
    </row>
    <row r="20201" spans="5:5" x14ac:dyDescent="0.25">
      <c r="E20201" t="s">
        <v>19681</v>
      </c>
    </row>
    <row r="20202" spans="5:5" x14ac:dyDescent="0.25">
      <c r="E20202" t="s">
        <v>19682</v>
      </c>
    </row>
    <row r="20203" spans="5:5" x14ac:dyDescent="0.25">
      <c r="E20203" t="s">
        <v>19683</v>
      </c>
    </row>
    <row r="20204" spans="5:5" x14ac:dyDescent="0.25">
      <c r="E20204" t="s">
        <v>19684</v>
      </c>
    </row>
    <row r="20205" spans="5:5" x14ac:dyDescent="0.25">
      <c r="E20205" t="s">
        <v>19685</v>
      </c>
    </row>
    <row r="20206" spans="5:5" x14ac:dyDescent="0.25">
      <c r="E20206" t="s">
        <v>19686</v>
      </c>
    </row>
    <row r="20207" spans="5:5" x14ac:dyDescent="0.25">
      <c r="E20207" t="s">
        <v>19687</v>
      </c>
    </row>
    <row r="20208" spans="5:5" x14ac:dyDescent="0.25">
      <c r="E20208" t="s">
        <v>19688</v>
      </c>
    </row>
    <row r="20209" spans="5:5" x14ac:dyDescent="0.25">
      <c r="E20209" t="s">
        <v>19689</v>
      </c>
    </row>
    <row r="20210" spans="5:5" x14ac:dyDescent="0.25">
      <c r="E20210" t="s">
        <v>19690</v>
      </c>
    </row>
    <row r="20211" spans="5:5" x14ac:dyDescent="0.25">
      <c r="E20211" t="s">
        <v>19691</v>
      </c>
    </row>
    <row r="20212" spans="5:5" x14ac:dyDescent="0.25">
      <c r="E20212" t="s">
        <v>19692</v>
      </c>
    </row>
    <row r="20213" spans="5:5" x14ac:dyDescent="0.25">
      <c r="E20213" t="s">
        <v>19693</v>
      </c>
    </row>
    <row r="20214" spans="5:5" x14ac:dyDescent="0.25">
      <c r="E20214" t="s">
        <v>19694</v>
      </c>
    </row>
    <row r="20215" spans="5:5" x14ac:dyDescent="0.25">
      <c r="E20215" t="s">
        <v>19695</v>
      </c>
    </row>
    <row r="20216" spans="5:5" x14ac:dyDescent="0.25">
      <c r="E20216" t="s">
        <v>19696</v>
      </c>
    </row>
    <row r="20217" spans="5:5" x14ac:dyDescent="0.25">
      <c r="E20217" t="s">
        <v>19697</v>
      </c>
    </row>
    <row r="20218" spans="5:5" x14ac:dyDescent="0.25">
      <c r="E20218" t="s">
        <v>19698</v>
      </c>
    </row>
    <row r="20219" spans="5:5" x14ac:dyDescent="0.25">
      <c r="E20219" t="s">
        <v>19699</v>
      </c>
    </row>
    <row r="20220" spans="5:5" x14ac:dyDescent="0.25">
      <c r="E20220" t="s">
        <v>19700</v>
      </c>
    </row>
    <row r="20221" spans="5:5" x14ac:dyDescent="0.25">
      <c r="E20221" t="s">
        <v>19701</v>
      </c>
    </row>
    <row r="20222" spans="5:5" x14ac:dyDescent="0.25">
      <c r="E20222" t="s">
        <v>19702</v>
      </c>
    </row>
    <row r="20223" spans="5:5" x14ac:dyDescent="0.25">
      <c r="E20223" t="s">
        <v>19703</v>
      </c>
    </row>
    <row r="20224" spans="5:5" x14ac:dyDescent="0.25">
      <c r="E20224" t="s">
        <v>19704</v>
      </c>
    </row>
    <row r="20225" spans="5:5" x14ac:dyDescent="0.25">
      <c r="E20225" t="s">
        <v>19705</v>
      </c>
    </row>
    <row r="20226" spans="5:5" x14ac:dyDescent="0.25">
      <c r="E20226" t="s">
        <v>19706</v>
      </c>
    </row>
    <row r="20227" spans="5:5" x14ac:dyDescent="0.25">
      <c r="E20227" t="s">
        <v>19707</v>
      </c>
    </row>
    <row r="20228" spans="5:5" x14ac:dyDescent="0.25">
      <c r="E20228" t="s">
        <v>19708</v>
      </c>
    </row>
    <row r="20229" spans="5:5" x14ac:dyDescent="0.25">
      <c r="E20229" t="s">
        <v>19709</v>
      </c>
    </row>
    <row r="20230" spans="5:5" x14ac:dyDescent="0.25">
      <c r="E20230" t="s">
        <v>19710</v>
      </c>
    </row>
    <row r="20231" spans="5:5" x14ac:dyDescent="0.25">
      <c r="E20231" t="s">
        <v>19711</v>
      </c>
    </row>
    <row r="20232" spans="5:5" x14ac:dyDescent="0.25">
      <c r="E20232" t="s">
        <v>19712</v>
      </c>
    </row>
    <row r="20233" spans="5:5" x14ac:dyDescent="0.25">
      <c r="E20233" t="s">
        <v>19713</v>
      </c>
    </row>
    <row r="20234" spans="5:5" x14ac:dyDescent="0.25">
      <c r="E20234" t="s">
        <v>19714</v>
      </c>
    </row>
    <row r="20235" spans="5:5" x14ac:dyDescent="0.25">
      <c r="E20235" t="s">
        <v>19715</v>
      </c>
    </row>
    <row r="20236" spans="5:5" x14ac:dyDescent="0.25">
      <c r="E20236" t="s">
        <v>19716</v>
      </c>
    </row>
    <row r="20237" spans="5:5" x14ac:dyDescent="0.25">
      <c r="E20237" t="s">
        <v>19717</v>
      </c>
    </row>
    <row r="20238" spans="5:5" x14ac:dyDescent="0.25">
      <c r="E20238" t="s">
        <v>19718</v>
      </c>
    </row>
    <row r="20239" spans="5:5" x14ac:dyDescent="0.25">
      <c r="E20239" t="s">
        <v>19719</v>
      </c>
    </row>
    <row r="20240" spans="5:5" x14ac:dyDescent="0.25">
      <c r="E20240" t="s">
        <v>19720</v>
      </c>
    </row>
    <row r="20241" spans="5:5" x14ac:dyDescent="0.25">
      <c r="E20241" t="s">
        <v>19721</v>
      </c>
    </row>
    <row r="20242" spans="5:5" x14ac:dyDescent="0.25">
      <c r="E20242" t="s">
        <v>19722</v>
      </c>
    </row>
    <row r="20243" spans="5:5" x14ac:dyDescent="0.25">
      <c r="E20243" t="s">
        <v>19723</v>
      </c>
    </row>
    <row r="20244" spans="5:5" x14ac:dyDescent="0.25">
      <c r="E20244" t="s">
        <v>19724</v>
      </c>
    </row>
    <row r="20245" spans="5:5" x14ac:dyDescent="0.25">
      <c r="E20245" t="s">
        <v>19725</v>
      </c>
    </row>
    <row r="20246" spans="5:5" x14ac:dyDescent="0.25">
      <c r="E20246" t="s">
        <v>19726</v>
      </c>
    </row>
    <row r="20247" spans="5:5" x14ac:dyDescent="0.25">
      <c r="E20247" t="s">
        <v>19727</v>
      </c>
    </row>
    <row r="20248" spans="5:5" x14ac:dyDescent="0.25">
      <c r="E20248" t="s">
        <v>19728</v>
      </c>
    </row>
    <row r="20249" spans="5:5" x14ac:dyDescent="0.25">
      <c r="E20249" t="s">
        <v>19729</v>
      </c>
    </row>
    <row r="20250" spans="5:5" x14ac:dyDescent="0.25">
      <c r="E20250" t="s">
        <v>19730</v>
      </c>
    </row>
    <row r="20251" spans="5:5" x14ac:dyDescent="0.25">
      <c r="E20251" t="s">
        <v>19731</v>
      </c>
    </row>
    <row r="20252" spans="5:5" x14ac:dyDescent="0.25">
      <c r="E20252" t="s">
        <v>19732</v>
      </c>
    </row>
    <row r="20253" spans="5:5" x14ac:dyDescent="0.25">
      <c r="E20253" t="s">
        <v>19733</v>
      </c>
    </row>
    <row r="20254" spans="5:5" x14ac:dyDescent="0.25">
      <c r="E20254" t="s">
        <v>19734</v>
      </c>
    </row>
    <row r="20255" spans="5:5" x14ac:dyDescent="0.25">
      <c r="E20255" t="s">
        <v>19735</v>
      </c>
    </row>
    <row r="20256" spans="5:5" x14ac:dyDescent="0.25">
      <c r="E20256" t="s">
        <v>19736</v>
      </c>
    </row>
    <row r="20257" spans="5:5" x14ac:dyDescent="0.25">
      <c r="E20257" t="s">
        <v>19737</v>
      </c>
    </row>
    <row r="20258" spans="5:5" x14ac:dyDescent="0.25">
      <c r="E20258" t="s">
        <v>19738</v>
      </c>
    </row>
    <row r="20259" spans="5:5" x14ac:dyDescent="0.25">
      <c r="E20259" t="s">
        <v>19739</v>
      </c>
    </row>
    <row r="20260" spans="5:5" x14ac:dyDescent="0.25">
      <c r="E20260" t="s">
        <v>19740</v>
      </c>
    </row>
    <row r="20261" spans="5:5" x14ac:dyDescent="0.25">
      <c r="E20261" t="s">
        <v>19741</v>
      </c>
    </row>
    <row r="20262" spans="5:5" x14ac:dyDescent="0.25">
      <c r="E20262" t="s">
        <v>19742</v>
      </c>
    </row>
    <row r="20263" spans="5:5" x14ac:dyDescent="0.25">
      <c r="E20263" t="s">
        <v>19743</v>
      </c>
    </row>
    <row r="20264" spans="5:5" x14ac:dyDescent="0.25">
      <c r="E20264" t="s">
        <v>19744</v>
      </c>
    </row>
    <row r="20265" spans="5:5" x14ac:dyDescent="0.25">
      <c r="E20265" t="s">
        <v>19745</v>
      </c>
    </row>
    <row r="20266" spans="5:5" x14ac:dyDescent="0.25">
      <c r="E20266" t="s">
        <v>19746</v>
      </c>
    </row>
    <row r="20267" spans="5:5" x14ac:dyDescent="0.25">
      <c r="E20267" t="s">
        <v>19747</v>
      </c>
    </row>
    <row r="20268" spans="5:5" x14ac:dyDescent="0.25">
      <c r="E20268" t="s">
        <v>19748</v>
      </c>
    </row>
    <row r="20269" spans="5:5" x14ac:dyDescent="0.25">
      <c r="E20269" t="s">
        <v>19749</v>
      </c>
    </row>
    <row r="20270" spans="5:5" x14ac:dyDescent="0.25">
      <c r="E20270" t="s">
        <v>19750</v>
      </c>
    </row>
    <row r="20271" spans="5:5" x14ac:dyDescent="0.25">
      <c r="E20271" t="s">
        <v>19751</v>
      </c>
    </row>
    <row r="20272" spans="5:5" x14ac:dyDescent="0.25">
      <c r="E20272" t="s">
        <v>19752</v>
      </c>
    </row>
    <row r="20273" spans="5:5" x14ac:dyDescent="0.25">
      <c r="E20273" t="s">
        <v>19753</v>
      </c>
    </row>
    <row r="20274" spans="5:5" x14ac:dyDescent="0.25">
      <c r="E20274" t="s">
        <v>19754</v>
      </c>
    </row>
    <row r="20275" spans="5:5" x14ac:dyDescent="0.25">
      <c r="E20275" t="s">
        <v>19755</v>
      </c>
    </row>
    <row r="20276" spans="5:5" x14ac:dyDescent="0.25">
      <c r="E20276" t="s">
        <v>19756</v>
      </c>
    </row>
    <row r="20277" spans="5:5" x14ac:dyDescent="0.25">
      <c r="E20277" t="s">
        <v>19757</v>
      </c>
    </row>
    <row r="20278" spans="5:5" x14ac:dyDescent="0.25">
      <c r="E20278" t="s">
        <v>19758</v>
      </c>
    </row>
    <row r="20279" spans="5:5" x14ac:dyDescent="0.25">
      <c r="E20279" t="s">
        <v>19759</v>
      </c>
    </row>
    <row r="20280" spans="5:5" x14ac:dyDescent="0.25">
      <c r="E20280" t="s">
        <v>19760</v>
      </c>
    </row>
    <row r="20281" spans="5:5" x14ac:dyDescent="0.25">
      <c r="E20281" t="s">
        <v>19761</v>
      </c>
    </row>
    <row r="20282" spans="5:5" x14ac:dyDescent="0.25">
      <c r="E20282" t="s">
        <v>19762</v>
      </c>
    </row>
    <row r="20283" spans="5:5" x14ac:dyDescent="0.25">
      <c r="E20283" t="s">
        <v>19763</v>
      </c>
    </row>
    <row r="20284" spans="5:5" x14ac:dyDescent="0.25">
      <c r="E20284" t="s">
        <v>19764</v>
      </c>
    </row>
    <row r="20285" spans="5:5" x14ac:dyDescent="0.25">
      <c r="E20285" t="s">
        <v>19765</v>
      </c>
    </row>
    <row r="20286" spans="5:5" x14ac:dyDescent="0.25">
      <c r="E20286" t="s">
        <v>19766</v>
      </c>
    </row>
    <row r="20287" spans="5:5" x14ac:dyDescent="0.25">
      <c r="E20287" t="s">
        <v>19767</v>
      </c>
    </row>
    <row r="20288" spans="5:5" x14ac:dyDescent="0.25">
      <c r="E20288" t="s">
        <v>19768</v>
      </c>
    </row>
    <row r="20289" spans="5:5" x14ac:dyDescent="0.25">
      <c r="E20289" t="s">
        <v>19769</v>
      </c>
    </row>
    <row r="20290" spans="5:5" x14ac:dyDescent="0.25">
      <c r="E20290" t="s">
        <v>19770</v>
      </c>
    </row>
    <row r="20291" spans="5:5" x14ac:dyDescent="0.25">
      <c r="E20291" t="s">
        <v>19771</v>
      </c>
    </row>
    <row r="20292" spans="5:5" x14ac:dyDescent="0.25">
      <c r="E20292" t="s">
        <v>19772</v>
      </c>
    </row>
    <row r="20293" spans="5:5" x14ac:dyDescent="0.25">
      <c r="E20293" t="s">
        <v>19773</v>
      </c>
    </row>
    <row r="20294" spans="5:5" x14ac:dyDescent="0.25">
      <c r="E20294" t="s">
        <v>19774</v>
      </c>
    </row>
    <row r="20295" spans="5:5" x14ac:dyDescent="0.25">
      <c r="E20295" t="s">
        <v>19775</v>
      </c>
    </row>
    <row r="20296" spans="5:5" x14ac:dyDescent="0.25">
      <c r="E20296" t="s">
        <v>19776</v>
      </c>
    </row>
    <row r="20297" spans="5:5" x14ac:dyDescent="0.25">
      <c r="E20297" t="s">
        <v>19777</v>
      </c>
    </row>
    <row r="20298" spans="5:5" x14ac:dyDescent="0.25">
      <c r="E20298" t="s">
        <v>19778</v>
      </c>
    </row>
    <row r="20299" spans="5:5" x14ac:dyDescent="0.25">
      <c r="E20299" t="s">
        <v>19779</v>
      </c>
    </row>
    <row r="20300" spans="5:5" x14ac:dyDescent="0.25">
      <c r="E20300" t="s">
        <v>19780</v>
      </c>
    </row>
    <row r="20301" spans="5:5" x14ac:dyDescent="0.25">
      <c r="E20301" t="s">
        <v>19781</v>
      </c>
    </row>
    <row r="20302" spans="5:5" x14ac:dyDescent="0.25">
      <c r="E20302" t="s">
        <v>19782</v>
      </c>
    </row>
    <row r="20303" spans="5:5" x14ac:dyDescent="0.25">
      <c r="E20303" t="s">
        <v>19783</v>
      </c>
    </row>
    <row r="20304" spans="5:5" x14ac:dyDescent="0.25">
      <c r="E20304" t="s">
        <v>19784</v>
      </c>
    </row>
    <row r="20305" spans="5:5" x14ac:dyDescent="0.25">
      <c r="E20305" t="s">
        <v>19785</v>
      </c>
    </row>
    <row r="20306" spans="5:5" x14ac:dyDescent="0.25">
      <c r="E20306" t="s">
        <v>19786</v>
      </c>
    </row>
    <row r="20307" spans="5:5" x14ac:dyDescent="0.25">
      <c r="E20307" t="s">
        <v>19787</v>
      </c>
    </row>
    <row r="20308" spans="5:5" x14ac:dyDescent="0.25">
      <c r="E20308" t="s">
        <v>19788</v>
      </c>
    </row>
    <row r="20309" spans="5:5" x14ac:dyDescent="0.25">
      <c r="E20309" t="s">
        <v>19789</v>
      </c>
    </row>
    <row r="20310" spans="5:5" x14ac:dyDescent="0.25">
      <c r="E20310" t="s">
        <v>19790</v>
      </c>
    </row>
    <row r="20311" spans="5:5" x14ac:dyDescent="0.25">
      <c r="E20311" t="s">
        <v>19791</v>
      </c>
    </row>
    <row r="20312" spans="5:5" x14ac:dyDescent="0.25">
      <c r="E20312" t="s">
        <v>19792</v>
      </c>
    </row>
    <row r="20313" spans="5:5" x14ac:dyDescent="0.25">
      <c r="E20313" t="s">
        <v>19793</v>
      </c>
    </row>
    <row r="20314" spans="5:5" x14ac:dyDescent="0.25">
      <c r="E20314" t="s">
        <v>19794</v>
      </c>
    </row>
    <row r="20315" spans="5:5" x14ac:dyDescent="0.25">
      <c r="E20315" t="s">
        <v>19795</v>
      </c>
    </row>
    <row r="20316" spans="5:5" x14ac:dyDescent="0.25">
      <c r="E20316" t="s">
        <v>19796</v>
      </c>
    </row>
    <row r="20317" spans="5:5" x14ac:dyDescent="0.25">
      <c r="E20317" t="s">
        <v>19797</v>
      </c>
    </row>
    <row r="20318" spans="5:5" x14ac:dyDescent="0.25">
      <c r="E20318" t="s">
        <v>19798</v>
      </c>
    </row>
    <row r="20319" spans="5:5" x14ac:dyDescent="0.25">
      <c r="E20319" t="s">
        <v>19799</v>
      </c>
    </row>
    <row r="20320" spans="5:5" x14ac:dyDescent="0.25">
      <c r="E20320" t="s">
        <v>19800</v>
      </c>
    </row>
    <row r="20321" spans="5:5" x14ac:dyDescent="0.25">
      <c r="E20321" t="s">
        <v>19801</v>
      </c>
    </row>
    <row r="20322" spans="5:5" x14ac:dyDescent="0.25">
      <c r="E20322" t="s">
        <v>19802</v>
      </c>
    </row>
    <row r="20323" spans="5:5" x14ac:dyDescent="0.25">
      <c r="E20323" t="s">
        <v>19803</v>
      </c>
    </row>
    <row r="20324" spans="5:5" x14ac:dyDescent="0.25">
      <c r="E20324" t="s">
        <v>19804</v>
      </c>
    </row>
    <row r="20325" spans="5:5" x14ac:dyDescent="0.25">
      <c r="E20325" t="s">
        <v>19805</v>
      </c>
    </row>
    <row r="20326" spans="5:5" x14ac:dyDescent="0.25">
      <c r="E20326" t="s">
        <v>19806</v>
      </c>
    </row>
    <row r="20327" spans="5:5" x14ac:dyDescent="0.25">
      <c r="E20327" t="s">
        <v>19807</v>
      </c>
    </row>
    <row r="20328" spans="5:5" x14ac:dyDescent="0.25">
      <c r="E20328" t="s">
        <v>19808</v>
      </c>
    </row>
    <row r="20329" spans="5:5" x14ac:dyDescent="0.25">
      <c r="E20329" t="s">
        <v>19809</v>
      </c>
    </row>
    <row r="20330" spans="5:5" x14ac:dyDescent="0.25">
      <c r="E20330" t="s">
        <v>19810</v>
      </c>
    </row>
    <row r="20331" spans="5:5" x14ac:dyDescent="0.25">
      <c r="E20331" t="s">
        <v>19811</v>
      </c>
    </row>
    <row r="20332" spans="5:5" x14ac:dyDescent="0.25">
      <c r="E20332" t="s">
        <v>19812</v>
      </c>
    </row>
    <row r="20333" spans="5:5" x14ac:dyDescent="0.25">
      <c r="E20333" t="s">
        <v>19813</v>
      </c>
    </row>
    <row r="20334" spans="5:5" x14ac:dyDescent="0.25">
      <c r="E20334" t="s">
        <v>19814</v>
      </c>
    </row>
    <row r="20335" spans="5:5" x14ac:dyDescent="0.25">
      <c r="E20335" t="s">
        <v>19815</v>
      </c>
    </row>
    <row r="20336" spans="5:5" x14ac:dyDescent="0.25">
      <c r="E20336" t="s">
        <v>19816</v>
      </c>
    </row>
    <row r="20337" spans="5:5" x14ac:dyDescent="0.25">
      <c r="E20337" t="s">
        <v>19817</v>
      </c>
    </row>
    <row r="20338" spans="5:5" x14ac:dyDescent="0.25">
      <c r="E20338" t="s">
        <v>19818</v>
      </c>
    </row>
    <row r="20339" spans="5:5" x14ac:dyDescent="0.25">
      <c r="E20339" t="s">
        <v>19819</v>
      </c>
    </row>
    <row r="20340" spans="5:5" x14ac:dyDescent="0.25">
      <c r="E20340" t="s">
        <v>19820</v>
      </c>
    </row>
    <row r="20341" spans="5:5" x14ac:dyDescent="0.25">
      <c r="E20341" t="s">
        <v>19821</v>
      </c>
    </row>
    <row r="20342" spans="5:5" x14ac:dyDescent="0.25">
      <c r="E20342" t="s">
        <v>19822</v>
      </c>
    </row>
    <row r="20343" spans="5:5" x14ac:dyDescent="0.25">
      <c r="E20343" t="s">
        <v>19823</v>
      </c>
    </row>
    <row r="20344" spans="5:5" x14ac:dyDescent="0.25">
      <c r="E20344" t="s">
        <v>19824</v>
      </c>
    </row>
    <row r="20345" spans="5:5" x14ac:dyDescent="0.25">
      <c r="E20345" t="s">
        <v>19825</v>
      </c>
    </row>
    <row r="20346" spans="5:5" x14ac:dyDescent="0.25">
      <c r="E20346" t="s">
        <v>19826</v>
      </c>
    </row>
    <row r="20347" spans="5:5" x14ac:dyDescent="0.25">
      <c r="E20347" t="s">
        <v>19827</v>
      </c>
    </row>
    <row r="20348" spans="5:5" x14ac:dyDescent="0.25">
      <c r="E20348" t="s">
        <v>19828</v>
      </c>
    </row>
    <row r="20349" spans="5:5" x14ac:dyDescent="0.25">
      <c r="E20349" t="s">
        <v>19829</v>
      </c>
    </row>
    <row r="20350" spans="5:5" x14ac:dyDescent="0.25">
      <c r="E20350" t="s">
        <v>19830</v>
      </c>
    </row>
    <row r="20351" spans="5:5" x14ac:dyDescent="0.25">
      <c r="E20351" t="s">
        <v>19831</v>
      </c>
    </row>
    <row r="20352" spans="5:5" x14ac:dyDescent="0.25">
      <c r="E20352" t="s">
        <v>19832</v>
      </c>
    </row>
    <row r="20353" spans="5:5" x14ac:dyDescent="0.25">
      <c r="E20353" t="s">
        <v>19833</v>
      </c>
    </row>
    <row r="20354" spans="5:5" x14ac:dyDescent="0.25">
      <c r="E20354" t="s">
        <v>19834</v>
      </c>
    </row>
    <row r="20355" spans="5:5" x14ac:dyDescent="0.25">
      <c r="E20355" t="s">
        <v>19835</v>
      </c>
    </row>
    <row r="20356" spans="5:5" x14ac:dyDescent="0.25">
      <c r="E20356" t="s">
        <v>19836</v>
      </c>
    </row>
    <row r="20357" spans="5:5" x14ac:dyDescent="0.25">
      <c r="E20357" t="s">
        <v>19837</v>
      </c>
    </row>
    <row r="20358" spans="5:5" x14ac:dyDescent="0.25">
      <c r="E20358" t="s">
        <v>19838</v>
      </c>
    </row>
    <row r="20359" spans="5:5" x14ac:dyDescent="0.25">
      <c r="E20359" t="s">
        <v>19839</v>
      </c>
    </row>
    <row r="20360" spans="5:5" x14ac:dyDescent="0.25">
      <c r="E20360" t="s">
        <v>19840</v>
      </c>
    </row>
    <row r="20361" spans="5:5" x14ac:dyDescent="0.25">
      <c r="E20361" t="s">
        <v>19841</v>
      </c>
    </row>
    <row r="20362" spans="5:5" x14ac:dyDescent="0.25">
      <c r="E20362" t="s">
        <v>19842</v>
      </c>
    </row>
    <row r="20363" spans="5:5" x14ac:dyDescent="0.25">
      <c r="E20363" t="s">
        <v>19843</v>
      </c>
    </row>
    <row r="20364" spans="5:5" x14ac:dyDescent="0.25">
      <c r="E20364" t="s">
        <v>19844</v>
      </c>
    </row>
    <row r="20365" spans="5:5" x14ac:dyDescent="0.25">
      <c r="E20365" t="s">
        <v>19845</v>
      </c>
    </row>
    <row r="20366" spans="5:5" x14ac:dyDescent="0.25">
      <c r="E20366" t="s">
        <v>19846</v>
      </c>
    </row>
    <row r="20367" spans="5:5" x14ac:dyDescent="0.25">
      <c r="E20367" t="s">
        <v>19847</v>
      </c>
    </row>
    <row r="20368" spans="5:5" x14ac:dyDescent="0.25">
      <c r="E20368" t="s">
        <v>19848</v>
      </c>
    </row>
    <row r="20369" spans="5:5" x14ac:dyDescent="0.25">
      <c r="E20369" t="s">
        <v>19849</v>
      </c>
    </row>
    <row r="20370" spans="5:5" x14ac:dyDescent="0.25">
      <c r="E20370" t="s">
        <v>19850</v>
      </c>
    </row>
    <row r="20371" spans="5:5" x14ac:dyDescent="0.25">
      <c r="E20371" t="s">
        <v>19851</v>
      </c>
    </row>
    <row r="20372" spans="5:5" x14ac:dyDescent="0.25">
      <c r="E20372" t="s">
        <v>19852</v>
      </c>
    </row>
    <row r="20373" spans="5:5" x14ac:dyDescent="0.25">
      <c r="E20373" t="s">
        <v>19853</v>
      </c>
    </row>
    <row r="20374" spans="5:5" x14ac:dyDescent="0.25">
      <c r="E20374" t="s">
        <v>19854</v>
      </c>
    </row>
    <row r="20375" spans="5:5" x14ac:dyDescent="0.25">
      <c r="E20375" t="s">
        <v>19855</v>
      </c>
    </row>
    <row r="20376" spans="5:5" x14ac:dyDescent="0.25">
      <c r="E20376" t="s">
        <v>19856</v>
      </c>
    </row>
    <row r="20377" spans="5:5" x14ac:dyDescent="0.25">
      <c r="E20377" t="s">
        <v>19857</v>
      </c>
    </row>
    <row r="20378" spans="5:5" x14ac:dyDescent="0.25">
      <c r="E20378" t="s">
        <v>19858</v>
      </c>
    </row>
    <row r="20379" spans="5:5" x14ac:dyDescent="0.25">
      <c r="E20379" t="s">
        <v>19859</v>
      </c>
    </row>
    <row r="20380" spans="5:5" x14ac:dyDescent="0.25">
      <c r="E20380" t="s">
        <v>19860</v>
      </c>
    </row>
    <row r="20381" spans="5:5" x14ac:dyDescent="0.25">
      <c r="E20381" t="s">
        <v>19861</v>
      </c>
    </row>
    <row r="20382" spans="5:5" x14ac:dyDescent="0.25">
      <c r="E20382" t="s">
        <v>19862</v>
      </c>
    </row>
    <row r="20383" spans="5:5" x14ac:dyDescent="0.25">
      <c r="E20383" t="s">
        <v>19863</v>
      </c>
    </row>
    <row r="20384" spans="5:5" x14ac:dyDescent="0.25">
      <c r="E20384" t="s">
        <v>19864</v>
      </c>
    </row>
    <row r="20385" spans="5:5" x14ac:dyDescent="0.25">
      <c r="E20385" t="s">
        <v>19865</v>
      </c>
    </row>
    <row r="20386" spans="5:5" x14ac:dyDescent="0.25">
      <c r="E20386" t="s">
        <v>19866</v>
      </c>
    </row>
    <row r="20387" spans="5:5" x14ac:dyDescent="0.25">
      <c r="E20387" t="s">
        <v>19867</v>
      </c>
    </row>
    <row r="20388" spans="5:5" x14ac:dyDescent="0.25">
      <c r="E20388" t="s">
        <v>19868</v>
      </c>
    </row>
    <row r="20389" spans="5:5" x14ac:dyDescent="0.25">
      <c r="E20389" t="s">
        <v>19869</v>
      </c>
    </row>
    <row r="20390" spans="5:5" x14ac:dyDescent="0.25">
      <c r="E20390" t="s">
        <v>19870</v>
      </c>
    </row>
    <row r="20391" spans="5:5" x14ac:dyDescent="0.25">
      <c r="E20391" t="s">
        <v>19871</v>
      </c>
    </row>
    <row r="20392" spans="5:5" x14ac:dyDescent="0.25">
      <c r="E20392" t="s">
        <v>19872</v>
      </c>
    </row>
    <row r="20393" spans="5:5" x14ac:dyDescent="0.25">
      <c r="E20393" t="s">
        <v>19873</v>
      </c>
    </row>
    <row r="20394" spans="5:5" x14ac:dyDescent="0.25">
      <c r="E20394" t="s">
        <v>19874</v>
      </c>
    </row>
    <row r="20395" spans="5:5" x14ac:dyDescent="0.25">
      <c r="E20395" t="s">
        <v>19875</v>
      </c>
    </row>
    <row r="20396" spans="5:5" x14ac:dyDescent="0.25">
      <c r="E20396" t="s">
        <v>19876</v>
      </c>
    </row>
    <row r="20397" spans="5:5" x14ac:dyDescent="0.25">
      <c r="E20397" t="s">
        <v>19877</v>
      </c>
    </row>
    <row r="20398" spans="5:5" x14ac:dyDescent="0.25">
      <c r="E20398" t="s">
        <v>19878</v>
      </c>
    </row>
    <row r="20399" spans="5:5" x14ac:dyDescent="0.25">
      <c r="E20399" t="s">
        <v>19879</v>
      </c>
    </row>
    <row r="20400" spans="5:5" x14ac:dyDescent="0.25">
      <c r="E20400" t="s">
        <v>19880</v>
      </c>
    </row>
    <row r="20401" spans="5:5" x14ac:dyDescent="0.25">
      <c r="E20401" t="s">
        <v>19881</v>
      </c>
    </row>
    <row r="20402" spans="5:5" x14ac:dyDescent="0.25">
      <c r="E20402" t="s">
        <v>19882</v>
      </c>
    </row>
    <row r="20403" spans="5:5" x14ac:dyDescent="0.25">
      <c r="E20403" t="s">
        <v>19883</v>
      </c>
    </row>
    <row r="20404" spans="5:5" x14ac:dyDescent="0.25">
      <c r="E20404" t="s">
        <v>19884</v>
      </c>
    </row>
    <row r="20405" spans="5:5" x14ac:dyDescent="0.25">
      <c r="E20405" t="s">
        <v>19885</v>
      </c>
    </row>
    <row r="20406" spans="5:5" x14ac:dyDescent="0.25">
      <c r="E20406" t="s">
        <v>19886</v>
      </c>
    </row>
    <row r="20407" spans="5:5" x14ac:dyDescent="0.25">
      <c r="E20407" t="s">
        <v>19887</v>
      </c>
    </row>
    <row r="20408" spans="5:5" x14ac:dyDescent="0.25">
      <c r="E20408" t="s">
        <v>19888</v>
      </c>
    </row>
    <row r="20409" spans="5:5" x14ac:dyDescent="0.25">
      <c r="E20409" t="s">
        <v>19889</v>
      </c>
    </row>
    <row r="20410" spans="5:5" x14ac:dyDescent="0.25">
      <c r="E20410" t="s">
        <v>19890</v>
      </c>
    </row>
    <row r="20411" spans="5:5" x14ac:dyDescent="0.25">
      <c r="E20411" t="s">
        <v>19891</v>
      </c>
    </row>
    <row r="20412" spans="5:5" x14ac:dyDescent="0.25">
      <c r="E20412" t="s">
        <v>19892</v>
      </c>
    </row>
    <row r="20413" spans="5:5" x14ac:dyDescent="0.25">
      <c r="E20413" t="s">
        <v>19893</v>
      </c>
    </row>
    <row r="20414" spans="5:5" x14ac:dyDescent="0.25">
      <c r="E20414" t="s">
        <v>19894</v>
      </c>
    </row>
    <row r="20415" spans="5:5" x14ac:dyDescent="0.25">
      <c r="E20415" t="s">
        <v>19895</v>
      </c>
    </row>
    <row r="20416" spans="5:5" x14ac:dyDescent="0.25">
      <c r="E20416" t="s">
        <v>19896</v>
      </c>
    </row>
    <row r="20417" spans="5:5" x14ac:dyDescent="0.25">
      <c r="E20417" t="s">
        <v>19897</v>
      </c>
    </row>
    <row r="20418" spans="5:5" x14ac:dyDescent="0.25">
      <c r="E20418" t="s">
        <v>19898</v>
      </c>
    </row>
    <row r="20419" spans="5:5" x14ac:dyDescent="0.25">
      <c r="E20419" t="s">
        <v>19899</v>
      </c>
    </row>
    <row r="20420" spans="5:5" x14ac:dyDescent="0.25">
      <c r="E20420" t="s">
        <v>19900</v>
      </c>
    </row>
    <row r="20421" spans="5:5" x14ac:dyDescent="0.25">
      <c r="E20421" t="s">
        <v>19901</v>
      </c>
    </row>
    <row r="20422" spans="5:5" x14ac:dyDescent="0.25">
      <c r="E20422" t="s">
        <v>19902</v>
      </c>
    </row>
    <row r="20423" spans="5:5" x14ac:dyDescent="0.25">
      <c r="E20423" t="s">
        <v>19903</v>
      </c>
    </row>
    <row r="20424" spans="5:5" x14ac:dyDescent="0.25">
      <c r="E20424" t="s">
        <v>19904</v>
      </c>
    </row>
    <row r="20425" spans="5:5" x14ac:dyDescent="0.25">
      <c r="E20425" t="s">
        <v>19905</v>
      </c>
    </row>
    <row r="20426" spans="5:5" x14ac:dyDescent="0.25">
      <c r="E20426" t="s">
        <v>19906</v>
      </c>
    </row>
    <row r="20427" spans="5:5" x14ac:dyDescent="0.25">
      <c r="E20427" t="s">
        <v>19907</v>
      </c>
    </row>
    <row r="20428" spans="5:5" x14ac:dyDescent="0.25">
      <c r="E20428" t="s">
        <v>19908</v>
      </c>
    </row>
    <row r="20429" spans="5:5" x14ac:dyDescent="0.25">
      <c r="E20429" t="s">
        <v>19909</v>
      </c>
    </row>
    <row r="20430" spans="5:5" x14ac:dyDescent="0.25">
      <c r="E20430" t="s">
        <v>19910</v>
      </c>
    </row>
    <row r="20431" spans="5:5" x14ac:dyDescent="0.25">
      <c r="E20431" t="s">
        <v>19911</v>
      </c>
    </row>
    <row r="20432" spans="5:5" x14ac:dyDescent="0.25">
      <c r="E20432" t="s">
        <v>19912</v>
      </c>
    </row>
    <row r="20433" spans="5:5" x14ac:dyDescent="0.25">
      <c r="E20433" t="s">
        <v>19913</v>
      </c>
    </row>
    <row r="20434" spans="5:5" x14ac:dyDescent="0.25">
      <c r="E20434" t="s">
        <v>19914</v>
      </c>
    </row>
    <row r="20435" spans="5:5" x14ac:dyDescent="0.25">
      <c r="E20435" t="s">
        <v>19915</v>
      </c>
    </row>
    <row r="20436" spans="5:5" x14ac:dyDescent="0.25">
      <c r="E20436" t="s">
        <v>19916</v>
      </c>
    </row>
    <row r="20437" spans="5:5" x14ac:dyDescent="0.25">
      <c r="E20437" t="s">
        <v>19917</v>
      </c>
    </row>
    <row r="20438" spans="5:5" x14ac:dyDescent="0.25">
      <c r="E20438" t="s">
        <v>19918</v>
      </c>
    </row>
    <row r="20439" spans="5:5" x14ac:dyDescent="0.25">
      <c r="E20439" t="s">
        <v>19919</v>
      </c>
    </row>
    <row r="20440" spans="5:5" x14ac:dyDescent="0.25">
      <c r="E20440" t="s">
        <v>19920</v>
      </c>
    </row>
    <row r="20441" spans="5:5" x14ac:dyDescent="0.25">
      <c r="E20441" t="s">
        <v>19921</v>
      </c>
    </row>
    <row r="20442" spans="5:5" x14ac:dyDescent="0.25">
      <c r="E20442" t="s">
        <v>19922</v>
      </c>
    </row>
    <row r="20443" spans="5:5" x14ac:dyDescent="0.25">
      <c r="E20443" t="s">
        <v>19923</v>
      </c>
    </row>
    <row r="20444" spans="5:5" x14ac:dyDescent="0.25">
      <c r="E20444" t="s">
        <v>19924</v>
      </c>
    </row>
    <row r="20445" spans="5:5" x14ac:dyDescent="0.25">
      <c r="E20445" t="s">
        <v>19925</v>
      </c>
    </row>
    <row r="20446" spans="5:5" x14ac:dyDescent="0.25">
      <c r="E20446" t="s">
        <v>19926</v>
      </c>
    </row>
    <row r="20447" spans="5:5" x14ac:dyDescent="0.25">
      <c r="E20447" t="s">
        <v>19927</v>
      </c>
    </row>
    <row r="20448" spans="5:5" x14ac:dyDescent="0.25">
      <c r="E20448" t="s">
        <v>19928</v>
      </c>
    </row>
    <row r="20449" spans="5:5" x14ac:dyDescent="0.25">
      <c r="E20449" t="s">
        <v>19929</v>
      </c>
    </row>
    <row r="20450" spans="5:5" x14ac:dyDescent="0.25">
      <c r="E20450" t="s">
        <v>19930</v>
      </c>
    </row>
    <row r="20451" spans="5:5" x14ac:dyDescent="0.25">
      <c r="E20451" t="s">
        <v>19931</v>
      </c>
    </row>
    <row r="20452" spans="5:5" x14ac:dyDescent="0.25">
      <c r="E20452" t="s">
        <v>19932</v>
      </c>
    </row>
    <row r="20453" spans="5:5" x14ac:dyDescent="0.25">
      <c r="E20453" t="s">
        <v>19933</v>
      </c>
    </row>
    <row r="20454" spans="5:5" x14ac:dyDescent="0.25">
      <c r="E20454" t="s">
        <v>19934</v>
      </c>
    </row>
    <row r="20455" spans="5:5" x14ac:dyDescent="0.25">
      <c r="E20455" t="s">
        <v>19935</v>
      </c>
    </row>
    <row r="20456" spans="5:5" x14ac:dyDescent="0.25">
      <c r="E20456" t="s">
        <v>19936</v>
      </c>
    </row>
    <row r="20457" spans="5:5" x14ac:dyDescent="0.25">
      <c r="E20457" t="s">
        <v>19937</v>
      </c>
    </row>
    <row r="20458" spans="5:5" x14ac:dyDescent="0.25">
      <c r="E20458" t="s">
        <v>19938</v>
      </c>
    </row>
    <row r="20459" spans="5:5" x14ac:dyDescent="0.25">
      <c r="E20459" t="s">
        <v>19939</v>
      </c>
    </row>
    <row r="20460" spans="5:5" x14ac:dyDescent="0.25">
      <c r="E20460" t="s">
        <v>19940</v>
      </c>
    </row>
    <row r="20461" spans="5:5" x14ac:dyDescent="0.25">
      <c r="E20461" t="s">
        <v>19941</v>
      </c>
    </row>
    <row r="20462" spans="5:5" x14ac:dyDescent="0.25">
      <c r="E20462" t="s">
        <v>19942</v>
      </c>
    </row>
    <row r="20463" spans="5:5" x14ac:dyDescent="0.25">
      <c r="E20463" t="s">
        <v>19943</v>
      </c>
    </row>
    <row r="20464" spans="5:5" x14ac:dyDescent="0.25">
      <c r="E20464" t="s">
        <v>19944</v>
      </c>
    </row>
    <row r="20465" spans="5:5" x14ac:dyDescent="0.25">
      <c r="E20465" t="s">
        <v>19945</v>
      </c>
    </row>
    <row r="20466" spans="5:5" x14ac:dyDescent="0.25">
      <c r="E20466" t="s">
        <v>19946</v>
      </c>
    </row>
    <row r="20467" spans="5:5" x14ac:dyDescent="0.25">
      <c r="E20467" t="s">
        <v>19947</v>
      </c>
    </row>
    <row r="20468" spans="5:5" x14ac:dyDescent="0.25">
      <c r="E20468" t="s">
        <v>19948</v>
      </c>
    </row>
    <row r="20469" spans="5:5" x14ac:dyDescent="0.25">
      <c r="E20469" t="s">
        <v>19949</v>
      </c>
    </row>
    <row r="20470" spans="5:5" x14ac:dyDescent="0.25">
      <c r="E20470" t="s">
        <v>19950</v>
      </c>
    </row>
    <row r="20471" spans="5:5" x14ac:dyDescent="0.25">
      <c r="E20471" t="s">
        <v>19951</v>
      </c>
    </row>
    <row r="20472" spans="5:5" x14ac:dyDescent="0.25">
      <c r="E20472" t="s">
        <v>19952</v>
      </c>
    </row>
    <row r="20473" spans="5:5" x14ac:dyDescent="0.25">
      <c r="E20473" t="s">
        <v>19953</v>
      </c>
    </row>
    <row r="20474" spans="5:5" x14ac:dyDescent="0.25">
      <c r="E20474" t="s">
        <v>19954</v>
      </c>
    </row>
    <row r="20475" spans="5:5" x14ac:dyDescent="0.25">
      <c r="E20475" t="s">
        <v>19955</v>
      </c>
    </row>
    <row r="20476" spans="5:5" x14ac:dyDescent="0.25">
      <c r="E20476" t="s">
        <v>19956</v>
      </c>
    </row>
    <row r="20477" spans="5:5" x14ac:dyDescent="0.25">
      <c r="E20477" t="s">
        <v>19957</v>
      </c>
    </row>
    <row r="20478" spans="5:5" x14ac:dyDescent="0.25">
      <c r="E20478" t="s">
        <v>19958</v>
      </c>
    </row>
    <row r="20479" spans="5:5" x14ac:dyDescent="0.25">
      <c r="E20479" t="s">
        <v>19959</v>
      </c>
    </row>
    <row r="20480" spans="5:5" x14ac:dyDescent="0.25">
      <c r="E20480" t="s">
        <v>19960</v>
      </c>
    </row>
    <row r="20481" spans="5:5" x14ac:dyDescent="0.25">
      <c r="E20481" t="s">
        <v>19961</v>
      </c>
    </row>
    <row r="20482" spans="5:5" x14ac:dyDescent="0.25">
      <c r="E20482" t="s">
        <v>19962</v>
      </c>
    </row>
    <row r="20483" spans="5:5" x14ac:dyDescent="0.25">
      <c r="E20483" t="s">
        <v>19963</v>
      </c>
    </row>
    <row r="20484" spans="5:5" x14ac:dyDescent="0.25">
      <c r="E20484" t="s">
        <v>19964</v>
      </c>
    </row>
    <row r="20485" spans="5:5" x14ac:dyDescent="0.25">
      <c r="E20485" t="s">
        <v>19965</v>
      </c>
    </row>
    <row r="20486" spans="5:5" x14ac:dyDescent="0.25">
      <c r="E20486" t="s">
        <v>19966</v>
      </c>
    </row>
    <row r="20487" spans="5:5" x14ac:dyDescent="0.25">
      <c r="E20487" t="s">
        <v>19967</v>
      </c>
    </row>
    <row r="20488" spans="5:5" x14ac:dyDescent="0.25">
      <c r="E20488" t="s">
        <v>19968</v>
      </c>
    </row>
    <row r="20489" spans="5:5" x14ac:dyDescent="0.25">
      <c r="E20489" t="s">
        <v>19969</v>
      </c>
    </row>
    <row r="20490" spans="5:5" x14ac:dyDescent="0.25">
      <c r="E20490" t="s">
        <v>19970</v>
      </c>
    </row>
    <row r="20491" spans="5:5" x14ac:dyDescent="0.25">
      <c r="E20491" t="s">
        <v>19971</v>
      </c>
    </row>
    <row r="20492" spans="5:5" x14ac:dyDescent="0.25">
      <c r="E20492" t="s">
        <v>19972</v>
      </c>
    </row>
    <row r="20493" spans="5:5" x14ac:dyDescent="0.25">
      <c r="E20493" t="s">
        <v>19973</v>
      </c>
    </row>
    <row r="20494" spans="5:5" x14ac:dyDescent="0.25">
      <c r="E20494" t="s">
        <v>19974</v>
      </c>
    </row>
    <row r="20495" spans="5:5" x14ac:dyDescent="0.25">
      <c r="E20495" t="s">
        <v>19975</v>
      </c>
    </row>
    <row r="20496" spans="5:5" x14ac:dyDescent="0.25">
      <c r="E20496" t="s">
        <v>19976</v>
      </c>
    </row>
    <row r="20497" spans="5:5" x14ac:dyDescent="0.25">
      <c r="E20497" t="s">
        <v>19977</v>
      </c>
    </row>
    <row r="20498" spans="5:5" x14ac:dyDescent="0.25">
      <c r="E20498" t="s">
        <v>19978</v>
      </c>
    </row>
    <row r="20499" spans="5:5" x14ac:dyDescent="0.25">
      <c r="E20499" t="s">
        <v>19979</v>
      </c>
    </row>
    <row r="20500" spans="5:5" x14ac:dyDescent="0.25">
      <c r="E20500" t="s">
        <v>19980</v>
      </c>
    </row>
    <row r="20501" spans="5:5" x14ac:dyDescent="0.25">
      <c r="E20501" t="s">
        <v>19981</v>
      </c>
    </row>
    <row r="20502" spans="5:5" x14ac:dyDescent="0.25">
      <c r="E20502" t="s">
        <v>19982</v>
      </c>
    </row>
    <row r="20503" spans="5:5" x14ac:dyDescent="0.25">
      <c r="E20503" t="s">
        <v>19983</v>
      </c>
    </row>
    <row r="20504" spans="5:5" x14ac:dyDescent="0.25">
      <c r="E20504" t="s">
        <v>19984</v>
      </c>
    </row>
    <row r="20505" spans="5:5" x14ac:dyDescent="0.25">
      <c r="E20505" t="s">
        <v>19985</v>
      </c>
    </row>
    <row r="20506" spans="5:5" x14ac:dyDescent="0.25">
      <c r="E20506" t="s">
        <v>19986</v>
      </c>
    </row>
    <row r="20507" spans="5:5" x14ac:dyDescent="0.25">
      <c r="E20507" t="s">
        <v>19987</v>
      </c>
    </row>
    <row r="20508" spans="5:5" x14ac:dyDescent="0.25">
      <c r="E20508" t="s">
        <v>19988</v>
      </c>
    </row>
    <row r="20509" spans="5:5" x14ac:dyDescent="0.25">
      <c r="E20509" t="s">
        <v>19989</v>
      </c>
    </row>
    <row r="20510" spans="5:5" x14ac:dyDescent="0.25">
      <c r="E20510" t="s">
        <v>19990</v>
      </c>
    </row>
    <row r="20511" spans="5:5" x14ac:dyDescent="0.25">
      <c r="E20511" t="s">
        <v>19991</v>
      </c>
    </row>
    <row r="20512" spans="5:5" x14ac:dyDescent="0.25">
      <c r="E20512" t="s">
        <v>19992</v>
      </c>
    </row>
    <row r="20513" spans="5:5" x14ac:dyDescent="0.25">
      <c r="E20513" t="s">
        <v>19993</v>
      </c>
    </row>
    <row r="20514" spans="5:5" x14ac:dyDescent="0.25">
      <c r="E20514" t="s">
        <v>19994</v>
      </c>
    </row>
    <row r="20515" spans="5:5" x14ac:dyDescent="0.25">
      <c r="E20515" t="s">
        <v>19995</v>
      </c>
    </row>
    <row r="20516" spans="5:5" x14ac:dyDescent="0.25">
      <c r="E20516" t="s">
        <v>19996</v>
      </c>
    </row>
    <row r="20517" spans="5:5" x14ac:dyDescent="0.25">
      <c r="E20517" t="s">
        <v>19997</v>
      </c>
    </row>
    <row r="20518" spans="5:5" x14ac:dyDescent="0.25">
      <c r="E20518" t="s">
        <v>19998</v>
      </c>
    </row>
    <row r="20519" spans="5:5" x14ac:dyDescent="0.25">
      <c r="E20519" t="s">
        <v>19999</v>
      </c>
    </row>
    <row r="20520" spans="5:5" x14ac:dyDescent="0.25">
      <c r="E20520" t="s">
        <v>20000</v>
      </c>
    </row>
    <row r="20521" spans="5:5" x14ac:dyDescent="0.25">
      <c r="E20521" t="s">
        <v>20001</v>
      </c>
    </row>
    <row r="20522" spans="5:5" x14ac:dyDescent="0.25">
      <c r="E20522" t="s">
        <v>20002</v>
      </c>
    </row>
    <row r="20523" spans="5:5" x14ac:dyDescent="0.25">
      <c r="E20523" t="s">
        <v>20003</v>
      </c>
    </row>
    <row r="20524" spans="5:5" x14ac:dyDescent="0.25">
      <c r="E20524" t="s">
        <v>20004</v>
      </c>
    </row>
    <row r="20525" spans="5:5" x14ac:dyDescent="0.25">
      <c r="E20525" t="s">
        <v>20005</v>
      </c>
    </row>
    <row r="20526" spans="5:5" x14ac:dyDescent="0.25">
      <c r="E20526" t="s">
        <v>20006</v>
      </c>
    </row>
    <row r="20527" spans="5:5" x14ac:dyDescent="0.25">
      <c r="E20527" t="s">
        <v>20007</v>
      </c>
    </row>
    <row r="20528" spans="5:5" x14ac:dyDescent="0.25">
      <c r="E20528" t="s">
        <v>20008</v>
      </c>
    </row>
    <row r="20529" spans="5:5" x14ac:dyDescent="0.25">
      <c r="E20529" t="s">
        <v>20009</v>
      </c>
    </row>
    <row r="20530" spans="5:5" x14ac:dyDescent="0.25">
      <c r="E20530" t="s">
        <v>20010</v>
      </c>
    </row>
    <row r="20531" spans="5:5" x14ac:dyDescent="0.25">
      <c r="E20531" t="s">
        <v>20011</v>
      </c>
    </row>
    <row r="20532" spans="5:5" x14ac:dyDescent="0.25">
      <c r="E20532" t="s">
        <v>20012</v>
      </c>
    </row>
    <row r="20533" spans="5:5" x14ac:dyDescent="0.25">
      <c r="E20533" t="s">
        <v>20013</v>
      </c>
    </row>
    <row r="20534" spans="5:5" x14ac:dyDescent="0.25">
      <c r="E20534" t="s">
        <v>20014</v>
      </c>
    </row>
    <row r="20535" spans="5:5" x14ac:dyDescent="0.25">
      <c r="E20535" t="s">
        <v>20015</v>
      </c>
    </row>
    <row r="20536" spans="5:5" x14ac:dyDescent="0.25">
      <c r="E20536" t="s">
        <v>20016</v>
      </c>
    </row>
    <row r="20537" spans="5:5" x14ac:dyDescent="0.25">
      <c r="E20537" t="s">
        <v>20017</v>
      </c>
    </row>
    <row r="20538" spans="5:5" x14ac:dyDescent="0.25">
      <c r="E20538" t="s">
        <v>20018</v>
      </c>
    </row>
    <row r="20539" spans="5:5" x14ac:dyDescent="0.25">
      <c r="E20539" t="s">
        <v>20019</v>
      </c>
    </row>
    <row r="20540" spans="5:5" x14ac:dyDescent="0.25">
      <c r="E20540" t="s">
        <v>20020</v>
      </c>
    </row>
    <row r="20541" spans="5:5" x14ac:dyDescent="0.25">
      <c r="E20541" t="s">
        <v>20021</v>
      </c>
    </row>
    <row r="20542" spans="5:5" x14ac:dyDescent="0.25">
      <c r="E20542" t="s">
        <v>20022</v>
      </c>
    </row>
    <row r="20543" spans="5:5" x14ac:dyDescent="0.25">
      <c r="E20543" t="s">
        <v>20023</v>
      </c>
    </row>
    <row r="20544" spans="5:5" x14ac:dyDescent="0.25">
      <c r="E20544" t="s">
        <v>20024</v>
      </c>
    </row>
    <row r="20545" spans="5:5" x14ac:dyDescent="0.25">
      <c r="E20545" t="s">
        <v>20025</v>
      </c>
    </row>
    <row r="20546" spans="5:5" x14ac:dyDescent="0.25">
      <c r="E20546" t="s">
        <v>20026</v>
      </c>
    </row>
    <row r="20547" spans="5:5" x14ac:dyDescent="0.25">
      <c r="E20547" t="s">
        <v>20027</v>
      </c>
    </row>
    <row r="20548" spans="5:5" x14ac:dyDescent="0.25">
      <c r="E20548" t="s">
        <v>20028</v>
      </c>
    </row>
    <row r="20549" spans="5:5" x14ac:dyDescent="0.25">
      <c r="E20549" t="s">
        <v>20029</v>
      </c>
    </row>
    <row r="20550" spans="5:5" x14ac:dyDescent="0.25">
      <c r="E20550" t="s">
        <v>20030</v>
      </c>
    </row>
    <row r="20551" spans="5:5" x14ac:dyDescent="0.25">
      <c r="E20551" t="s">
        <v>20031</v>
      </c>
    </row>
    <row r="20552" spans="5:5" x14ac:dyDescent="0.25">
      <c r="E20552" t="s">
        <v>20032</v>
      </c>
    </row>
    <row r="20553" spans="5:5" x14ac:dyDescent="0.25">
      <c r="E20553" t="s">
        <v>20033</v>
      </c>
    </row>
    <row r="20554" spans="5:5" x14ac:dyDescent="0.25">
      <c r="E20554" t="s">
        <v>20034</v>
      </c>
    </row>
    <row r="20555" spans="5:5" x14ac:dyDescent="0.25">
      <c r="E20555" t="s">
        <v>20035</v>
      </c>
    </row>
    <row r="20556" spans="5:5" x14ac:dyDescent="0.25">
      <c r="E20556" t="s">
        <v>20036</v>
      </c>
    </row>
    <row r="20557" spans="5:5" x14ac:dyDescent="0.25">
      <c r="E20557" t="s">
        <v>20037</v>
      </c>
    </row>
    <row r="20558" spans="5:5" x14ac:dyDescent="0.25">
      <c r="E20558" t="s">
        <v>20038</v>
      </c>
    </row>
    <row r="20559" spans="5:5" x14ac:dyDescent="0.25">
      <c r="E20559" t="s">
        <v>20039</v>
      </c>
    </row>
    <row r="20560" spans="5:5" x14ac:dyDescent="0.25">
      <c r="E20560" t="s">
        <v>20040</v>
      </c>
    </row>
    <row r="20561" spans="5:5" x14ac:dyDescent="0.25">
      <c r="E20561" t="s">
        <v>20041</v>
      </c>
    </row>
    <row r="20562" spans="5:5" x14ac:dyDescent="0.25">
      <c r="E20562" t="s">
        <v>20042</v>
      </c>
    </row>
    <row r="20563" spans="5:5" x14ac:dyDescent="0.25">
      <c r="E20563" t="s">
        <v>20043</v>
      </c>
    </row>
    <row r="20564" spans="5:5" x14ac:dyDescent="0.25">
      <c r="E20564" t="s">
        <v>20044</v>
      </c>
    </row>
    <row r="20565" spans="5:5" x14ac:dyDescent="0.25">
      <c r="E20565" t="s">
        <v>20045</v>
      </c>
    </row>
    <row r="20566" spans="5:5" x14ac:dyDescent="0.25">
      <c r="E20566" t="s">
        <v>20046</v>
      </c>
    </row>
    <row r="20567" spans="5:5" x14ac:dyDescent="0.25">
      <c r="E20567" t="s">
        <v>20047</v>
      </c>
    </row>
    <row r="20568" spans="5:5" x14ac:dyDescent="0.25">
      <c r="E20568" t="s">
        <v>20048</v>
      </c>
    </row>
    <row r="20569" spans="5:5" x14ac:dyDescent="0.25">
      <c r="E20569" t="s">
        <v>20049</v>
      </c>
    </row>
    <row r="20570" spans="5:5" x14ac:dyDescent="0.25">
      <c r="E20570" t="s">
        <v>20050</v>
      </c>
    </row>
    <row r="20571" spans="5:5" x14ac:dyDescent="0.25">
      <c r="E20571" t="s">
        <v>20051</v>
      </c>
    </row>
    <row r="20572" spans="5:5" x14ac:dyDescent="0.25">
      <c r="E20572" t="s">
        <v>20052</v>
      </c>
    </row>
    <row r="20573" spans="5:5" x14ac:dyDescent="0.25">
      <c r="E20573" t="s">
        <v>20053</v>
      </c>
    </row>
    <row r="20574" spans="5:5" x14ac:dyDescent="0.25">
      <c r="E20574" t="s">
        <v>20054</v>
      </c>
    </row>
    <row r="20575" spans="5:5" x14ac:dyDescent="0.25">
      <c r="E20575" t="s">
        <v>20055</v>
      </c>
    </row>
    <row r="20576" spans="5:5" x14ac:dyDescent="0.25">
      <c r="E20576" t="s">
        <v>20056</v>
      </c>
    </row>
    <row r="20577" spans="5:5" x14ac:dyDescent="0.25">
      <c r="E20577" t="s">
        <v>20057</v>
      </c>
    </row>
    <row r="20578" spans="5:5" x14ac:dyDescent="0.25">
      <c r="E20578" t="s">
        <v>20058</v>
      </c>
    </row>
    <row r="20579" spans="5:5" x14ac:dyDescent="0.25">
      <c r="E20579" t="s">
        <v>20059</v>
      </c>
    </row>
    <row r="20580" spans="5:5" x14ac:dyDescent="0.25">
      <c r="E20580" t="s">
        <v>20060</v>
      </c>
    </row>
    <row r="20581" spans="5:5" x14ac:dyDescent="0.25">
      <c r="E20581" t="s">
        <v>20061</v>
      </c>
    </row>
    <row r="20582" spans="5:5" x14ac:dyDescent="0.25">
      <c r="E20582" t="s">
        <v>20062</v>
      </c>
    </row>
    <row r="20583" spans="5:5" x14ac:dyDescent="0.25">
      <c r="E20583" t="s">
        <v>20063</v>
      </c>
    </row>
    <row r="20584" spans="5:5" x14ac:dyDescent="0.25">
      <c r="E20584" t="s">
        <v>20064</v>
      </c>
    </row>
    <row r="20585" spans="5:5" x14ac:dyDescent="0.25">
      <c r="E20585" t="s">
        <v>20065</v>
      </c>
    </row>
    <row r="20586" spans="5:5" x14ac:dyDescent="0.25">
      <c r="E20586" t="s">
        <v>20066</v>
      </c>
    </row>
    <row r="20587" spans="5:5" x14ac:dyDescent="0.25">
      <c r="E20587" t="s">
        <v>20067</v>
      </c>
    </row>
    <row r="20588" spans="5:5" x14ac:dyDescent="0.25">
      <c r="E20588" t="s">
        <v>20068</v>
      </c>
    </row>
    <row r="20589" spans="5:5" x14ac:dyDescent="0.25">
      <c r="E20589" t="s">
        <v>20069</v>
      </c>
    </row>
    <row r="20590" spans="5:5" x14ac:dyDescent="0.25">
      <c r="E20590" t="s">
        <v>20070</v>
      </c>
    </row>
    <row r="20591" spans="5:5" x14ac:dyDescent="0.25">
      <c r="E20591" t="s">
        <v>20071</v>
      </c>
    </row>
    <row r="20592" spans="5:5" x14ac:dyDescent="0.25">
      <c r="E20592" t="s">
        <v>20072</v>
      </c>
    </row>
    <row r="20593" spans="5:5" x14ac:dyDescent="0.25">
      <c r="E20593" t="s">
        <v>20073</v>
      </c>
    </row>
    <row r="20594" spans="5:5" x14ac:dyDescent="0.25">
      <c r="E20594" t="s">
        <v>20074</v>
      </c>
    </row>
    <row r="20595" spans="5:5" x14ac:dyDescent="0.25">
      <c r="E20595" t="s">
        <v>20075</v>
      </c>
    </row>
    <row r="20596" spans="5:5" x14ac:dyDescent="0.25">
      <c r="E20596" t="s">
        <v>20076</v>
      </c>
    </row>
    <row r="20597" spans="5:5" x14ac:dyDescent="0.25">
      <c r="E20597" t="s">
        <v>20077</v>
      </c>
    </row>
    <row r="20598" spans="5:5" x14ac:dyDescent="0.25">
      <c r="E20598" t="s">
        <v>20078</v>
      </c>
    </row>
    <row r="20599" spans="5:5" x14ac:dyDescent="0.25">
      <c r="E20599" t="s">
        <v>20079</v>
      </c>
    </row>
    <row r="20600" spans="5:5" x14ac:dyDescent="0.25">
      <c r="E20600" t="s">
        <v>20080</v>
      </c>
    </row>
    <row r="20601" spans="5:5" x14ac:dyDescent="0.25">
      <c r="E20601" t="s">
        <v>20081</v>
      </c>
    </row>
    <row r="20602" spans="5:5" x14ac:dyDescent="0.25">
      <c r="E20602" t="s">
        <v>20082</v>
      </c>
    </row>
    <row r="20603" spans="5:5" x14ac:dyDescent="0.25">
      <c r="E20603" t="s">
        <v>20083</v>
      </c>
    </row>
    <row r="20604" spans="5:5" x14ac:dyDescent="0.25">
      <c r="E20604" t="s">
        <v>20084</v>
      </c>
    </row>
    <row r="20605" spans="5:5" x14ac:dyDescent="0.25">
      <c r="E20605" t="s">
        <v>20085</v>
      </c>
    </row>
    <row r="20606" spans="5:5" x14ac:dyDescent="0.25">
      <c r="E20606" t="s">
        <v>20086</v>
      </c>
    </row>
    <row r="20607" spans="5:5" x14ac:dyDescent="0.25">
      <c r="E20607" t="s">
        <v>20087</v>
      </c>
    </row>
    <row r="20608" spans="5:5" x14ac:dyDescent="0.25">
      <c r="E20608" t="s">
        <v>20088</v>
      </c>
    </row>
    <row r="20609" spans="5:5" x14ac:dyDescent="0.25">
      <c r="E20609" t="s">
        <v>20089</v>
      </c>
    </row>
    <row r="20610" spans="5:5" x14ac:dyDescent="0.25">
      <c r="E20610" t="s">
        <v>20090</v>
      </c>
    </row>
    <row r="20611" spans="5:5" x14ac:dyDescent="0.25">
      <c r="E20611" t="s">
        <v>20091</v>
      </c>
    </row>
    <row r="20612" spans="5:5" x14ac:dyDescent="0.25">
      <c r="E20612" t="s">
        <v>20092</v>
      </c>
    </row>
    <row r="20613" spans="5:5" x14ac:dyDescent="0.25">
      <c r="E20613" t="s">
        <v>20093</v>
      </c>
    </row>
    <row r="20614" spans="5:5" x14ac:dyDescent="0.25">
      <c r="E20614" t="s">
        <v>20094</v>
      </c>
    </row>
    <row r="20615" spans="5:5" x14ac:dyDescent="0.25">
      <c r="E20615" t="s">
        <v>20095</v>
      </c>
    </row>
    <row r="20616" spans="5:5" x14ac:dyDescent="0.25">
      <c r="E20616" t="s">
        <v>20096</v>
      </c>
    </row>
    <row r="20618" spans="5:5" x14ac:dyDescent="0.25">
      <c r="E20618" t="s">
        <v>20097</v>
      </c>
    </row>
    <row r="20619" spans="5:5" x14ac:dyDescent="0.25">
      <c r="E20619" t="s">
        <v>20098</v>
      </c>
    </row>
    <row r="20620" spans="5:5" x14ac:dyDescent="0.25">
      <c r="E20620" t="s">
        <v>20099</v>
      </c>
    </row>
    <row r="20621" spans="5:5" x14ac:dyDescent="0.25">
      <c r="E20621" t="s">
        <v>20100</v>
      </c>
    </row>
    <row r="20622" spans="5:5" x14ac:dyDescent="0.25">
      <c r="E20622" t="s">
        <v>20101</v>
      </c>
    </row>
    <row r="20623" spans="5:5" x14ac:dyDescent="0.25">
      <c r="E20623" t="s">
        <v>20102</v>
      </c>
    </row>
    <row r="20624" spans="5:5" x14ac:dyDescent="0.25">
      <c r="E20624" t="s">
        <v>20103</v>
      </c>
    </row>
    <row r="20625" spans="5:5" x14ac:dyDescent="0.25">
      <c r="E20625" t="s">
        <v>20104</v>
      </c>
    </row>
    <row r="20626" spans="5:5" x14ac:dyDescent="0.25">
      <c r="E20626" t="s">
        <v>20105</v>
      </c>
    </row>
    <row r="20627" spans="5:5" x14ac:dyDescent="0.25">
      <c r="E20627" t="s">
        <v>20106</v>
      </c>
    </row>
    <row r="20628" spans="5:5" x14ac:dyDescent="0.25">
      <c r="E20628" t="s">
        <v>20107</v>
      </c>
    </row>
    <row r="20629" spans="5:5" x14ac:dyDescent="0.25">
      <c r="E20629" t="s">
        <v>20108</v>
      </c>
    </row>
    <row r="20630" spans="5:5" x14ac:dyDescent="0.25">
      <c r="E20630" t="s">
        <v>20109</v>
      </c>
    </row>
    <row r="20631" spans="5:5" x14ac:dyDescent="0.25">
      <c r="E20631" t="s">
        <v>20110</v>
      </c>
    </row>
    <row r="20632" spans="5:5" x14ac:dyDescent="0.25">
      <c r="E20632" t="s">
        <v>20111</v>
      </c>
    </row>
    <row r="20633" spans="5:5" x14ac:dyDescent="0.25">
      <c r="E20633" t="s">
        <v>20112</v>
      </c>
    </row>
    <row r="20634" spans="5:5" x14ac:dyDescent="0.25">
      <c r="E20634" t="s">
        <v>20113</v>
      </c>
    </row>
    <row r="20635" spans="5:5" x14ac:dyDescent="0.25">
      <c r="E20635" t="s">
        <v>20114</v>
      </c>
    </row>
    <row r="20636" spans="5:5" x14ac:dyDescent="0.25">
      <c r="E20636" t="s">
        <v>20115</v>
      </c>
    </row>
    <row r="20637" spans="5:5" x14ac:dyDescent="0.25">
      <c r="E20637" t="s">
        <v>20116</v>
      </c>
    </row>
    <row r="20639" spans="5:5" x14ac:dyDescent="0.25">
      <c r="E20639" t="s">
        <v>20117</v>
      </c>
    </row>
    <row r="20640" spans="5:5" x14ac:dyDescent="0.25">
      <c r="E20640" t="s">
        <v>20118</v>
      </c>
    </row>
    <row r="20641" spans="5:5" x14ac:dyDescent="0.25">
      <c r="E20641" t="s">
        <v>20119</v>
      </c>
    </row>
    <row r="20642" spans="5:5" x14ac:dyDescent="0.25">
      <c r="E20642" t="s">
        <v>20120</v>
      </c>
    </row>
    <row r="20643" spans="5:5" x14ac:dyDescent="0.25">
      <c r="E20643" t="s">
        <v>20121</v>
      </c>
    </row>
    <row r="20644" spans="5:5" x14ac:dyDescent="0.25">
      <c r="E20644" t="s">
        <v>20122</v>
      </c>
    </row>
    <row r="20645" spans="5:5" x14ac:dyDescent="0.25">
      <c r="E20645" t="s">
        <v>20123</v>
      </c>
    </row>
    <row r="20646" spans="5:5" x14ac:dyDescent="0.25">
      <c r="E20646" t="s">
        <v>20124</v>
      </c>
    </row>
    <row r="20647" spans="5:5" x14ac:dyDescent="0.25">
      <c r="E20647" t="s">
        <v>20125</v>
      </c>
    </row>
    <row r="20648" spans="5:5" x14ac:dyDescent="0.25">
      <c r="E20648" t="s">
        <v>20126</v>
      </c>
    </row>
    <row r="20649" spans="5:5" x14ac:dyDescent="0.25">
      <c r="E20649" t="s">
        <v>20127</v>
      </c>
    </row>
    <row r="20650" spans="5:5" x14ac:dyDescent="0.25">
      <c r="E20650" t="s">
        <v>20128</v>
      </c>
    </row>
    <row r="20651" spans="5:5" x14ac:dyDescent="0.25">
      <c r="E20651" t="s">
        <v>20129</v>
      </c>
    </row>
    <row r="20652" spans="5:5" x14ac:dyDescent="0.25">
      <c r="E20652" t="s">
        <v>20130</v>
      </c>
    </row>
    <row r="20653" spans="5:5" x14ac:dyDescent="0.25">
      <c r="E20653" t="s">
        <v>20131</v>
      </c>
    </row>
    <row r="20654" spans="5:5" x14ac:dyDescent="0.25">
      <c r="E20654" t="s">
        <v>20132</v>
      </c>
    </row>
    <row r="20655" spans="5:5" x14ac:dyDescent="0.25">
      <c r="E20655" t="s">
        <v>20133</v>
      </c>
    </row>
    <row r="20656" spans="5:5" x14ac:dyDescent="0.25">
      <c r="E20656" t="s">
        <v>20134</v>
      </c>
    </row>
    <row r="20657" spans="5:5" x14ac:dyDescent="0.25">
      <c r="E20657" t="s">
        <v>20135</v>
      </c>
    </row>
    <row r="20658" spans="5:5" x14ac:dyDescent="0.25">
      <c r="E20658" t="s">
        <v>20136</v>
      </c>
    </row>
    <row r="20659" spans="5:5" x14ac:dyDescent="0.25">
      <c r="E20659" t="s">
        <v>20137</v>
      </c>
    </row>
    <row r="20660" spans="5:5" x14ac:dyDescent="0.25">
      <c r="E20660" t="s">
        <v>20138</v>
      </c>
    </row>
    <row r="20661" spans="5:5" x14ac:dyDescent="0.25">
      <c r="E20661" t="s">
        <v>20139</v>
      </c>
    </row>
    <row r="20662" spans="5:5" x14ac:dyDescent="0.25">
      <c r="E20662" t="s">
        <v>20140</v>
      </c>
    </row>
    <row r="20663" spans="5:5" x14ac:dyDescent="0.25">
      <c r="E20663" t="s">
        <v>20141</v>
      </c>
    </row>
    <row r="20664" spans="5:5" x14ac:dyDescent="0.25">
      <c r="E20664" t="s">
        <v>20142</v>
      </c>
    </row>
    <row r="20665" spans="5:5" x14ac:dyDescent="0.25">
      <c r="E20665" t="s">
        <v>20143</v>
      </c>
    </row>
    <row r="20666" spans="5:5" x14ac:dyDescent="0.25">
      <c r="E20666" t="s">
        <v>20144</v>
      </c>
    </row>
    <row r="20667" spans="5:5" x14ac:dyDescent="0.25">
      <c r="E20667" t="s">
        <v>20145</v>
      </c>
    </row>
    <row r="20668" spans="5:5" x14ac:dyDescent="0.25">
      <c r="E20668" t="s">
        <v>20146</v>
      </c>
    </row>
    <row r="20669" spans="5:5" x14ac:dyDescent="0.25">
      <c r="E20669" t="s">
        <v>20147</v>
      </c>
    </row>
    <row r="20670" spans="5:5" x14ac:dyDescent="0.25">
      <c r="E20670" t="s">
        <v>20148</v>
      </c>
    </row>
    <row r="20671" spans="5:5" x14ac:dyDescent="0.25">
      <c r="E20671" t="s">
        <v>20149</v>
      </c>
    </row>
    <row r="20672" spans="5:5" x14ac:dyDescent="0.25">
      <c r="E20672" t="s">
        <v>20150</v>
      </c>
    </row>
    <row r="20673" spans="5:5" x14ac:dyDescent="0.25">
      <c r="E20673" t="s">
        <v>20151</v>
      </c>
    </row>
    <row r="20677" spans="5:5" x14ac:dyDescent="0.25">
      <c r="E20677" t="s">
        <v>20152</v>
      </c>
    </row>
    <row r="20678" spans="5:5" x14ac:dyDescent="0.25">
      <c r="E20678" t="s">
        <v>20153</v>
      </c>
    </row>
    <row r="20679" spans="5:5" x14ac:dyDescent="0.25">
      <c r="E20679" t="s">
        <v>20154</v>
      </c>
    </row>
    <row r="20680" spans="5:5" x14ac:dyDescent="0.25">
      <c r="E20680" t="s">
        <v>20155</v>
      </c>
    </row>
    <row r="20681" spans="5:5" x14ac:dyDescent="0.25">
      <c r="E20681" t="s">
        <v>20156</v>
      </c>
    </row>
    <row r="20682" spans="5:5" x14ac:dyDescent="0.25">
      <c r="E20682" t="s">
        <v>20157</v>
      </c>
    </row>
    <row r="20683" spans="5:5" x14ac:dyDescent="0.25">
      <c r="E20683" t="s">
        <v>20158</v>
      </c>
    </row>
    <row r="20684" spans="5:5" x14ac:dyDescent="0.25">
      <c r="E20684" t="s">
        <v>20159</v>
      </c>
    </row>
    <row r="20685" spans="5:5" x14ac:dyDescent="0.25">
      <c r="E20685" t="s">
        <v>20160</v>
      </c>
    </row>
    <row r="20686" spans="5:5" x14ac:dyDescent="0.25">
      <c r="E20686" t="s">
        <v>20161</v>
      </c>
    </row>
    <row r="20687" spans="5:5" x14ac:dyDescent="0.25">
      <c r="E20687" t="s">
        <v>20162</v>
      </c>
    </row>
    <row r="20688" spans="5:5" x14ac:dyDescent="0.25">
      <c r="E20688" t="s">
        <v>20163</v>
      </c>
    </row>
    <row r="20689" spans="5:5" x14ac:dyDescent="0.25">
      <c r="E20689" t="s">
        <v>20164</v>
      </c>
    </row>
    <row r="20690" spans="5:5" x14ac:dyDescent="0.25">
      <c r="E20690" t="s">
        <v>20165</v>
      </c>
    </row>
    <row r="20691" spans="5:5" x14ac:dyDescent="0.25">
      <c r="E20691" t="s">
        <v>20166</v>
      </c>
    </row>
    <row r="20692" spans="5:5" x14ac:dyDescent="0.25">
      <c r="E20692" t="s">
        <v>20167</v>
      </c>
    </row>
    <row r="20693" spans="5:5" x14ac:dyDescent="0.25">
      <c r="E20693" t="s">
        <v>20168</v>
      </c>
    </row>
    <row r="20694" spans="5:5" x14ac:dyDescent="0.25">
      <c r="E20694" t="s">
        <v>20169</v>
      </c>
    </row>
    <row r="20695" spans="5:5" x14ac:dyDescent="0.25">
      <c r="E20695" t="s">
        <v>20170</v>
      </c>
    </row>
    <row r="20696" spans="5:5" x14ac:dyDescent="0.25">
      <c r="E20696" t="s">
        <v>20171</v>
      </c>
    </row>
    <row r="20697" spans="5:5" x14ac:dyDescent="0.25">
      <c r="E20697" t="s">
        <v>20172</v>
      </c>
    </row>
    <row r="20698" spans="5:5" x14ac:dyDescent="0.25">
      <c r="E20698" t="s">
        <v>20173</v>
      </c>
    </row>
    <row r="20699" spans="5:5" x14ac:dyDescent="0.25">
      <c r="E20699" t="s">
        <v>20174</v>
      </c>
    </row>
    <row r="20700" spans="5:5" x14ac:dyDescent="0.25">
      <c r="E20700" t="s">
        <v>20175</v>
      </c>
    </row>
    <row r="20701" spans="5:5" x14ac:dyDescent="0.25">
      <c r="E20701" t="s">
        <v>20176</v>
      </c>
    </row>
    <row r="20702" spans="5:5" x14ac:dyDescent="0.25">
      <c r="E20702" t="s">
        <v>20177</v>
      </c>
    </row>
    <row r="20703" spans="5:5" x14ac:dyDescent="0.25">
      <c r="E20703" t="s">
        <v>20178</v>
      </c>
    </row>
    <row r="20704" spans="5:5" x14ac:dyDescent="0.25">
      <c r="E20704" t="s">
        <v>20179</v>
      </c>
    </row>
    <row r="20705" spans="5:5" x14ac:dyDescent="0.25">
      <c r="E20705" t="s">
        <v>20180</v>
      </c>
    </row>
    <row r="20706" spans="5:5" x14ac:dyDescent="0.25">
      <c r="E20706" t="s">
        <v>20181</v>
      </c>
    </row>
    <row r="20707" spans="5:5" x14ac:dyDescent="0.25">
      <c r="E20707" t="s">
        <v>20182</v>
      </c>
    </row>
    <row r="20708" spans="5:5" x14ac:dyDescent="0.25">
      <c r="E20708" t="s">
        <v>20183</v>
      </c>
    </row>
    <row r="20709" spans="5:5" x14ac:dyDescent="0.25">
      <c r="E20709" t="s">
        <v>20184</v>
      </c>
    </row>
    <row r="20710" spans="5:5" x14ac:dyDescent="0.25">
      <c r="E20710" t="s">
        <v>20185</v>
      </c>
    </row>
    <row r="20711" spans="5:5" x14ac:dyDescent="0.25">
      <c r="E20711" t="s">
        <v>20186</v>
      </c>
    </row>
    <row r="20712" spans="5:5" x14ac:dyDescent="0.25">
      <c r="E20712" t="s">
        <v>20187</v>
      </c>
    </row>
    <row r="20713" spans="5:5" x14ac:dyDescent="0.25">
      <c r="E20713" t="s">
        <v>20188</v>
      </c>
    </row>
    <row r="20714" spans="5:5" x14ac:dyDescent="0.25">
      <c r="E20714" t="s">
        <v>20189</v>
      </c>
    </row>
    <row r="20715" spans="5:5" x14ac:dyDescent="0.25">
      <c r="E20715" t="s">
        <v>20190</v>
      </c>
    </row>
    <row r="20716" spans="5:5" x14ac:dyDescent="0.25">
      <c r="E20716" t="s">
        <v>20191</v>
      </c>
    </row>
    <row r="20717" spans="5:5" x14ac:dyDescent="0.25">
      <c r="E20717" t="s">
        <v>20192</v>
      </c>
    </row>
    <row r="20718" spans="5:5" x14ac:dyDescent="0.25">
      <c r="E20718" t="s">
        <v>20193</v>
      </c>
    </row>
    <row r="20719" spans="5:5" x14ac:dyDescent="0.25">
      <c r="E20719" t="s">
        <v>20194</v>
      </c>
    </row>
    <row r="20720" spans="5:5" x14ac:dyDescent="0.25">
      <c r="E20720" t="s">
        <v>20195</v>
      </c>
    </row>
    <row r="20721" spans="5:5" x14ac:dyDescent="0.25">
      <c r="E20721" t="s">
        <v>20196</v>
      </c>
    </row>
    <row r="20722" spans="5:5" x14ac:dyDescent="0.25">
      <c r="E20722" t="s">
        <v>20197</v>
      </c>
    </row>
    <row r="20723" spans="5:5" x14ac:dyDescent="0.25">
      <c r="E20723" t="s">
        <v>20198</v>
      </c>
    </row>
    <row r="20724" spans="5:5" x14ac:dyDescent="0.25">
      <c r="E20724" t="s">
        <v>20199</v>
      </c>
    </row>
    <row r="20725" spans="5:5" x14ac:dyDescent="0.25">
      <c r="E20725" t="s">
        <v>20200</v>
      </c>
    </row>
    <row r="20726" spans="5:5" x14ac:dyDescent="0.25">
      <c r="E20726" t="s">
        <v>20201</v>
      </c>
    </row>
    <row r="20727" spans="5:5" x14ac:dyDescent="0.25">
      <c r="E20727" t="s">
        <v>20202</v>
      </c>
    </row>
    <row r="20728" spans="5:5" x14ac:dyDescent="0.25">
      <c r="E20728" t="s">
        <v>20203</v>
      </c>
    </row>
    <row r="20729" spans="5:5" x14ac:dyDescent="0.25">
      <c r="E20729" t="s">
        <v>20204</v>
      </c>
    </row>
    <row r="20730" spans="5:5" x14ac:dyDescent="0.25">
      <c r="E20730" t="s">
        <v>20205</v>
      </c>
    </row>
    <row r="20731" spans="5:5" x14ac:dyDescent="0.25">
      <c r="E20731" t="s">
        <v>20206</v>
      </c>
    </row>
    <row r="20732" spans="5:5" x14ac:dyDescent="0.25">
      <c r="E20732" t="s">
        <v>20207</v>
      </c>
    </row>
    <row r="20733" spans="5:5" x14ac:dyDescent="0.25">
      <c r="E20733" t="s">
        <v>20208</v>
      </c>
    </row>
    <row r="20734" spans="5:5" x14ac:dyDescent="0.25">
      <c r="E20734" t="s">
        <v>20209</v>
      </c>
    </row>
    <row r="20735" spans="5:5" x14ac:dyDescent="0.25">
      <c r="E20735" t="s">
        <v>20210</v>
      </c>
    </row>
    <row r="20736" spans="5:5" x14ac:dyDescent="0.25">
      <c r="E20736" t="s">
        <v>20211</v>
      </c>
    </row>
    <row r="20737" spans="5:5" x14ac:dyDescent="0.25">
      <c r="E20737" t="s">
        <v>20212</v>
      </c>
    </row>
    <row r="20738" spans="5:5" x14ac:dyDescent="0.25">
      <c r="E20738" t="s">
        <v>20213</v>
      </c>
    </row>
    <row r="20739" spans="5:5" x14ac:dyDescent="0.25">
      <c r="E20739" t="s">
        <v>20214</v>
      </c>
    </row>
    <row r="20740" spans="5:5" x14ac:dyDescent="0.25">
      <c r="E20740" t="s">
        <v>20215</v>
      </c>
    </row>
    <row r="20741" spans="5:5" x14ac:dyDescent="0.25">
      <c r="E20741" t="s">
        <v>20216</v>
      </c>
    </row>
    <row r="20742" spans="5:5" x14ac:dyDescent="0.25">
      <c r="E20742" t="s">
        <v>20217</v>
      </c>
    </row>
    <row r="20743" spans="5:5" x14ac:dyDescent="0.25">
      <c r="E20743" t="s">
        <v>20218</v>
      </c>
    </row>
    <row r="20744" spans="5:5" x14ac:dyDescent="0.25">
      <c r="E20744" t="s">
        <v>20219</v>
      </c>
    </row>
    <row r="20745" spans="5:5" x14ac:dyDescent="0.25">
      <c r="E20745" t="s">
        <v>20220</v>
      </c>
    </row>
    <row r="20746" spans="5:5" x14ac:dyDescent="0.25">
      <c r="E20746" t="s">
        <v>20221</v>
      </c>
    </row>
    <row r="20747" spans="5:5" x14ac:dyDescent="0.25">
      <c r="E20747" t="s">
        <v>20222</v>
      </c>
    </row>
    <row r="20748" spans="5:5" x14ac:dyDescent="0.25">
      <c r="E20748" t="s">
        <v>20223</v>
      </c>
    </row>
    <row r="20749" spans="5:5" x14ac:dyDescent="0.25">
      <c r="E20749" t="s">
        <v>20224</v>
      </c>
    </row>
    <row r="20750" spans="5:5" x14ac:dyDescent="0.25">
      <c r="E20750" t="s">
        <v>20225</v>
      </c>
    </row>
    <row r="20751" spans="5:5" x14ac:dyDescent="0.25">
      <c r="E20751" t="s">
        <v>20226</v>
      </c>
    </row>
    <row r="20752" spans="5:5" x14ac:dyDescent="0.25">
      <c r="E20752" t="s">
        <v>20227</v>
      </c>
    </row>
    <row r="20753" spans="5:5" x14ac:dyDescent="0.25">
      <c r="E20753" t="s">
        <v>20228</v>
      </c>
    </row>
    <row r="20754" spans="5:5" x14ac:dyDescent="0.25">
      <c r="E20754" t="s">
        <v>20229</v>
      </c>
    </row>
    <row r="20755" spans="5:5" x14ac:dyDescent="0.25">
      <c r="E20755" t="s">
        <v>20230</v>
      </c>
    </row>
    <row r="20756" spans="5:5" x14ac:dyDescent="0.25">
      <c r="E20756" t="s">
        <v>20231</v>
      </c>
    </row>
    <row r="20757" spans="5:5" x14ac:dyDescent="0.25">
      <c r="E20757" t="s">
        <v>20232</v>
      </c>
    </row>
    <row r="20758" spans="5:5" x14ac:dyDescent="0.25">
      <c r="E20758" t="s">
        <v>20233</v>
      </c>
    </row>
    <row r="20759" spans="5:5" x14ac:dyDescent="0.25">
      <c r="E20759" t="s">
        <v>20234</v>
      </c>
    </row>
    <row r="20760" spans="5:5" x14ac:dyDescent="0.25">
      <c r="E20760" t="s">
        <v>20235</v>
      </c>
    </row>
    <row r="20761" spans="5:5" x14ac:dyDescent="0.25">
      <c r="E20761" t="s">
        <v>20236</v>
      </c>
    </row>
    <row r="20762" spans="5:5" x14ac:dyDescent="0.25">
      <c r="E20762" t="s">
        <v>20237</v>
      </c>
    </row>
    <row r="20763" spans="5:5" x14ac:dyDescent="0.25">
      <c r="E20763" t="s">
        <v>20238</v>
      </c>
    </row>
    <row r="20764" spans="5:5" x14ac:dyDescent="0.25">
      <c r="E20764" t="s">
        <v>20239</v>
      </c>
    </row>
    <row r="20765" spans="5:5" x14ac:dyDescent="0.25">
      <c r="E20765" t="s">
        <v>20240</v>
      </c>
    </row>
    <row r="20766" spans="5:5" x14ac:dyDescent="0.25">
      <c r="E20766" t="s">
        <v>20241</v>
      </c>
    </row>
    <row r="20767" spans="5:5" x14ac:dyDescent="0.25">
      <c r="E20767" t="s">
        <v>20242</v>
      </c>
    </row>
    <row r="20768" spans="5:5" x14ac:dyDescent="0.25">
      <c r="E20768" t="s">
        <v>20243</v>
      </c>
    </row>
    <row r="20769" spans="5:5" x14ac:dyDescent="0.25">
      <c r="E20769" t="s">
        <v>20244</v>
      </c>
    </row>
    <row r="20770" spans="5:5" x14ac:dyDescent="0.25">
      <c r="E20770" t="s">
        <v>20245</v>
      </c>
    </row>
    <row r="20771" spans="5:5" x14ac:dyDescent="0.25">
      <c r="E20771" t="s">
        <v>20246</v>
      </c>
    </row>
    <row r="20772" spans="5:5" x14ac:dyDescent="0.25">
      <c r="E20772" t="s">
        <v>20247</v>
      </c>
    </row>
    <row r="20773" spans="5:5" x14ac:dyDescent="0.25">
      <c r="E20773" t="s">
        <v>20248</v>
      </c>
    </row>
    <row r="20774" spans="5:5" x14ac:dyDescent="0.25">
      <c r="E20774" t="s">
        <v>20249</v>
      </c>
    </row>
    <row r="20775" spans="5:5" x14ac:dyDescent="0.25">
      <c r="E20775" t="s">
        <v>20250</v>
      </c>
    </row>
    <row r="20776" spans="5:5" x14ac:dyDescent="0.25">
      <c r="E20776" t="s">
        <v>20251</v>
      </c>
    </row>
    <row r="20777" spans="5:5" x14ac:dyDescent="0.25">
      <c r="E20777" t="s">
        <v>20252</v>
      </c>
    </row>
    <row r="20778" spans="5:5" x14ac:dyDescent="0.25">
      <c r="E20778" t="s">
        <v>20253</v>
      </c>
    </row>
    <row r="20779" spans="5:5" x14ac:dyDescent="0.25">
      <c r="E20779" t="s">
        <v>20254</v>
      </c>
    </row>
    <row r="20780" spans="5:5" x14ac:dyDescent="0.25">
      <c r="E20780" t="s">
        <v>20255</v>
      </c>
    </row>
    <row r="20781" spans="5:5" x14ac:dyDescent="0.25">
      <c r="E20781" t="s">
        <v>20256</v>
      </c>
    </row>
    <row r="20782" spans="5:5" x14ac:dyDescent="0.25">
      <c r="E20782" t="s">
        <v>20257</v>
      </c>
    </row>
    <row r="20783" spans="5:5" x14ac:dyDescent="0.25">
      <c r="E20783" t="s">
        <v>20258</v>
      </c>
    </row>
    <row r="20784" spans="5:5" x14ac:dyDescent="0.25">
      <c r="E20784" t="s">
        <v>20259</v>
      </c>
    </row>
    <row r="20785" spans="5:5" x14ac:dyDescent="0.25">
      <c r="E20785" t="s">
        <v>20260</v>
      </c>
    </row>
    <row r="20786" spans="5:5" x14ac:dyDescent="0.25">
      <c r="E20786" t="s">
        <v>20261</v>
      </c>
    </row>
    <row r="20787" spans="5:5" x14ac:dyDescent="0.25">
      <c r="E20787" t="s">
        <v>20262</v>
      </c>
    </row>
    <row r="20788" spans="5:5" x14ac:dyDescent="0.25">
      <c r="E20788" t="s">
        <v>20263</v>
      </c>
    </row>
    <row r="20789" spans="5:5" x14ac:dyDescent="0.25">
      <c r="E20789" t="s">
        <v>20264</v>
      </c>
    </row>
    <row r="20790" spans="5:5" x14ac:dyDescent="0.25">
      <c r="E20790" t="s">
        <v>20265</v>
      </c>
    </row>
    <row r="20791" spans="5:5" x14ac:dyDescent="0.25">
      <c r="E20791" t="s">
        <v>20266</v>
      </c>
    </row>
    <row r="20792" spans="5:5" x14ac:dyDescent="0.25">
      <c r="E20792" t="s">
        <v>20267</v>
      </c>
    </row>
    <row r="20793" spans="5:5" x14ac:dyDescent="0.25">
      <c r="E20793" t="s">
        <v>20268</v>
      </c>
    </row>
    <row r="20794" spans="5:5" x14ac:dyDescent="0.25">
      <c r="E20794" t="s">
        <v>20269</v>
      </c>
    </row>
    <row r="20795" spans="5:5" x14ac:dyDescent="0.25">
      <c r="E20795" t="s">
        <v>20270</v>
      </c>
    </row>
    <row r="20796" spans="5:5" x14ac:dyDescent="0.25">
      <c r="E20796" t="s">
        <v>20271</v>
      </c>
    </row>
    <row r="20797" spans="5:5" x14ac:dyDescent="0.25">
      <c r="E20797" t="s">
        <v>20272</v>
      </c>
    </row>
    <row r="20798" spans="5:5" x14ac:dyDescent="0.25">
      <c r="E20798" t="s">
        <v>20273</v>
      </c>
    </row>
    <row r="20799" spans="5:5" x14ac:dyDescent="0.25">
      <c r="E20799" t="s">
        <v>20274</v>
      </c>
    </row>
    <row r="20800" spans="5:5" x14ac:dyDescent="0.25">
      <c r="E20800" t="s">
        <v>20275</v>
      </c>
    </row>
    <row r="20801" spans="5:5" x14ac:dyDescent="0.25">
      <c r="E20801" t="s">
        <v>20276</v>
      </c>
    </row>
    <row r="20802" spans="5:5" x14ac:dyDescent="0.25">
      <c r="E20802" t="s">
        <v>20277</v>
      </c>
    </row>
    <row r="20803" spans="5:5" x14ac:dyDescent="0.25">
      <c r="E20803" t="s">
        <v>20278</v>
      </c>
    </row>
    <row r="20804" spans="5:5" x14ac:dyDescent="0.25">
      <c r="E20804" t="s">
        <v>20279</v>
      </c>
    </row>
    <row r="20805" spans="5:5" x14ac:dyDescent="0.25">
      <c r="E20805" t="s">
        <v>20280</v>
      </c>
    </row>
    <row r="20806" spans="5:5" x14ac:dyDescent="0.25">
      <c r="E20806" t="s">
        <v>20281</v>
      </c>
    </row>
    <row r="20807" spans="5:5" x14ac:dyDescent="0.25">
      <c r="E20807" t="s">
        <v>20282</v>
      </c>
    </row>
    <row r="20808" spans="5:5" x14ac:dyDescent="0.25">
      <c r="E20808" t="s">
        <v>20283</v>
      </c>
    </row>
    <row r="20809" spans="5:5" x14ac:dyDescent="0.25">
      <c r="E20809" t="s">
        <v>20284</v>
      </c>
    </row>
    <row r="20810" spans="5:5" x14ac:dyDescent="0.25">
      <c r="E20810" t="s">
        <v>20285</v>
      </c>
    </row>
    <row r="20811" spans="5:5" x14ac:dyDescent="0.25">
      <c r="E20811" t="s">
        <v>20286</v>
      </c>
    </row>
    <row r="20812" spans="5:5" x14ac:dyDescent="0.25">
      <c r="E20812" t="s">
        <v>20287</v>
      </c>
    </row>
    <row r="20813" spans="5:5" x14ac:dyDescent="0.25">
      <c r="E20813" t="s">
        <v>20288</v>
      </c>
    </row>
    <row r="20814" spans="5:5" x14ac:dyDescent="0.25">
      <c r="E20814" t="s">
        <v>20289</v>
      </c>
    </row>
    <row r="20815" spans="5:5" x14ac:dyDescent="0.25">
      <c r="E20815" t="s">
        <v>20290</v>
      </c>
    </row>
    <row r="20817" spans="5:5" x14ac:dyDescent="0.25">
      <c r="E20817" t="s">
        <v>20291</v>
      </c>
    </row>
    <row r="20818" spans="5:5" x14ac:dyDescent="0.25">
      <c r="E20818" t="s">
        <v>20292</v>
      </c>
    </row>
    <row r="20819" spans="5:5" x14ac:dyDescent="0.25">
      <c r="E20819" t="s">
        <v>20293</v>
      </c>
    </row>
    <row r="20820" spans="5:5" x14ac:dyDescent="0.25">
      <c r="E20820" t="s">
        <v>20294</v>
      </c>
    </row>
    <row r="20821" spans="5:5" x14ac:dyDescent="0.25">
      <c r="E20821" t="s">
        <v>20295</v>
      </c>
    </row>
    <row r="20822" spans="5:5" x14ac:dyDescent="0.25">
      <c r="E20822" t="s">
        <v>20296</v>
      </c>
    </row>
    <row r="20823" spans="5:5" x14ac:dyDescent="0.25">
      <c r="E20823" t="s">
        <v>20297</v>
      </c>
    </row>
    <row r="20824" spans="5:5" x14ac:dyDescent="0.25">
      <c r="E20824" t="s">
        <v>20298</v>
      </c>
    </row>
    <row r="20825" spans="5:5" x14ac:dyDescent="0.25">
      <c r="E20825" t="s">
        <v>20299</v>
      </c>
    </row>
    <row r="20826" spans="5:5" x14ac:dyDescent="0.25">
      <c r="E20826" t="s">
        <v>20300</v>
      </c>
    </row>
    <row r="20827" spans="5:5" x14ac:dyDescent="0.25">
      <c r="E20827" t="s">
        <v>20301</v>
      </c>
    </row>
    <row r="20828" spans="5:5" x14ac:dyDescent="0.25">
      <c r="E20828" t="s">
        <v>20302</v>
      </c>
    </row>
    <row r="20829" spans="5:5" x14ac:dyDescent="0.25">
      <c r="E20829" t="s">
        <v>20303</v>
      </c>
    </row>
    <row r="20830" spans="5:5" x14ac:dyDescent="0.25">
      <c r="E20830" t="s">
        <v>20304</v>
      </c>
    </row>
    <row r="20831" spans="5:5" x14ac:dyDescent="0.25">
      <c r="E20831" t="s">
        <v>20305</v>
      </c>
    </row>
    <row r="20832" spans="5:5" x14ac:dyDescent="0.25">
      <c r="E20832" t="s">
        <v>20306</v>
      </c>
    </row>
    <row r="20833" spans="5:5" x14ac:dyDescent="0.25">
      <c r="E20833" t="s">
        <v>20307</v>
      </c>
    </row>
    <row r="20834" spans="5:5" x14ac:dyDescent="0.25">
      <c r="E20834" t="s">
        <v>20308</v>
      </c>
    </row>
    <row r="20835" spans="5:5" x14ac:dyDescent="0.25">
      <c r="E20835" t="s">
        <v>20309</v>
      </c>
    </row>
    <row r="20836" spans="5:5" x14ac:dyDescent="0.25">
      <c r="E20836" t="s">
        <v>20310</v>
      </c>
    </row>
    <row r="20837" spans="5:5" x14ac:dyDescent="0.25">
      <c r="E20837" t="s">
        <v>20311</v>
      </c>
    </row>
    <row r="20838" spans="5:5" x14ac:dyDescent="0.25">
      <c r="E20838" t="s">
        <v>20312</v>
      </c>
    </row>
    <row r="20839" spans="5:5" x14ac:dyDescent="0.25">
      <c r="E20839" t="s">
        <v>20313</v>
      </c>
    </row>
    <row r="20840" spans="5:5" x14ac:dyDescent="0.25">
      <c r="E20840" t="s">
        <v>20314</v>
      </c>
    </row>
    <row r="20841" spans="5:5" x14ac:dyDescent="0.25">
      <c r="E20841" t="s">
        <v>20315</v>
      </c>
    </row>
    <row r="20842" spans="5:5" x14ac:dyDescent="0.25">
      <c r="E20842" t="s">
        <v>20316</v>
      </c>
    </row>
    <row r="20843" spans="5:5" x14ac:dyDescent="0.25">
      <c r="E20843" t="s">
        <v>20317</v>
      </c>
    </row>
    <row r="20844" spans="5:5" x14ac:dyDescent="0.25">
      <c r="E20844" t="s">
        <v>20318</v>
      </c>
    </row>
    <row r="20845" spans="5:5" x14ac:dyDescent="0.25">
      <c r="E20845" t="s">
        <v>20319</v>
      </c>
    </row>
    <row r="20846" spans="5:5" x14ac:dyDescent="0.25">
      <c r="E20846" t="s">
        <v>20320</v>
      </c>
    </row>
    <row r="20847" spans="5:5" x14ac:dyDescent="0.25">
      <c r="E20847" t="s">
        <v>20321</v>
      </c>
    </row>
    <row r="20848" spans="5:5" x14ac:dyDescent="0.25">
      <c r="E20848" t="s">
        <v>20322</v>
      </c>
    </row>
    <row r="20849" spans="5:5" x14ac:dyDescent="0.25">
      <c r="E20849" t="s">
        <v>20323</v>
      </c>
    </row>
    <row r="20850" spans="5:5" x14ac:dyDescent="0.25">
      <c r="E20850" t="s">
        <v>20324</v>
      </c>
    </row>
    <row r="20851" spans="5:5" x14ac:dyDescent="0.25">
      <c r="E20851" t="s">
        <v>20325</v>
      </c>
    </row>
    <row r="20852" spans="5:5" x14ac:dyDescent="0.25">
      <c r="E20852" t="s">
        <v>20326</v>
      </c>
    </row>
    <row r="20853" spans="5:5" x14ac:dyDescent="0.25">
      <c r="E20853" t="s">
        <v>20327</v>
      </c>
    </row>
    <row r="20854" spans="5:5" x14ac:dyDescent="0.25">
      <c r="E20854" t="s">
        <v>20328</v>
      </c>
    </row>
    <row r="20855" spans="5:5" x14ac:dyDescent="0.25">
      <c r="E20855" t="s">
        <v>20329</v>
      </c>
    </row>
    <row r="20856" spans="5:5" x14ac:dyDescent="0.25">
      <c r="E20856" t="s">
        <v>20330</v>
      </c>
    </row>
    <row r="20857" spans="5:5" x14ac:dyDescent="0.25">
      <c r="E20857" t="s">
        <v>20331</v>
      </c>
    </row>
    <row r="20858" spans="5:5" x14ac:dyDescent="0.25">
      <c r="E20858" t="s">
        <v>20332</v>
      </c>
    </row>
    <row r="20859" spans="5:5" x14ac:dyDescent="0.25">
      <c r="E20859" t="s">
        <v>20333</v>
      </c>
    </row>
    <row r="20860" spans="5:5" x14ac:dyDescent="0.25">
      <c r="E20860" t="s">
        <v>20334</v>
      </c>
    </row>
    <row r="20861" spans="5:5" x14ac:dyDescent="0.25">
      <c r="E20861" t="s">
        <v>20335</v>
      </c>
    </row>
    <row r="20862" spans="5:5" x14ac:dyDescent="0.25">
      <c r="E20862" t="s">
        <v>20336</v>
      </c>
    </row>
    <row r="20863" spans="5:5" x14ac:dyDescent="0.25">
      <c r="E20863" t="s">
        <v>20337</v>
      </c>
    </row>
    <row r="20864" spans="5:5" x14ac:dyDescent="0.25">
      <c r="E20864" t="s">
        <v>20338</v>
      </c>
    </row>
    <row r="20865" spans="5:5" x14ac:dyDescent="0.25">
      <c r="E20865" t="s">
        <v>20339</v>
      </c>
    </row>
    <row r="20866" spans="5:5" x14ac:dyDescent="0.25">
      <c r="E20866" t="s">
        <v>20340</v>
      </c>
    </row>
    <row r="20867" spans="5:5" x14ac:dyDescent="0.25">
      <c r="E20867" t="s">
        <v>20341</v>
      </c>
    </row>
    <row r="20868" spans="5:5" x14ac:dyDescent="0.25">
      <c r="E20868" t="s">
        <v>20342</v>
      </c>
    </row>
    <row r="20869" spans="5:5" x14ac:dyDescent="0.25">
      <c r="E20869" t="s">
        <v>20343</v>
      </c>
    </row>
    <row r="20870" spans="5:5" x14ac:dyDescent="0.25">
      <c r="E20870" t="s">
        <v>20344</v>
      </c>
    </row>
    <row r="20871" spans="5:5" x14ac:dyDescent="0.25">
      <c r="E20871" t="s">
        <v>20345</v>
      </c>
    </row>
    <row r="20872" spans="5:5" x14ac:dyDescent="0.25">
      <c r="E20872" t="s">
        <v>20346</v>
      </c>
    </row>
    <row r="20873" spans="5:5" x14ac:dyDescent="0.25">
      <c r="E20873" t="s">
        <v>20347</v>
      </c>
    </row>
    <row r="20874" spans="5:5" x14ac:dyDescent="0.25">
      <c r="E20874" t="s">
        <v>20348</v>
      </c>
    </row>
    <row r="20875" spans="5:5" x14ac:dyDescent="0.25">
      <c r="E20875" t="s">
        <v>20349</v>
      </c>
    </row>
    <row r="20876" spans="5:5" x14ac:dyDescent="0.25">
      <c r="E20876" t="s">
        <v>20350</v>
      </c>
    </row>
    <row r="20877" spans="5:5" x14ac:dyDescent="0.25">
      <c r="E20877" t="s">
        <v>20351</v>
      </c>
    </row>
    <row r="20878" spans="5:5" x14ac:dyDescent="0.25">
      <c r="E20878" t="s">
        <v>20352</v>
      </c>
    </row>
    <row r="20879" spans="5:5" x14ac:dyDescent="0.25">
      <c r="E20879" t="s">
        <v>20353</v>
      </c>
    </row>
    <row r="20880" spans="5:5" x14ac:dyDescent="0.25">
      <c r="E20880" t="s">
        <v>20354</v>
      </c>
    </row>
    <row r="20881" spans="5:5" x14ac:dyDescent="0.25">
      <c r="E20881" t="s">
        <v>20355</v>
      </c>
    </row>
    <row r="20882" spans="5:5" x14ac:dyDescent="0.25">
      <c r="E20882" t="s">
        <v>20356</v>
      </c>
    </row>
    <row r="20883" spans="5:5" x14ac:dyDescent="0.25">
      <c r="E20883" t="s">
        <v>20357</v>
      </c>
    </row>
    <row r="20884" spans="5:5" x14ac:dyDescent="0.25">
      <c r="E20884" t="s">
        <v>20358</v>
      </c>
    </row>
    <row r="20885" spans="5:5" x14ac:dyDescent="0.25">
      <c r="E20885" t="s">
        <v>20359</v>
      </c>
    </row>
    <row r="20886" spans="5:5" x14ac:dyDescent="0.25">
      <c r="E20886" t="s">
        <v>20360</v>
      </c>
    </row>
    <row r="20887" spans="5:5" x14ac:dyDescent="0.25">
      <c r="E20887" t="s">
        <v>20361</v>
      </c>
    </row>
    <row r="20888" spans="5:5" x14ac:dyDescent="0.25">
      <c r="E20888" t="s">
        <v>20362</v>
      </c>
    </row>
    <row r="20889" spans="5:5" x14ac:dyDescent="0.25">
      <c r="E20889" t="s">
        <v>20363</v>
      </c>
    </row>
    <row r="20890" spans="5:5" x14ac:dyDescent="0.25">
      <c r="E20890" t="s">
        <v>20364</v>
      </c>
    </row>
    <row r="20891" spans="5:5" x14ac:dyDescent="0.25">
      <c r="E20891" t="s">
        <v>20365</v>
      </c>
    </row>
    <row r="20892" spans="5:5" x14ac:dyDescent="0.25">
      <c r="E20892" t="s">
        <v>20366</v>
      </c>
    </row>
    <row r="20893" spans="5:5" x14ac:dyDescent="0.25">
      <c r="E20893" t="s">
        <v>20367</v>
      </c>
    </row>
    <row r="20894" spans="5:5" x14ac:dyDescent="0.25">
      <c r="E20894" t="s">
        <v>20368</v>
      </c>
    </row>
    <row r="20895" spans="5:5" x14ac:dyDescent="0.25">
      <c r="E20895" t="s">
        <v>20369</v>
      </c>
    </row>
    <row r="20896" spans="5:5" x14ac:dyDescent="0.25">
      <c r="E20896" t="s">
        <v>20370</v>
      </c>
    </row>
    <row r="20897" spans="5:5" x14ac:dyDescent="0.25">
      <c r="E20897" t="s">
        <v>20371</v>
      </c>
    </row>
    <row r="20898" spans="5:5" x14ac:dyDescent="0.25">
      <c r="E20898" t="s">
        <v>20372</v>
      </c>
    </row>
    <row r="20899" spans="5:5" x14ac:dyDescent="0.25">
      <c r="E20899" t="s">
        <v>20373</v>
      </c>
    </row>
    <row r="20900" spans="5:5" x14ac:dyDescent="0.25">
      <c r="E20900" t="s">
        <v>20374</v>
      </c>
    </row>
    <row r="20901" spans="5:5" x14ac:dyDescent="0.25">
      <c r="E20901" t="s">
        <v>20375</v>
      </c>
    </row>
    <row r="20902" spans="5:5" x14ac:dyDescent="0.25">
      <c r="E20902" t="s">
        <v>20376</v>
      </c>
    </row>
    <row r="20903" spans="5:5" x14ac:dyDescent="0.25">
      <c r="E20903" t="s">
        <v>20377</v>
      </c>
    </row>
    <row r="20904" spans="5:5" x14ac:dyDescent="0.25">
      <c r="E20904" t="s">
        <v>20378</v>
      </c>
    </row>
    <row r="20905" spans="5:5" x14ac:dyDescent="0.25">
      <c r="E20905" t="s">
        <v>20379</v>
      </c>
    </row>
    <row r="20906" spans="5:5" x14ac:dyDescent="0.25">
      <c r="E20906" t="s">
        <v>20380</v>
      </c>
    </row>
    <row r="20907" spans="5:5" x14ac:dyDescent="0.25">
      <c r="E20907" t="s">
        <v>20381</v>
      </c>
    </row>
    <row r="20908" spans="5:5" x14ac:dyDescent="0.25">
      <c r="E20908" t="s">
        <v>20382</v>
      </c>
    </row>
    <row r="20909" spans="5:5" x14ac:dyDescent="0.25">
      <c r="E20909" t="s">
        <v>20383</v>
      </c>
    </row>
    <row r="20910" spans="5:5" x14ac:dyDescent="0.25">
      <c r="E20910" t="s">
        <v>20384</v>
      </c>
    </row>
    <row r="20911" spans="5:5" x14ac:dyDescent="0.25">
      <c r="E20911" t="s">
        <v>20385</v>
      </c>
    </row>
    <row r="20912" spans="5:5" x14ac:dyDescent="0.25">
      <c r="E20912" t="s">
        <v>20386</v>
      </c>
    </row>
    <row r="20913" spans="5:5" x14ac:dyDescent="0.25">
      <c r="E20913" t="s">
        <v>20387</v>
      </c>
    </row>
    <row r="20914" spans="5:5" x14ac:dyDescent="0.25">
      <c r="E20914" t="s">
        <v>20388</v>
      </c>
    </row>
    <row r="20915" spans="5:5" x14ac:dyDescent="0.25">
      <c r="E20915" t="s">
        <v>20389</v>
      </c>
    </row>
    <row r="20916" spans="5:5" x14ac:dyDescent="0.25">
      <c r="E20916" t="s">
        <v>20390</v>
      </c>
    </row>
    <row r="20917" spans="5:5" x14ac:dyDescent="0.25">
      <c r="E20917" t="s">
        <v>20391</v>
      </c>
    </row>
    <row r="20918" spans="5:5" x14ac:dyDescent="0.25">
      <c r="E20918" t="s">
        <v>20392</v>
      </c>
    </row>
    <row r="20919" spans="5:5" x14ac:dyDescent="0.25">
      <c r="E20919" t="s">
        <v>20393</v>
      </c>
    </row>
    <row r="20920" spans="5:5" x14ac:dyDescent="0.25">
      <c r="E20920" t="s">
        <v>20394</v>
      </c>
    </row>
    <row r="20921" spans="5:5" x14ac:dyDescent="0.25">
      <c r="E20921" t="s">
        <v>20395</v>
      </c>
    </row>
    <row r="20922" spans="5:5" x14ac:dyDescent="0.25">
      <c r="E20922" t="s">
        <v>20396</v>
      </c>
    </row>
    <row r="20923" spans="5:5" x14ac:dyDescent="0.25">
      <c r="E20923" t="s">
        <v>20397</v>
      </c>
    </row>
    <row r="20924" spans="5:5" x14ac:dyDescent="0.25">
      <c r="E20924" t="s">
        <v>20398</v>
      </c>
    </row>
    <row r="20925" spans="5:5" x14ac:dyDescent="0.25">
      <c r="E20925" t="s">
        <v>20399</v>
      </c>
    </row>
    <row r="20926" spans="5:5" x14ac:dyDescent="0.25">
      <c r="E20926" t="s">
        <v>20400</v>
      </c>
    </row>
    <row r="20927" spans="5:5" x14ac:dyDescent="0.25">
      <c r="E20927" t="s">
        <v>20401</v>
      </c>
    </row>
    <row r="20928" spans="5:5" x14ac:dyDescent="0.25">
      <c r="E20928" t="s">
        <v>20402</v>
      </c>
    </row>
    <row r="20929" spans="5:5" x14ac:dyDescent="0.25">
      <c r="E20929" t="s">
        <v>20403</v>
      </c>
    </row>
    <row r="20930" spans="5:5" x14ac:dyDescent="0.25">
      <c r="E20930" t="s">
        <v>20404</v>
      </c>
    </row>
    <row r="20931" spans="5:5" x14ac:dyDescent="0.25">
      <c r="E20931" t="s">
        <v>20405</v>
      </c>
    </row>
    <row r="20932" spans="5:5" x14ac:dyDescent="0.25">
      <c r="E20932" t="s">
        <v>20406</v>
      </c>
    </row>
    <row r="20933" spans="5:5" x14ac:dyDescent="0.25">
      <c r="E20933" t="s">
        <v>20407</v>
      </c>
    </row>
    <row r="20934" spans="5:5" x14ac:dyDescent="0.25">
      <c r="E20934" t="s">
        <v>20408</v>
      </c>
    </row>
    <row r="20935" spans="5:5" x14ac:dyDescent="0.25">
      <c r="E20935" t="s">
        <v>20409</v>
      </c>
    </row>
    <row r="20936" spans="5:5" x14ac:dyDescent="0.25">
      <c r="E20936" t="s">
        <v>20410</v>
      </c>
    </row>
    <row r="20937" spans="5:5" x14ac:dyDescent="0.25">
      <c r="E20937" t="s">
        <v>20411</v>
      </c>
    </row>
    <row r="20938" spans="5:5" x14ac:dyDescent="0.25">
      <c r="E20938" t="s">
        <v>20412</v>
      </c>
    </row>
    <row r="20939" spans="5:5" x14ac:dyDescent="0.25">
      <c r="E20939" t="s">
        <v>20413</v>
      </c>
    </row>
    <row r="20940" spans="5:5" x14ac:dyDescent="0.25">
      <c r="E20940" t="s">
        <v>20414</v>
      </c>
    </row>
    <row r="20941" spans="5:5" x14ac:dyDescent="0.25">
      <c r="E20941" t="s">
        <v>20415</v>
      </c>
    </row>
    <row r="20942" spans="5:5" x14ac:dyDescent="0.25">
      <c r="E20942" t="s">
        <v>20416</v>
      </c>
    </row>
    <row r="20943" spans="5:5" x14ac:dyDescent="0.25">
      <c r="E20943" t="s">
        <v>20417</v>
      </c>
    </row>
    <row r="20944" spans="5:5" x14ac:dyDescent="0.25">
      <c r="E20944" t="s">
        <v>20418</v>
      </c>
    </row>
    <row r="20945" spans="5:5" x14ac:dyDescent="0.25">
      <c r="E20945" t="s">
        <v>20419</v>
      </c>
    </row>
    <row r="20946" spans="5:5" x14ac:dyDescent="0.25">
      <c r="E20946" t="s">
        <v>20420</v>
      </c>
    </row>
    <row r="20947" spans="5:5" x14ac:dyDescent="0.25">
      <c r="E20947" t="s">
        <v>20421</v>
      </c>
    </row>
    <row r="20948" spans="5:5" x14ac:dyDescent="0.25">
      <c r="E20948" t="s">
        <v>20422</v>
      </c>
    </row>
    <row r="20949" spans="5:5" x14ac:dyDescent="0.25">
      <c r="E20949" t="s">
        <v>20423</v>
      </c>
    </row>
    <row r="20950" spans="5:5" x14ac:dyDescent="0.25">
      <c r="E20950" t="s">
        <v>20424</v>
      </c>
    </row>
    <row r="20951" spans="5:5" x14ac:dyDescent="0.25">
      <c r="E20951" t="s">
        <v>20425</v>
      </c>
    </row>
    <row r="20952" spans="5:5" x14ac:dyDescent="0.25">
      <c r="E20952" t="s">
        <v>20426</v>
      </c>
    </row>
    <row r="20953" spans="5:5" x14ac:dyDescent="0.25">
      <c r="E20953" t="s">
        <v>20427</v>
      </c>
    </row>
    <row r="20954" spans="5:5" x14ac:dyDescent="0.25">
      <c r="E20954" t="s">
        <v>20428</v>
      </c>
    </row>
    <row r="20955" spans="5:5" x14ac:dyDescent="0.25">
      <c r="E20955" t="s">
        <v>20429</v>
      </c>
    </row>
    <row r="20956" spans="5:5" x14ac:dyDescent="0.25">
      <c r="E20956" t="s">
        <v>20430</v>
      </c>
    </row>
    <row r="20957" spans="5:5" x14ac:dyDescent="0.25">
      <c r="E20957" t="s">
        <v>20431</v>
      </c>
    </row>
    <row r="20958" spans="5:5" x14ac:dyDescent="0.25">
      <c r="E20958" t="s">
        <v>20432</v>
      </c>
    </row>
    <row r="20959" spans="5:5" x14ac:dyDescent="0.25">
      <c r="E20959" t="s">
        <v>20433</v>
      </c>
    </row>
    <row r="20960" spans="5:5" x14ac:dyDescent="0.25">
      <c r="E20960" t="s">
        <v>20434</v>
      </c>
    </row>
    <row r="20961" spans="5:5" x14ac:dyDescent="0.25">
      <c r="E20961" t="s">
        <v>20435</v>
      </c>
    </row>
    <row r="20962" spans="5:5" x14ac:dyDescent="0.25">
      <c r="E20962" t="s">
        <v>20436</v>
      </c>
    </row>
    <row r="20963" spans="5:5" x14ac:dyDescent="0.25">
      <c r="E20963" t="s">
        <v>20437</v>
      </c>
    </row>
    <row r="20964" spans="5:5" x14ac:dyDescent="0.25">
      <c r="E20964" t="s">
        <v>20438</v>
      </c>
    </row>
    <row r="20965" spans="5:5" x14ac:dyDescent="0.25">
      <c r="E20965" t="s">
        <v>20439</v>
      </c>
    </row>
    <row r="20966" spans="5:5" x14ac:dyDescent="0.25">
      <c r="E20966" t="s">
        <v>20440</v>
      </c>
    </row>
    <row r="20967" spans="5:5" x14ac:dyDescent="0.25">
      <c r="E20967" t="s">
        <v>20441</v>
      </c>
    </row>
    <row r="20968" spans="5:5" x14ac:dyDescent="0.25">
      <c r="E20968" t="s">
        <v>20442</v>
      </c>
    </row>
    <row r="20969" spans="5:5" x14ac:dyDescent="0.25">
      <c r="E20969" t="s">
        <v>20443</v>
      </c>
    </row>
    <row r="20970" spans="5:5" x14ac:dyDescent="0.25">
      <c r="E20970" t="s">
        <v>20444</v>
      </c>
    </row>
    <row r="20971" spans="5:5" x14ac:dyDescent="0.25">
      <c r="E20971" t="s">
        <v>20445</v>
      </c>
    </row>
    <row r="20972" spans="5:5" x14ac:dyDescent="0.25">
      <c r="E20972" t="s">
        <v>20446</v>
      </c>
    </row>
    <row r="20973" spans="5:5" x14ac:dyDescent="0.25">
      <c r="E20973" t="s">
        <v>20447</v>
      </c>
    </row>
    <row r="20974" spans="5:5" x14ac:dyDescent="0.25">
      <c r="E20974" t="s">
        <v>20448</v>
      </c>
    </row>
    <row r="20975" spans="5:5" x14ac:dyDescent="0.25">
      <c r="E20975" t="s">
        <v>20449</v>
      </c>
    </row>
    <row r="20976" spans="5:5" x14ac:dyDescent="0.25">
      <c r="E20976" t="s">
        <v>20450</v>
      </c>
    </row>
    <row r="20977" spans="5:5" x14ac:dyDescent="0.25">
      <c r="E20977" t="s">
        <v>20451</v>
      </c>
    </row>
    <row r="20978" spans="5:5" x14ac:dyDescent="0.25">
      <c r="E20978" t="s">
        <v>20452</v>
      </c>
    </row>
    <row r="20979" spans="5:5" x14ac:dyDescent="0.25">
      <c r="E20979" t="s">
        <v>20453</v>
      </c>
    </row>
    <row r="20980" spans="5:5" x14ac:dyDescent="0.25">
      <c r="E20980" t="s">
        <v>20454</v>
      </c>
    </row>
    <row r="20981" spans="5:5" x14ac:dyDescent="0.25">
      <c r="E20981" t="s">
        <v>20455</v>
      </c>
    </row>
    <row r="20982" spans="5:5" x14ac:dyDescent="0.25">
      <c r="E20982" t="s">
        <v>20456</v>
      </c>
    </row>
    <row r="20983" spans="5:5" x14ac:dyDescent="0.25">
      <c r="E20983" t="s">
        <v>20457</v>
      </c>
    </row>
    <row r="20984" spans="5:5" x14ac:dyDescent="0.25">
      <c r="E20984" t="s">
        <v>20458</v>
      </c>
    </row>
    <row r="20985" spans="5:5" x14ac:dyDescent="0.25">
      <c r="E20985" t="s">
        <v>20459</v>
      </c>
    </row>
    <row r="20986" spans="5:5" x14ac:dyDescent="0.25">
      <c r="E20986" t="s">
        <v>20460</v>
      </c>
    </row>
    <row r="20987" spans="5:5" x14ac:dyDescent="0.25">
      <c r="E20987" t="s">
        <v>20461</v>
      </c>
    </row>
    <row r="20988" spans="5:5" x14ac:dyDescent="0.25">
      <c r="E20988" t="s">
        <v>20462</v>
      </c>
    </row>
    <row r="20989" spans="5:5" x14ac:dyDescent="0.25">
      <c r="E20989" t="s">
        <v>20463</v>
      </c>
    </row>
    <row r="20990" spans="5:5" x14ac:dyDescent="0.25">
      <c r="E20990" t="s">
        <v>20464</v>
      </c>
    </row>
    <row r="20991" spans="5:5" x14ac:dyDescent="0.25">
      <c r="E20991" t="s">
        <v>20465</v>
      </c>
    </row>
    <row r="20992" spans="5:5" x14ac:dyDescent="0.25">
      <c r="E20992" t="s">
        <v>20466</v>
      </c>
    </row>
    <row r="20993" spans="5:5" x14ac:dyDescent="0.25">
      <c r="E20993" t="s">
        <v>20467</v>
      </c>
    </row>
    <row r="20994" spans="5:5" x14ac:dyDescent="0.25">
      <c r="E20994" t="s">
        <v>20468</v>
      </c>
    </row>
    <row r="20995" spans="5:5" x14ac:dyDescent="0.25">
      <c r="E20995" t="s">
        <v>20469</v>
      </c>
    </row>
    <row r="20996" spans="5:5" x14ac:dyDescent="0.25">
      <c r="E20996" t="s">
        <v>20470</v>
      </c>
    </row>
    <row r="20997" spans="5:5" x14ac:dyDescent="0.25">
      <c r="E20997" t="s">
        <v>20471</v>
      </c>
    </row>
    <row r="20998" spans="5:5" x14ac:dyDescent="0.25">
      <c r="E20998" t="s">
        <v>20472</v>
      </c>
    </row>
    <row r="20999" spans="5:5" x14ac:dyDescent="0.25">
      <c r="E20999" t="s">
        <v>20473</v>
      </c>
    </row>
    <row r="21000" spans="5:5" x14ac:dyDescent="0.25">
      <c r="E21000" t="s">
        <v>20474</v>
      </c>
    </row>
    <row r="21001" spans="5:5" x14ac:dyDescent="0.25">
      <c r="E21001" t="s">
        <v>20475</v>
      </c>
    </row>
    <row r="21002" spans="5:5" x14ac:dyDescent="0.25">
      <c r="E21002" t="s">
        <v>20476</v>
      </c>
    </row>
    <row r="21003" spans="5:5" x14ac:dyDescent="0.25">
      <c r="E21003" t="s">
        <v>20477</v>
      </c>
    </row>
    <row r="21004" spans="5:5" x14ac:dyDescent="0.25">
      <c r="E21004" t="s">
        <v>20478</v>
      </c>
    </row>
    <row r="21005" spans="5:5" x14ac:dyDescent="0.25">
      <c r="E21005" t="s">
        <v>20479</v>
      </c>
    </row>
    <row r="21006" spans="5:5" x14ac:dyDescent="0.25">
      <c r="E21006" t="s">
        <v>20480</v>
      </c>
    </row>
    <row r="21007" spans="5:5" x14ac:dyDescent="0.25">
      <c r="E21007" t="s">
        <v>20481</v>
      </c>
    </row>
    <row r="21008" spans="5:5" x14ac:dyDescent="0.25">
      <c r="E21008" t="s">
        <v>20482</v>
      </c>
    </row>
    <row r="21009" spans="5:5" x14ac:dyDescent="0.25">
      <c r="E21009" t="s">
        <v>20483</v>
      </c>
    </row>
    <row r="21010" spans="5:5" x14ac:dyDescent="0.25">
      <c r="E21010" t="s">
        <v>20484</v>
      </c>
    </row>
    <row r="21011" spans="5:5" x14ac:dyDescent="0.25">
      <c r="E21011" t="s">
        <v>20485</v>
      </c>
    </row>
    <row r="21012" spans="5:5" x14ac:dyDescent="0.25">
      <c r="E21012" t="s">
        <v>20486</v>
      </c>
    </row>
    <row r="21013" spans="5:5" x14ac:dyDescent="0.25">
      <c r="E21013" t="s">
        <v>20487</v>
      </c>
    </row>
    <row r="21014" spans="5:5" x14ac:dyDescent="0.25">
      <c r="E21014" t="s">
        <v>20488</v>
      </c>
    </row>
    <row r="21015" spans="5:5" x14ac:dyDescent="0.25">
      <c r="E21015" t="s">
        <v>20489</v>
      </c>
    </row>
    <row r="21016" spans="5:5" x14ac:dyDescent="0.25">
      <c r="E21016" t="s">
        <v>20490</v>
      </c>
    </row>
    <row r="21017" spans="5:5" x14ac:dyDescent="0.25">
      <c r="E21017" t="s">
        <v>20491</v>
      </c>
    </row>
    <row r="21018" spans="5:5" x14ac:dyDescent="0.25">
      <c r="E21018" t="s">
        <v>20492</v>
      </c>
    </row>
    <row r="21019" spans="5:5" x14ac:dyDescent="0.25">
      <c r="E21019" t="s">
        <v>20493</v>
      </c>
    </row>
    <row r="21020" spans="5:5" x14ac:dyDescent="0.25">
      <c r="E21020" t="s">
        <v>20494</v>
      </c>
    </row>
    <row r="21021" spans="5:5" x14ac:dyDescent="0.25">
      <c r="E21021" t="s">
        <v>20495</v>
      </c>
    </row>
    <row r="21022" spans="5:5" x14ac:dyDescent="0.25">
      <c r="E21022" t="s">
        <v>20496</v>
      </c>
    </row>
    <row r="21023" spans="5:5" x14ac:dyDescent="0.25">
      <c r="E21023" t="s">
        <v>20497</v>
      </c>
    </row>
    <row r="21024" spans="5:5" x14ac:dyDescent="0.25">
      <c r="E21024" t="s">
        <v>20498</v>
      </c>
    </row>
  </sheetData>
  <hyperlinks>
    <hyperlink ref="A2" r:id="rId1"/>
    <hyperlink ref="A3" r:id="rId2"/>
    <hyperlink ref="A4" r:id="rId3"/>
    <hyperlink ref="A5" r:id="rId4"/>
    <hyperlink ref="A6" r:id="rId5"/>
    <hyperlink ref="A7" r:id="rId6"/>
    <hyperlink ref="A8" r:id="rId7"/>
    <hyperlink ref="A9" r:id="rId8"/>
    <hyperlink ref="A10" r:id="rId9"/>
    <hyperlink ref="C2" r:id="rId10"/>
    <hyperlink ref="C3" r:id="rId11"/>
  </hyperlinks>
  <pageMargins left="0.7" right="0.7" top="0.75" bottom="0.75" header="0.3" footer="0.3"/>
  <tableParts count="2">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37"/>
  <sheetViews>
    <sheetView zoomScale="90" zoomScaleNormal="90" workbookViewId="0">
      <selection activeCell="C38" sqref="C38"/>
    </sheetView>
  </sheetViews>
  <sheetFormatPr defaultRowHeight="15" x14ac:dyDescent="0.25"/>
  <cols>
    <col min="2" max="14" width="18" customWidth="1"/>
    <col min="16" max="16" width="37.5703125" customWidth="1"/>
  </cols>
  <sheetData>
    <row r="1" spans="1:16" ht="30.75" customHeight="1" thickBot="1" x14ac:dyDescent="0.3">
      <c r="A1" s="536" t="s">
        <v>20521</v>
      </c>
      <c r="B1" s="536"/>
      <c r="C1" s="536"/>
      <c r="D1" s="536"/>
      <c r="E1" s="536"/>
      <c r="F1" s="536"/>
      <c r="G1" s="536"/>
      <c r="H1" s="536"/>
      <c r="I1" s="536"/>
      <c r="J1" s="536"/>
      <c r="K1" s="536"/>
      <c r="L1" s="536"/>
      <c r="M1" s="536"/>
      <c r="N1" s="536"/>
      <c r="O1" s="46" t="b">
        <f>IFERROR(AND(B3:J14,L3:N14,B16:I26,L16:N26,B28:I31,K28:N31,B33:I36,K33:N36),TRUE)</f>
        <v>0</v>
      </c>
      <c r="P1" s="47" t="s">
        <v>107</v>
      </c>
    </row>
    <row r="2" spans="1:16" ht="30.75" customHeight="1" thickBot="1" x14ac:dyDescent="0.3">
      <c r="A2" s="31"/>
      <c r="B2" s="31" t="s">
        <v>46</v>
      </c>
      <c r="C2" s="31" t="s">
        <v>47</v>
      </c>
      <c r="D2" s="31" t="s">
        <v>48</v>
      </c>
      <c r="E2" s="31" t="s">
        <v>49</v>
      </c>
      <c r="F2" s="31" t="s">
        <v>55</v>
      </c>
      <c r="G2" s="31" t="s">
        <v>56</v>
      </c>
      <c r="H2" s="31" t="s">
        <v>61</v>
      </c>
      <c r="I2" s="31" t="s">
        <v>60</v>
      </c>
      <c r="J2" s="31" t="s">
        <v>62</v>
      </c>
      <c r="K2" s="31" t="s">
        <v>80</v>
      </c>
      <c r="L2" s="31" t="s">
        <v>75</v>
      </c>
      <c r="M2" s="31" t="s">
        <v>57</v>
      </c>
      <c r="N2" s="31" t="s">
        <v>74</v>
      </c>
      <c r="O2" s="46"/>
      <c r="P2" s="48"/>
    </row>
    <row r="3" spans="1:16" x14ac:dyDescent="0.25">
      <c r="A3" s="7" t="s">
        <v>12</v>
      </c>
      <c r="B3" s="36">
        <v>0</v>
      </c>
      <c r="C3" s="36">
        <v>0</v>
      </c>
      <c r="D3" s="36">
        <v>0</v>
      </c>
      <c r="E3" s="36">
        <v>0</v>
      </c>
      <c r="F3" s="36">
        <v>0</v>
      </c>
      <c r="G3" s="36">
        <v>0</v>
      </c>
      <c r="H3" s="36">
        <v>0</v>
      </c>
      <c r="I3" s="36">
        <v>0</v>
      </c>
      <c r="J3" s="36">
        <v>0</v>
      </c>
      <c r="K3" s="37">
        <v>0</v>
      </c>
      <c r="L3" s="36">
        <v>0</v>
      </c>
      <c r="M3" s="36">
        <v>0</v>
      </c>
      <c r="N3" s="36">
        <v>0</v>
      </c>
      <c r="O3" t="b">
        <f>IFERROR(AND(B3:J14,L3:N14),TRUE)</f>
        <v>0</v>
      </c>
      <c r="P3" t="s">
        <v>109</v>
      </c>
    </row>
    <row r="4" spans="1:16" x14ac:dyDescent="0.25">
      <c r="A4" s="5" t="s">
        <v>13</v>
      </c>
      <c r="B4" s="36">
        <v>0</v>
      </c>
      <c r="C4" s="36">
        <v>0</v>
      </c>
      <c r="D4" s="36">
        <v>0</v>
      </c>
      <c r="E4" s="36">
        <v>0</v>
      </c>
      <c r="F4" s="36">
        <v>0</v>
      </c>
      <c r="G4" s="36">
        <v>0</v>
      </c>
      <c r="H4" s="36">
        <v>0</v>
      </c>
      <c r="I4" s="36">
        <v>0</v>
      </c>
      <c r="J4" s="36">
        <v>0</v>
      </c>
      <c r="K4" s="38">
        <v>0</v>
      </c>
      <c r="L4" s="36">
        <v>0</v>
      </c>
      <c r="M4" s="36">
        <v>0</v>
      </c>
      <c r="N4" s="36">
        <v>0</v>
      </c>
    </row>
    <row r="5" spans="1:16" x14ac:dyDescent="0.25">
      <c r="A5" s="5" t="s">
        <v>14</v>
      </c>
      <c r="B5" s="36"/>
      <c r="C5" s="36"/>
      <c r="D5" s="36"/>
      <c r="E5" s="36"/>
      <c r="F5" s="36"/>
      <c r="G5" s="36"/>
      <c r="H5" s="36"/>
      <c r="I5" s="36"/>
      <c r="J5" s="36"/>
      <c r="K5" s="38">
        <v>0</v>
      </c>
      <c r="L5" s="36"/>
      <c r="M5" s="36"/>
      <c r="N5" s="36"/>
    </row>
    <row r="6" spans="1:16" x14ac:dyDescent="0.25">
      <c r="A6" s="5" t="s">
        <v>15</v>
      </c>
      <c r="B6" s="36">
        <v>0</v>
      </c>
      <c r="C6" s="36">
        <v>0</v>
      </c>
      <c r="D6" s="36">
        <v>0</v>
      </c>
      <c r="E6" s="36">
        <v>0</v>
      </c>
      <c r="F6" s="36">
        <v>0</v>
      </c>
      <c r="G6" s="36">
        <v>0</v>
      </c>
      <c r="H6" s="36">
        <v>0</v>
      </c>
      <c r="I6" s="36">
        <v>0</v>
      </c>
      <c r="J6" s="36">
        <v>0</v>
      </c>
      <c r="K6" s="38">
        <v>0</v>
      </c>
      <c r="L6" s="36">
        <v>0</v>
      </c>
      <c r="M6" s="36">
        <v>0</v>
      </c>
      <c r="N6" s="36">
        <v>0</v>
      </c>
    </row>
    <row r="7" spans="1:16" x14ac:dyDescent="0.25">
      <c r="A7" s="5" t="s">
        <v>16</v>
      </c>
      <c r="B7" s="36"/>
      <c r="C7" s="36"/>
      <c r="D7" s="36"/>
      <c r="E7" s="36"/>
      <c r="F7" s="36"/>
      <c r="G7" s="36"/>
      <c r="H7" s="36"/>
      <c r="I7" s="36"/>
      <c r="J7" s="36"/>
      <c r="K7" s="38">
        <v>0</v>
      </c>
      <c r="L7" s="36"/>
      <c r="M7" s="36"/>
      <c r="N7" s="36"/>
    </row>
    <row r="8" spans="1:16" x14ac:dyDescent="0.25">
      <c r="A8" s="5" t="s">
        <v>17</v>
      </c>
      <c r="B8" s="36">
        <v>0</v>
      </c>
      <c r="C8" s="36">
        <v>0</v>
      </c>
      <c r="D8" s="36">
        <v>0</v>
      </c>
      <c r="E8" s="36">
        <v>0</v>
      </c>
      <c r="F8" s="36">
        <v>0</v>
      </c>
      <c r="G8" s="36">
        <v>0</v>
      </c>
      <c r="H8" s="36">
        <v>0</v>
      </c>
      <c r="I8" s="36">
        <v>0</v>
      </c>
      <c r="J8" s="36">
        <v>0</v>
      </c>
      <c r="K8" s="38">
        <v>0</v>
      </c>
      <c r="L8" s="36">
        <v>0</v>
      </c>
      <c r="M8" s="36">
        <v>0</v>
      </c>
      <c r="N8" s="36">
        <v>0</v>
      </c>
    </row>
    <row r="9" spans="1:16" x14ac:dyDescent="0.25">
      <c r="A9" s="5" t="s">
        <v>18</v>
      </c>
      <c r="B9" s="36">
        <v>0</v>
      </c>
      <c r="C9" s="36">
        <v>0</v>
      </c>
      <c r="D9" s="36">
        <v>0</v>
      </c>
      <c r="E9" s="36">
        <v>0</v>
      </c>
      <c r="F9" s="36">
        <v>0</v>
      </c>
      <c r="G9" s="36">
        <v>0</v>
      </c>
      <c r="H9" s="36">
        <v>0</v>
      </c>
      <c r="I9" s="36">
        <v>0</v>
      </c>
      <c r="J9" s="36">
        <v>0</v>
      </c>
      <c r="K9" s="38">
        <v>0</v>
      </c>
      <c r="L9" s="36">
        <v>0</v>
      </c>
      <c r="M9" s="36">
        <v>0</v>
      </c>
      <c r="N9" s="36">
        <v>0</v>
      </c>
    </row>
    <row r="10" spans="1:16" x14ac:dyDescent="0.25">
      <c r="A10" s="5" t="s">
        <v>19</v>
      </c>
      <c r="B10" s="36"/>
      <c r="C10" s="36"/>
      <c r="D10" s="36"/>
      <c r="E10" s="36"/>
      <c r="F10" s="36"/>
      <c r="G10" s="36"/>
      <c r="H10" s="36"/>
      <c r="I10" s="36"/>
      <c r="J10" s="36"/>
      <c r="K10" s="38">
        <v>0</v>
      </c>
      <c r="L10" s="36"/>
      <c r="M10" s="36"/>
      <c r="N10" s="36"/>
    </row>
    <row r="11" spans="1:16" x14ac:dyDescent="0.25">
      <c r="A11" s="5" t="s">
        <v>20</v>
      </c>
      <c r="B11" s="36">
        <v>0</v>
      </c>
      <c r="C11" s="36">
        <v>0</v>
      </c>
      <c r="D11" s="36">
        <v>0</v>
      </c>
      <c r="E11" s="36">
        <v>0</v>
      </c>
      <c r="F11" s="36">
        <v>0</v>
      </c>
      <c r="G11" s="36">
        <v>0</v>
      </c>
      <c r="H11" s="36">
        <v>0</v>
      </c>
      <c r="I11" s="36">
        <v>0</v>
      </c>
      <c r="J11" s="36">
        <v>0</v>
      </c>
      <c r="K11" s="38">
        <v>0</v>
      </c>
      <c r="L11" s="36">
        <v>0</v>
      </c>
      <c r="M11" s="36">
        <v>0</v>
      </c>
      <c r="N11" s="36">
        <v>0</v>
      </c>
    </row>
    <row r="12" spans="1:16" x14ac:dyDescent="0.25">
      <c r="A12" s="5" t="s">
        <v>21</v>
      </c>
      <c r="B12" s="36">
        <v>0</v>
      </c>
      <c r="C12" s="36">
        <v>0</v>
      </c>
      <c r="D12" s="36">
        <v>0</v>
      </c>
      <c r="E12" s="36">
        <v>0</v>
      </c>
      <c r="F12" s="36">
        <v>0</v>
      </c>
      <c r="G12" s="36">
        <v>0</v>
      </c>
      <c r="H12" s="36">
        <v>0</v>
      </c>
      <c r="I12" s="36">
        <v>0</v>
      </c>
      <c r="J12" s="36">
        <v>0</v>
      </c>
      <c r="K12" s="38">
        <v>0</v>
      </c>
      <c r="L12" s="36">
        <v>0</v>
      </c>
      <c r="M12" s="36">
        <v>0</v>
      </c>
      <c r="N12" s="36">
        <v>0</v>
      </c>
    </row>
    <row r="13" spans="1:16" x14ac:dyDescent="0.25">
      <c r="A13" s="5" t="s">
        <v>22</v>
      </c>
      <c r="B13" s="36"/>
      <c r="C13" s="36"/>
      <c r="D13" s="36"/>
      <c r="E13" s="36"/>
      <c r="F13" s="36"/>
      <c r="G13" s="36"/>
      <c r="H13" s="36"/>
      <c r="I13" s="36"/>
      <c r="J13" s="36"/>
      <c r="K13" s="38">
        <v>0</v>
      </c>
      <c r="L13" s="36"/>
      <c r="M13" s="36"/>
      <c r="N13" s="36"/>
    </row>
    <row r="14" spans="1:16" ht="15.75" thickBot="1" x14ac:dyDescent="0.3">
      <c r="A14" s="6" t="s">
        <v>23</v>
      </c>
      <c r="B14" s="36">
        <v>0</v>
      </c>
      <c r="C14" s="36">
        <v>0</v>
      </c>
      <c r="D14" s="36">
        <v>0</v>
      </c>
      <c r="E14" s="36">
        <v>0</v>
      </c>
      <c r="F14" s="36">
        <v>0</v>
      </c>
      <c r="G14" s="36">
        <v>0</v>
      </c>
      <c r="H14" s="36">
        <v>0</v>
      </c>
      <c r="I14" s="36">
        <v>0</v>
      </c>
      <c r="J14" s="36">
        <v>0</v>
      </c>
      <c r="K14" s="39">
        <v>0</v>
      </c>
      <c r="L14" s="36">
        <v>0</v>
      </c>
      <c r="M14" s="36">
        <v>0</v>
      </c>
      <c r="N14" s="36">
        <v>0</v>
      </c>
    </row>
    <row r="15" spans="1:16" ht="15.75" thickBot="1" x14ac:dyDescent="0.3">
      <c r="A15" s="4" t="s">
        <v>45</v>
      </c>
      <c r="B15" s="40"/>
      <c r="C15" s="40"/>
      <c r="D15" s="40"/>
      <c r="E15" s="40"/>
      <c r="F15" s="40"/>
      <c r="G15" s="40"/>
      <c r="H15" s="40"/>
      <c r="I15" s="40"/>
      <c r="J15" s="40"/>
      <c r="K15" s="40"/>
      <c r="L15" s="40"/>
      <c r="M15" s="40"/>
      <c r="N15" s="40"/>
    </row>
    <row r="16" spans="1:16" x14ac:dyDescent="0.25">
      <c r="A16" s="7" t="s">
        <v>24</v>
      </c>
      <c r="B16" s="36"/>
      <c r="C16" s="36"/>
      <c r="D16" s="36"/>
      <c r="E16" s="36"/>
      <c r="F16" s="36"/>
      <c r="G16" s="36"/>
      <c r="H16" s="36"/>
      <c r="I16" s="36"/>
      <c r="J16" s="37">
        <v>0</v>
      </c>
      <c r="K16" s="37">
        <v>0</v>
      </c>
      <c r="L16" s="36"/>
      <c r="M16" s="36"/>
      <c r="N16" s="36"/>
      <c r="O16" t="b">
        <f>IFERROR(AND(B16:I26,L16:N26),TRUE)</f>
        <v>0</v>
      </c>
      <c r="P16" t="s">
        <v>110</v>
      </c>
    </row>
    <row r="17" spans="1:16" x14ac:dyDescent="0.25">
      <c r="A17" s="5" t="s">
        <v>25</v>
      </c>
      <c r="B17" s="36">
        <v>0</v>
      </c>
      <c r="C17" s="36">
        <v>0</v>
      </c>
      <c r="D17" s="36">
        <v>0</v>
      </c>
      <c r="E17" s="36">
        <v>0</v>
      </c>
      <c r="F17" s="36">
        <v>0</v>
      </c>
      <c r="G17" s="36">
        <v>0</v>
      </c>
      <c r="H17" s="36">
        <v>0</v>
      </c>
      <c r="I17" s="36">
        <v>0</v>
      </c>
      <c r="J17" s="37">
        <v>0</v>
      </c>
      <c r="K17" s="37">
        <v>0</v>
      </c>
      <c r="L17" s="36">
        <v>0</v>
      </c>
      <c r="M17" s="36">
        <v>0</v>
      </c>
      <c r="N17" s="36">
        <v>0</v>
      </c>
    </row>
    <row r="18" spans="1:16" x14ac:dyDescent="0.25">
      <c r="A18" s="5" t="s">
        <v>26</v>
      </c>
      <c r="B18" s="36">
        <v>0</v>
      </c>
      <c r="C18" s="36">
        <v>0</v>
      </c>
      <c r="D18" s="36">
        <v>0</v>
      </c>
      <c r="E18" s="36">
        <v>0</v>
      </c>
      <c r="F18" s="36">
        <v>0</v>
      </c>
      <c r="G18" s="36">
        <v>0</v>
      </c>
      <c r="H18" s="36">
        <v>0</v>
      </c>
      <c r="I18" s="36">
        <v>0</v>
      </c>
      <c r="J18" s="37">
        <v>0</v>
      </c>
      <c r="K18" s="37">
        <v>0</v>
      </c>
      <c r="L18" s="36">
        <v>0</v>
      </c>
      <c r="M18" s="36">
        <v>0</v>
      </c>
      <c r="N18" s="36">
        <v>0</v>
      </c>
    </row>
    <row r="19" spans="1:16" x14ac:dyDescent="0.25">
      <c r="A19" s="5" t="s">
        <v>27</v>
      </c>
      <c r="B19" s="36"/>
      <c r="C19" s="36"/>
      <c r="D19" s="36"/>
      <c r="E19" s="36"/>
      <c r="F19" s="36"/>
      <c r="G19" s="36"/>
      <c r="H19" s="36"/>
      <c r="I19" s="36"/>
      <c r="J19" s="37">
        <v>0</v>
      </c>
      <c r="K19" s="37">
        <v>0</v>
      </c>
      <c r="L19" s="36"/>
      <c r="M19" s="36"/>
      <c r="N19" s="36"/>
    </row>
    <row r="20" spans="1:16" x14ac:dyDescent="0.25">
      <c r="A20" s="5" t="s">
        <v>28</v>
      </c>
      <c r="B20" s="36">
        <v>0</v>
      </c>
      <c r="C20" s="36">
        <v>0</v>
      </c>
      <c r="D20" s="36">
        <v>0</v>
      </c>
      <c r="E20" s="36">
        <v>0</v>
      </c>
      <c r="F20" s="36">
        <v>0</v>
      </c>
      <c r="G20" s="36">
        <v>0</v>
      </c>
      <c r="H20" s="36">
        <v>0</v>
      </c>
      <c r="I20" s="36">
        <v>0</v>
      </c>
      <c r="J20" s="37">
        <v>0</v>
      </c>
      <c r="K20" s="37">
        <v>0</v>
      </c>
      <c r="L20" s="36">
        <v>0</v>
      </c>
      <c r="M20" s="36">
        <v>0</v>
      </c>
      <c r="N20" s="36">
        <v>0</v>
      </c>
    </row>
    <row r="21" spans="1:16" x14ac:dyDescent="0.25">
      <c r="A21" s="5" t="s">
        <v>29</v>
      </c>
      <c r="B21" s="36">
        <v>0</v>
      </c>
      <c r="C21" s="36">
        <v>0</v>
      </c>
      <c r="D21" s="36">
        <v>0</v>
      </c>
      <c r="E21" s="36">
        <v>0</v>
      </c>
      <c r="F21" s="36">
        <v>0</v>
      </c>
      <c r="G21" s="36">
        <v>0</v>
      </c>
      <c r="H21" s="36">
        <v>0</v>
      </c>
      <c r="I21" s="36">
        <v>0</v>
      </c>
      <c r="J21" s="37">
        <v>0</v>
      </c>
      <c r="K21" s="37">
        <v>0</v>
      </c>
      <c r="L21" s="36">
        <v>0</v>
      </c>
      <c r="M21" s="36">
        <v>0</v>
      </c>
      <c r="N21" s="36">
        <v>0</v>
      </c>
    </row>
    <row r="22" spans="1:16" x14ac:dyDescent="0.25">
      <c r="A22" s="5" t="s">
        <v>30</v>
      </c>
      <c r="B22" s="36"/>
      <c r="C22" s="36"/>
      <c r="D22" s="36"/>
      <c r="E22" s="36"/>
      <c r="F22" s="36"/>
      <c r="G22" s="36"/>
      <c r="H22" s="36"/>
      <c r="I22" s="36"/>
      <c r="J22" s="37">
        <v>0</v>
      </c>
      <c r="K22" s="37">
        <v>0</v>
      </c>
      <c r="L22" s="36"/>
      <c r="M22" s="36"/>
      <c r="N22" s="36"/>
    </row>
    <row r="23" spans="1:16" x14ac:dyDescent="0.25">
      <c r="A23" s="5" t="s">
        <v>31</v>
      </c>
      <c r="B23" s="36">
        <v>0</v>
      </c>
      <c r="C23" s="36">
        <v>0</v>
      </c>
      <c r="D23" s="36">
        <v>0</v>
      </c>
      <c r="E23" s="36">
        <v>0</v>
      </c>
      <c r="F23" s="36">
        <v>0</v>
      </c>
      <c r="G23" s="36">
        <v>0</v>
      </c>
      <c r="H23" s="36">
        <v>0</v>
      </c>
      <c r="I23" s="36">
        <v>0</v>
      </c>
      <c r="J23" s="37">
        <v>0</v>
      </c>
      <c r="K23" s="37">
        <v>0</v>
      </c>
      <c r="L23" s="36">
        <v>0</v>
      </c>
      <c r="M23" s="36">
        <v>0</v>
      </c>
      <c r="N23" s="36">
        <v>0</v>
      </c>
    </row>
    <row r="24" spans="1:16" x14ac:dyDescent="0.25">
      <c r="A24" s="5" t="s">
        <v>32</v>
      </c>
      <c r="B24" s="36"/>
      <c r="C24" s="36"/>
      <c r="D24" s="36"/>
      <c r="E24" s="36"/>
      <c r="F24" s="36"/>
      <c r="G24" s="36"/>
      <c r="H24" s="36"/>
      <c r="I24" s="36"/>
      <c r="J24" s="37">
        <v>0</v>
      </c>
      <c r="K24" s="37">
        <v>0</v>
      </c>
      <c r="L24" s="36"/>
      <c r="M24" s="36"/>
      <c r="N24" s="36"/>
    </row>
    <row r="25" spans="1:16" x14ac:dyDescent="0.25">
      <c r="A25" s="5" t="s">
        <v>33</v>
      </c>
      <c r="B25" s="36">
        <v>0</v>
      </c>
      <c r="C25" s="36">
        <v>0</v>
      </c>
      <c r="D25" s="36">
        <v>0</v>
      </c>
      <c r="E25" s="36">
        <v>0</v>
      </c>
      <c r="F25" s="36">
        <v>0</v>
      </c>
      <c r="G25" s="36">
        <v>0</v>
      </c>
      <c r="H25" s="36">
        <v>0</v>
      </c>
      <c r="I25" s="36">
        <v>0</v>
      </c>
      <c r="J25" s="37">
        <v>0</v>
      </c>
      <c r="K25" s="37">
        <v>0</v>
      </c>
      <c r="L25" s="36">
        <v>0</v>
      </c>
      <c r="M25" s="36">
        <v>0</v>
      </c>
      <c r="N25" s="36">
        <v>0</v>
      </c>
    </row>
    <row r="26" spans="1:16" ht="15.75" thickBot="1" x14ac:dyDescent="0.3">
      <c r="A26" s="6" t="s">
        <v>34</v>
      </c>
      <c r="B26" s="36">
        <v>0</v>
      </c>
      <c r="C26" s="36">
        <v>0</v>
      </c>
      <c r="D26" s="36">
        <v>0</v>
      </c>
      <c r="E26" s="36">
        <v>0</v>
      </c>
      <c r="F26" s="36">
        <v>0</v>
      </c>
      <c r="G26" s="36">
        <v>0</v>
      </c>
      <c r="H26" s="36">
        <v>0</v>
      </c>
      <c r="I26" s="36">
        <v>0</v>
      </c>
      <c r="J26" s="37">
        <v>0</v>
      </c>
      <c r="K26" s="41">
        <v>0</v>
      </c>
      <c r="L26" s="36">
        <v>0</v>
      </c>
      <c r="M26" s="36">
        <v>0</v>
      </c>
      <c r="N26" s="36">
        <v>0</v>
      </c>
    </row>
    <row r="27" spans="1:16" ht="15.75" thickBot="1" x14ac:dyDescent="0.3">
      <c r="A27" s="4" t="s">
        <v>45</v>
      </c>
      <c r="B27" s="40"/>
      <c r="C27" s="40"/>
      <c r="D27" s="40"/>
      <c r="E27" s="40"/>
      <c r="F27" s="40"/>
      <c r="G27" s="40"/>
      <c r="H27" s="40"/>
      <c r="I27" s="40"/>
      <c r="J27" s="40"/>
      <c r="K27" s="40"/>
      <c r="L27" s="40"/>
      <c r="M27" s="40"/>
      <c r="N27" s="40"/>
    </row>
    <row r="28" spans="1:16" x14ac:dyDescent="0.25">
      <c r="A28" s="7" t="s">
        <v>63</v>
      </c>
      <c r="B28" s="36">
        <v>0</v>
      </c>
      <c r="C28" s="36">
        <v>0</v>
      </c>
      <c r="D28" s="36">
        <v>0</v>
      </c>
      <c r="E28" s="36">
        <v>0</v>
      </c>
      <c r="F28" s="36">
        <v>0</v>
      </c>
      <c r="G28" s="36">
        <v>0</v>
      </c>
      <c r="H28" s="36">
        <v>0</v>
      </c>
      <c r="I28" s="36">
        <v>0</v>
      </c>
      <c r="J28" s="42">
        <v>0</v>
      </c>
      <c r="K28" s="36">
        <v>0</v>
      </c>
      <c r="L28" s="36">
        <v>0</v>
      </c>
      <c r="M28" s="36">
        <v>0</v>
      </c>
      <c r="N28" s="36">
        <v>0</v>
      </c>
      <c r="O28" t="b">
        <f>IFERROR(AND(B28:I31,K28:N31),TRUE)</f>
        <v>0</v>
      </c>
      <c r="P28" t="s">
        <v>111</v>
      </c>
    </row>
    <row r="29" spans="1:16" x14ac:dyDescent="0.25">
      <c r="A29" s="5" t="s">
        <v>64</v>
      </c>
      <c r="B29" s="36">
        <v>0</v>
      </c>
      <c r="C29" s="36">
        <v>0</v>
      </c>
      <c r="D29" s="36">
        <v>0</v>
      </c>
      <c r="E29" s="36">
        <v>0</v>
      </c>
      <c r="F29" s="36">
        <v>0</v>
      </c>
      <c r="G29" s="36">
        <v>0</v>
      </c>
      <c r="H29" s="36">
        <v>0</v>
      </c>
      <c r="I29" s="36">
        <v>0</v>
      </c>
      <c r="J29" s="42">
        <v>0</v>
      </c>
      <c r="K29" s="36">
        <v>0</v>
      </c>
      <c r="L29" s="36">
        <v>0</v>
      </c>
      <c r="M29" s="36">
        <v>0</v>
      </c>
      <c r="N29" s="36">
        <v>0</v>
      </c>
    </row>
    <row r="30" spans="1:16" x14ac:dyDescent="0.25">
      <c r="A30" s="5" t="s">
        <v>65</v>
      </c>
      <c r="B30" s="36"/>
      <c r="C30" s="36"/>
      <c r="D30" s="36"/>
      <c r="E30" s="36"/>
      <c r="F30" s="36"/>
      <c r="G30" s="36"/>
      <c r="H30" s="36"/>
      <c r="I30" s="36"/>
      <c r="J30" s="42">
        <v>0</v>
      </c>
      <c r="K30" s="36"/>
      <c r="L30" s="36"/>
      <c r="M30" s="36"/>
      <c r="N30" s="36"/>
    </row>
    <row r="31" spans="1:16" ht="15.75" thickBot="1" x14ac:dyDescent="0.3">
      <c r="A31" s="6" t="s">
        <v>66</v>
      </c>
      <c r="B31" s="36">
        <v>0</v>
      </c>
      <c r="C31" s="36">
        <v>0</v>
      </c>
      <c r="D31" s="36">
        <v>0</v>
      </c>
      <c r="E31" s="36">
        <v>0</v>
      </c>
      <c r="F31" s="36">
        <v>0</v>
      </c>
      <c r="G31" s="36">
        <v>0</v>
      </c>
      <c r="H31" s="36">
        <v>0</v>
      </c>
      <c r="I31" s="36">
        <v>0</v>
      </c>
      <c r="J31" s="42">
        <v>0</v>
      </c>
      <c r="K31" s="36">
        <v>0</v>
      </c>
      <c r="L31" s="36">
        <v>0</v>
      </c>
      <c r="M31" s="36">
        <v>0</v>
      </c>
      <c r="N31" s="36">
        <v>0</v>
      </c>
    </row>
    <row r="32" spans="1:16" ht="15.75" thickBot="1" x14ac:dyDescent="0.3">
      <c r="A32" s="4" t="s">
        <v>45</v>
      </c>
      <c r="B32" s="43"/>
      <c r="C32" s="43"/>
      <c r="D32" s="43"/>
      <c r="E32" s="43"/>
      <c r="F32" s="43"/>
      <c r="G32" s="43"/>
      <c r="H32" s="43"/>
      <c r="I32" s="43"/>
      <c r="J32" s="43"/>
      <c r="K32" s="43"/>
      <c r="L32" s="43"/>
      <c r="M32" s="43"/>
      <c r="N32" s="43"/>
    </row>
    <row r="33" spans="1:16" x14ac:dyDescent="0.25">
      <c r="A33" s="7" t="s">
        <v>67</v>
      </c>
      <c r="B33" s="36"/>
      <c r="C33" s="36"/>
      <c r="D33" s="36"/>
      <c r="E33" s="36"/>
      <c r="F33" s="36"/>
      <c r="G33" s="36"/>
      <c r="H33" s="36"/>
      <c r="I33" s="36"/>
      <c r="J33" s="42">
        <v>0</v>
      </c>
      <c r="K33" s="36"/>
      <c r="L33" s="36"/>
      <c r="M33" s="36"/>
      <c r="N33" s="36"/>
      <c r="O33" t="b">
        <f>IFERROR(AND(B33:I36,K33:N36),TRUE)</f>
        <v>0</v>
      </c>
      <c r="P33" t="s">
        <v>112</v>
      </c>
    </row>
    <row r="34" spans="1:16" x14ac:dyDescent="0.25">
      <c r="A34" s="5" t="s">
        <v>68</v>
      </c>
      <c r="B34" s="36">
        <v>0</v>
      </c>
      <c r="C34" s="36">
        <v>0</v>
      </c>
      <c r="D34" s="36">
        <v>0</v>
      </c>
      <c r="E34" s="36">
        <v>0</v>
      </c>
      <c r="F34" s="36">
        <v>0</v>
      </c>
      <c r="G34" s="36">
        <v>0</v>
      </c>
      <c r="H34" s="36">
        <v>0</v>
      </c>
      <c r="I34" s="36">
        <v>0</v>
      </c>
      <c r="J34" s="42">
        <v>0</v>
      </c>
      <c r="K34" s="36">
        <v>0</v>
      </c>
      <c r="L34" s="36">
        <v>0</v>
      </c>
      <c r="M34" s="36">
        <v>0</v>
      </c>
      <c r="N34" s="36">
        <v>0</v>
      </c>
    </row>
    <row r="35" spans="1:16" x14ac:dyDescent="0.25">
      <c r="A35" s="5" t="s">
        <v>69</v>
      </c>
      <c r="B35" s="36">
        <v>0</v>
      </c>
      <c r="C35" s="36">
        <v>0</v>
      </c>
      <c r="D35" s="36">
        <v>0</v>
      </c>
      <c r="E35" s="36">
        <v>0</v>
      </c>
      <c r="F35" s="36">
        <v>0</v>
      </c>
      <c r="G35" s="36">
        <v>0</v>
      </c>
      <c r="H35" s="36">
        <v>0</v>
      </c>
      <c r="I35" s="36">
        <v>0</v>
      </c>
      <c r="J35" s="42">
        <v>0</v>
      </c>
      <c r="K35" s="36">
        <v>0</v>
      </c>
      <c r="L35" s="36">
        <v>0</v>
      </c>
      <c r="M35" s="36">
        <v>0</v>
      </c>
      <c r="N35" s="36">
        <v>0</v>
      </c>
    </row>
    <row r="36" spans="1:16" ht="15.75" thickBot="1" x14ac:dyDescent="0.3">
      <c r="A36" s="6" t="s">
        <v>70</v>
      </c>
      <c r="B36" s="36"/>
      <c r="C36" s="36"/>
      <c r="D36" s="36"/>
      <c r="E36" s="36"/>
      <c r="F36" s="36"/>
      <c r="G36" s="36"/>
      <c r="H36" s="36"/>
      <c r="I36" s="36"/>
      <c r="J36" s="42">
        <v>0</v>
      </c>
      <c r="K36" s="36"/>
      <c r="L36" s="36"/>
      <c r="M36" s="36"/>
      <c r="N36" s="36"/>
    </row>
    <row r="37" spans="1:16" ht="15.75" thickBot="1" x14ac:dyDescent="0.3">
      <c r="A37" s="33" t="s">
        <v>45</v>
      </c>
      <c r="B37" s="44"/>
      <c r="C37" s="44"/>
      <c r="D37" s="44"/>
      <c r="E37" s="44"/>
      <c r="F37" s="44"/>
      <c r="G37" s="44"/>
      <c r="H37" s="44"/>
      <c r="I37" s="44"/>
      <c r="J37" s="44"/>
      <c r="K37" s="44"/>
      <c r="L37" s="44"/>
      <c r="M37" s="44"/>
      <c r="N37" s="44"/>
      <c r="O37" t="b">
        <v>1</v>
      </c>
      <c r="P37" t="s">
        <v>20520</v>
      </c>
    </row>
  </sheetData>
  <mergeCells count="1">
    <mergeCell ref="A1:N1"/>
  </mergeCells>
  <conditionalFormatting sqref="B16:I26 L16:N26 B28:I31 K28:N31 B33:I36 K33:N36 B3:J14 L3:N14">
    <cfRule type="expression" priority="2">
      <formula>NOT($O$1)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pageSetUpPr fitToPage="1"/>
  </sheetPr>
  <dimension ref="A1:K53"/>
  <sheetViews>
    <sheetView zoomScale="175" zoomScaleNormal="175" zoomScaleSheetLayoutView="175" workbookViewId="0">
      <pane ySplit="1" topLeftCell="A2" activePane="bottomLeft" state="frozen"/>
      <selection pane="bottomLeft" activeCell="A54" sqref="A54"/>
    </sheetView>
  </sheetViews>
  <sheetFormatPr defaultRowHeight="15" x14ac:dyDescent="0.25"/>
  <cols>
    <col min="1" max="1" width="13.28515625" style="281" customWidth="1"/>
    <col min="2" max="2" width="6.85546875" style="280" customWidth="1"/>
    <col min="3" max="3" width="8.42578125" style="280" hidden="1" customWidth="1"/>
    <col min="4" max="4" width="10.28515625" style="280" hidden="1" customWidth="1"/>
    <col min="5" max="6" width="10.7109375" style="280" customWidth="1"/>
    <col min="7" max="9" width="17.140625" style="281" customWidth="1"/>
    <col min="10" max="10" width="6.85546875" style="282" customWidth="1"/>
    <col min="11" max="11" width="28.28515625" style="281" customWidth="1"/>
  </cols>
  <sheetData>
    <row r="1" spans="1:11" ht="33.75" x14ac:dyDescent="0.25">
      <c r="A1" s="277" t="s">
        <v>20659</v>
      </c>
      <c r="B1" s="277" t="s">
        <v>20660</v>
      </c>
      <c r="C1" s="278" t="s">
        <v>20661</v>
      </c>
      <c r="D1" s="278" t="s">
        <v>20662</v>
      </c>
      <c r="E1" s="278" t="s">
        <v>20663</v>
      </c>
      <c r="F1" s="278" t="s">
        <v>20664</v>
      </c>
      <c r="G1" s="277" t="s">
        <v>20665</v>
      </c>
      <c r="H1" s="277" t="s">
        <v>20666</v>
      </c>
      <c r="I1" s="277" t="s">
        <v>20667</v>
      </c>
      <c r="J1" s="278" t="s">
        <v>20668</v>
      </c>
      <c r="K1" s="277" t="s">
        <v>20669</v>
      </c>
    </row>
    <row r="2" spans="1:11" x14ac:dyDescent="0.25">
      <c r="A2" s="540" t="s">
        <v>20670</v>
      </c>
      <c r="B2" s="541"/>
      <c r="C2" s="541"/>
      <c r="D2" s="541"/>
      <c r="E2" s="541"/>
      <c r="F2" s="541"/>
      <c r="G2" s="541"/>
      <c r="H2" s="541"/>
      <c r="I2" s="541"/>
      <c r="J2" s="541"/>
      <c r="K2" s="542"/>
    </row>
    <row r="3" spans="1:11" ht="33.75" x14ac:dyDescent="0.25">
      <c r="A3" s="279" t="s">
        <v>20671</v>
      </c>
      <c r="B3" s="280">
        <v>4</v>
      </c>
      <c r="C3" s="280" t="s">
        <v>20672</v>
      </c>
      <c r="D3" s="280" t="s">
        <v>20672</v>
      </c>
      <c r="E3" s="280" t="s">
        <v>40</v>
      </c>
      <c r="F3" s="280" t="s">
        <v>41</v>
      </c>
      <c r="G3" s="281" t="s">
        <v>20673</v>
      </c>
      <c r="H3" s="281" t="s">
        <v>20674</v>
      </c>
      <c r="I3" s="281" t="s">
        <v>20675</v>
      </c>
      <c r="J3" s="282" t="s">
        <v>20676</v>
      </c>
      <c r="K3" s="281" t="s">
        <v>20677</v>
      </c>
    </row>
    <row r="4" spans="1:11" ht="45" x14ac:dyDescent="0.25">
      <c r="A4" s="279" t="s">
        <v>20678</v>
      </c>
      <c r="B4" s="280">
        <v>3</v>
      </c>
      <c r="C4" s="280" t="s">
        <v>20672</v>
      </c>
      <c r="D4" s="280" t="s">
        <v>20672</v>
      </c>
      <c r="E4" s="280" t="s">
        <v>40</v>
      </c>
      <c r="G4" s="281" t="s">
        <v>20679</v>
      </c>
      <c r="H4" s="281" t="s">
        <v>20680</v>
      </c>
      <c r="I4" s="281" t="s">
        <v>20681</v>
      </c>
      <c r="J4" s="282">
        <v>6.9444444444444441E-3</v>
      </c>
      <c r="K4" s="281" t="s">
        <v>20682</v>
      </c>
    </row>
    <row r="5" spans="1:11" ht="45" x14ac:dyDescent="0.25">
      <c r="A5" s="279" t="s">
        <v>20683</v>
      </c>
      <c r="B5" s="280">
        <v>4</v>
      </c>
      <c r="C5" s="280" t="s">
        <v>20672</v>
      </c>
      <c r="D5" s="280" t="s">
        <v>20672</v>
      </c>
      <c r="E5" s="280" t="s">
        <v>40</v>
      </c>
      <c r="F5" s="280" t="s">
        <v>41</v>
      </c>
      <c r="G5" s="281" t="s">
        <v>20684</v>
      </c>
      <c r="H5" s="281" t="s">
        <v>20685</v>
      </c>
      <c r="I5" s="281" t="s">
        <v>20686</v>
      </c>
      <c r="J5" s="282" t="s">
        <v>20687</v>
      </c>
      <c r="K5" s="281" t="s">
        <v>20688</v>
      </c>
    </row>
    <row r="6" spans="1:11" ht="45" x14ac:dyDescent="0.25">
      <c r="A6" s="279" t="s">
        <v>20689</v>
      </c>
      <c r="B6" s="280">
        <v>4</v>
      </c>
      <c r="C6" s="280" t="s">
        <v>20672</v>
      </c>
      <c r="D6" s="280" t="s">
        <v>20672</v>
      </c>
      <c r="E6" s="280" t="s">
        <v>40</v>
      </c>
      <c r="F6" s="280" t="s">
        <v>41</v>
      </c>
      <c r="G6" s="281" t="s">
        <v>20690</v>
      </c>
      <c r="H6" s="281" t="s">
        <v>20691</v>
      </c>
      <c r="I6" s="281" t="s">
        <v>20686</v>
      </c>
      <c r="J6" s="282" t="s">
        <v>20687</v>
      </c>
      <c r="K6" s="281" t="s">
        <v>20692</v>
      </c>
    </row>
    <row r="7" spans="1:11" ht="33.75" x14ac:dyDescent="0.25">
      <c r="A7" s="279" t="s">
        <v>20693</v>
      </c>
      <c r="B7" s="280">
        <v>4</v>
      </c>
      <c r="C7" s="280" t="s">
        <v>20672</v>
      </c>
      <c r="D7" s="280" t="s">
        <v>20672</v>
      </c>
      <c r="E7" s="280" t="s">
        <v>40</v>
      </c>
      <c r="F7" s="280" t="s">
        <v>41</v>
      </c>
      <c r="G7" s="281" t="s">
        <v>20694</v>
      </c>
      <c r="H7" s="281" t="s">
        <v>20695</v>
      </c>
      <c r="I7" s="281" t="s">
        <v>20696</v>
      </c>
      <c r="J7" s="282">
        <v>1.3888888888888888E-2</v>
      </c>
      <c r="K7" s="281" t="s">
        <v>20697</v>
      </c>
    </row>
    <row r="8" spans="1:11" ht="33.75" x14ac:dyDescent="0.25">
      <c r="A8" s="279" t="s">
        <v>20698</v>
      </c>
      <c r="B8" s="280">
        <v>3</v>
      </c>
      <c r="C8" s="280" t="s">
        <v>20672</v>
      </c>
      <c r="D8" s="280" t="s">
        <v>20672</v>
      </c>
      <c r="E8" s="280" t="s">
        <v>40</v>
      </c>
      <c r="G8" s="281" t="s">
        <v>20699</v>
      </c>
      <c r="H8" s="281" t="s">
        <v>20700</v>
      </c>
      <c r="I8" s="281" t="s">
        <v>20701</v>
      </c>
      <c r="J8" s="282">
        <v>6.9444444444444441E-3</v>
      </c>
      <c r="K8" s="281" t="s">
        <v>20702</v>
      </c>
    </row>
    <row r="9" spans="1:11" ht="33.75" x14ac:dyDescent="0.25">
      <c r="A9" s="279" t="s">
        <v>20703</v>
      </c>
      <c r="B9" s="280">
        <v>2</v>
      </c>
      <c r="C9" s="280" t="s">
        <v>20672</v>
      </c>
      <c r="D9" s="280" t="s">
        <v>20704</v>
      </c>
      <c r="E9" s="280" t="s">
        <v>41</v>
      </c>
      <c r="F9" s="280" t="s">
        <v>40</v>
      </c>
      <c r="G9" s="281" t="s">
        <v>20705</v>
      </c>
      <c r="H9" s="281" t="s">
        <v>20706</v>
      </c>
      <c r="I9" s="281" t="s">
        <v>20707</v>
      </c>
      <c r="J9" s="282">
        <v>6.9444444444444441E-3</v>
      </c>
      <c r="K9" s="281" t="s">
        <v>20708</v>
      </c>
    </row>
    <row r="10" spans="1:11" ht="33.75" x14ac:dyDescent="0.25">
      <c r="A10" s="279" t="s">
        <v>20709</v>
      </c>
      <c r="B10" s="280">
        <v>3</v>
      </c>
      <c r="C10" s="280" t="s">
        <v>20672</v>
      </c>
      <c r="D10" s="280" t="s">
        <v>20672</v>
      </c>
      <c r="E10" s="280" t="s">
        <v>40</v>
      </c>
      <c r="G10" s="281" t="s">
        <v>20710</v>
      </c>
      <c r="H10" s="281" t="s">
        <v>20711</v>
      </c>
      <c r="I10" s="281" t="s">
        <v>20712</v>
      </c>
      <c r="J10" s="282">
        <v>3.472222222222222E-3</v>
      </c>
      <c r="K10" s="281" t="s">
        <v>20713</v>
      </c>
    </row>
    <row r="11" spans="1:11" ht="33.75" x14ac:dyDescent="0.25">
      <c r="A11" s="279" t="s">
        <v>20714</v>
      </c>
      <c r="B11" s="280">
        <v>2</v>
      </c>
      <c r="C11" s="280" t="s">
        <v>20704</v>
      </c>
      <c r="D11" s="280" t="s">
        <v>20704</v>
      </c>
      <c r="E11" s="280" t="s">
        <v>41</v>
      </c>
      <c r="F11" s="280" t="s">
        <v>40</v>
      </c>
      <c r="G11" s="281" t="s">
        <v>20715</v>
      </c>
      <c r="H11" s="281" t="s">
        <v>20716</v>
      </c>
      <c r="I11" s="281" t="s">
        <v>20717</v>
      </c>
      <c r="J11" s="282">
        <v>0</v>
      </c>
      <c r="K11" s="281" t="s">
        <v>20718</v>
      </c>
    </row>
    <row r="12" spans="1:11" ht="33.75" x14ac:dyDescent="0.25">
      <c r="A12" s="279" t="s">
        <v>20719</v>
      </c>
      <c r="B12" s="280">
        <v>2</v>
      </c>
      <c r="C12" s="280" t="s">
        <v>20672</v>
      </c>
      <c r="D12" s="280" t="s">
        <v>20672</v>
      </c>
      <c r="E12" s="280" t="s">
        <v>20720</v>
      </c>
      <c r="G12" s="281" t="s">
        <v>20721</v>
      </c>
      <c r="H12" s="281" t="s">
        <v>20722</v>
      </c>
      <c r="I12" s="281" t="s">
        <v>20723</v>
      </c>
      <c r="J12" s="282">
        <v>3.472222222222222E-3</v>
      </c>
      <c r="K12" s="281" t="s">
        <v>20724</v>
      </c>
    </row>
    <row r="13" spans="1:11" x14ac:dyDescent="0.25">
      <c r="A13" s="537" t="s">
        <v>20725</v>
      </c>
      <c r="B13" s="538"/>
      <c r="C13" s="538"/>
      <c r="D13" s="538"/>
      <c r="E13" s="538"/>
      <c r="F13" s="538"/>
      <c r="G13" s="538"/>
      <c r="H13" s="538"/>
      <c r="I13" s="538"/>
      <c r="J13" s="538"/>
      <c r="K13" s="539"/>
    </row>
    <row r="14" spans="1:11" ht="33.75" x14ac:dyDescent="0.25">
      <c r="A14" s="279" t="s">
        <v>20722</v>
      </c>
      <c r="B14" s="280">
        <v>2</v>
      </c>
      <c r="C14" s="280" t="s">
        <v>20672</v>
      </c>
      <c r="D14" s="280" t="s">
        <v>20704</v>
      </c>
      <c r="E14" s="280" t="s">
        <v>41</v>
      </c>
      <c r="F14" s="280" t="s">
        <v>40</v>
      </c>
      <c r="G14" s="281" t="s">
        <v>20726</v>
      </c>
      <c r="H14" s="281" t="s">
        <v>20727</v>
      </c>
      <c r="I14" s="281" t="s">
        <v>20728</v>
      </c>
      <c r="J14" s="282">
        <v>3.472222222222222E-3</v>
      </c>
      <c r="K14" s="281" t="s">
        <v>20729</v>
      </c>
    </row>
    <row r="15" spans="1:11" ht="22.5" x14ac:dyDescent="0.25">
      <c r="A15" s="279" t="s">
        <v>20730</v>
      </c>
      <c r="B15" s="280">
        <v>3</v>
      </c>
      <c r="C15" s="280" t="s">
        <v>20704</v>
      </c>
      <c r="D15" s="280" t="s">
        <v>73</v>
      </c>
      <c r="E15" s="280" t="s">
        <v>40</v>
      </c>
      <c r="F15" s="280" t="s">
        <v>41</v>
      </c>
      <c r="G15" s="281" t="s">
        <v>20731</v>
      </c>
      <c r="H15" s="281" t="s">
        <v>20732</v>
      </c>
      <c r="I15" s="281" t="s">
        <v>20733</v>
      </c>
      <c r="J15" s="282" t="s">
        <v>20734</v>
      </c>
      <c r="K15" s="281" t="s">
        <v>20735</v>
      </c>
    </row>
    <row r="16" spans="1:11" x14ac:dyDescent="0.25">
      <c r="A16" s="279" t="s">
        <v>20736</v>
      </c>
      <c r="B16" s="280">
        <v>2</v>
      </c>
      <c r="C16" s="280" t="s">
        <v>20672</v>
      </c>
      <c r="D16" s="280" t="s">
        <v>73</v>
      </c>
      <c r="E16" s="280" t="s">
        <v>40</v>
      </c>
      <c r="G16" s="281" t="s">
        <v>20737</v>
      </c>
      <c r="I16" s="281" t="s">
        <v>20738</v>
      </c>
      <c r="J16" s="282" t="s">
        <v>20739</v>
      </c>
      <c r="K16" s="281" t="s">
        <v>20735</v>
      </c>
    </row>
    <row r="17" spans="1:11" ht="45" x14ac:dyDescent="0.25">
      <c r="A17" s="279" t="s">
        <v>20740</v>
      </c>
      <c r="B17" s="280">
        <v>3</v>
      </c>
      <c r="C17" s="280" t="s">
        <v>20704</v>
      </c>
      <c r="D17" s="280" t="s">
        <v>20704</v>
      </c>
      <c r="E17" s="280" t="s">
        <v>40</v>
      </c>
      <c r="F17" s="280" t="s">
        <v>41</v>
      </c>
      <c r="G17" s="281" t="s">
        <v>20741</v>
      </c>
      <c r="H17" s="281" t="s">
        <v>20742</v>
      </c>
      <c r="I17" s="281" t="s">
        <v>20743</v>
      </c>
      <c r="J17" s="282">
        <v>3.472222222222222E-3</v>
      </c>
      <c r="K17" s="281" t="s">
        <v>20744</v>
      </c>
    </row>
    <row r="18" spans="1:11" ht="45" x14ac:dyDescent="0.25">
      <c r="A18" s="279" t="s">
        <v>20745</v>
      </c>
      <c r="B18" s="280">
        <v>3</v>
      </c>
      <c r="C18" s="280" t="s">
        <v>20704</v>
      </c>
      <c r="D18" s="280" t="s">
        <v>20672</v>
      </c>
      <c r="E18" s="280" t="s">
        <v>40</v>
      </c>
      <c r="F18" s="280" t="s">
        <v>41</v>
      </c>
      <c r="G18" s="281" t="s">
        <v>20741</v>
      </c>
      <c r="H18" s="281" t="s">
        <v>20746</v>
      </c>
      <c r="I18" s="281" t="s">
        <v>20747</v>
      </c>
      <c r="J18" s="282">
        <v>3.4722222222222199E-3</v>
      </c>
      <c r="K18" s="281" t="s">
        <v>20748</v>
      </c>
    </row>
    <row r="19" spans="1:11" ht="33.75" x14ac:dyDescent="0.25">
      <c r="A19" s="279" t="s">
        <v>20749</v>
      </c>
      <c r="B19" s="280">
        <v>2</v>
      </c>
      <c r="C19" s="280" t="s">
        <v>20704</v>
      </c>
      <c r="D19" s="280" t="s">
        <v>20704</v>
      </c>
      <c r="E19" s="280" t="s">
        <v>41</v>
      </c>
      <c r="F19" s="280" t="s">
        <v>40</v>
      </c>
      <c r="G19" s="281" t="s">
        <v>20750</v>
      </c>
      <c r="H19" s="281" t="s">
        <v>20751</v>
      </c>
      <c r="I19" s="281" t="s">
        <v>20752</v>
      </c>
      <c r="J19" s="282">
        <v>0</v>
      </c>
      <c r="K19" s="281" t="s">
        <v>20753</v>
      </c>
    </row>
    <row r="20" spans="1:11" ht="33.75" x14ac:dyDescent="0.25">
      <c r="A20" s="279" t="s">
        <v>20754</v>
      </c>
      <c r="B20" s="280">
        <v>2</v>
      </c>
      <c r="C20" s="280" t="s">
        <v>20704</v>
      </c>
      <c r="D20" s="280" t="s">
        <v>20672</v>
      </c>
      <c r="E20" s="280" t="s">
        <v>20720</v>
      </c>
      <c r="G20" s="281" t="s">
        <v>20755</v>
      </c>
      <c r="H20" s="281" t="s">
        <v>20756</v>
      </c>
      <c r="I20" s="281" t="s">
        <v>20757</v>
      </c>
      <c r="J20" s="282">
        <v>0</v>
      </c>
      <c r="K20" s="281" t="s">
        <v>20758</v>
      </c>
    </row>
    <row r="21" spans="1:11" ht="22.5" x14ac:dyDescent="0.25">
      <c r="A21" s="279" t="s">
        <v>20759</v>
      </c>
      <c r="B21" s="280">
        <v>3</v>
      </c>
      <c r="C21" s="280" t="s">
        <v>20704</v>
      </c>
      <c r="D21" s="280" t="s">
        <v>20704</v>
      </c>
      <c r="E21" s="280" t="s">
        <v>41</v>
      </c>
      <c r="F21" s="280" t="s">
        <v>40</v>
      </c>
      <c r="G21" s="281" t="s">
        <v>20760</v>
      </c>
      <c r="H21" s="281" t="s">
        <v>20761</v>
      </c>
      <c r="I21" s="281" t="s">
        <v>20762</v>
      </c>
      <c r="K21" s="281" t="s">
        <v>20763</v>
      </c>
    </row>
    <row r="22" spans="1:11" ht="22.5" x14ac:dyDescent="0.25">
      <c r="A22" s="279" t="s">
        <v>20764</v>
      </c>
      <c r="B22" s="280">
        <v>2</v>
      </c>
      <c r="C22" s="280" t="s">
        <v>20704</v>
      </c>
      <c r="D22" s="280" t="s">
        <v>20704</v>
      </c>
      <c r="E22" s="280" t="s">
        <v>41</v>
      </c>
      <c r="F22" s="280" t="s">
        <v>40</v>
      </c>
      <c r="G22" s="281" t="s">
        <v>20765</v>
      </c>
      <c r="H22" s="281" t="s">
        <v>20766</v>
      </c>
      <c r="I22" s="281" t="s">
        <v>20717</v>
      </c>
      <c r="J22" s="282">
        <v>0</v>
      </c>
      <c r="K22" s="281" t="s">
        <v>20767</v>
      </c>
    </row>
    <row r="23" spans="1:11" x14ac:dyDescent="0.25">
      <c r="A23" s="537" t="s">
        <v>20768</v>
      </c>
      <c r="B23" s="538"/>
      <c r="C23" s="538"/>
      <c r="D23" s="538"/>
      <c r="E23" s="538"/>
      <c r="F23" s="538"/>
      <c r="G23" s="538"/>
      <c r="H23" s="538"/>
      <c r="I23" s="538"/>
      <c r="J23" s="538"/>
      <c r="K23" s="539"/>
    </row>
    <row r="24" spans="1:11" ht="33.75" x14ac:dyDescent="0.25">
      <c r="A24" s="279" t="s">
        <v>20769</v>
      </c>
      <c r="B24" s="280">
        <v>3</v>
      </c>
      <c r="C24" s="280" t="s">
        <v>20672</v>
      </c>
      <c r="D24" s="280" t="s">
        <v>20672</v>
      </c>
      <c r="E24" s="280" t="s">
        <v>40</v>
      </c>
      <c r="G24" s="281" t="s">
        <v>20770</v>
      </c>
      <c r="H24" s="281" t="s">
        <v>20771</v>
      </c>
      <c r="I24" s="281" t="s">
        <v>20772</v>
      </c>
      <c r="J24" s="282">
        <v>3.472222222222222E-3</v>
      </c>
      <c r="K24" s="281" t="s">
        <v>20773</v>
      </c>
    </row>
    <row r="25" spans="1:11" ht="67.5" x14ac:dyDescent="0.25">
      <c r="A25" s="279" t="s">
        <v>20774</v>
      </c>
      <c r="B25" s="280">
        <v>3</v>
      </c>
      <c r="C25" s="280" t="s">
        <v>20672</v>
      </c>
      <c r="D25" s="280" t="s">
        <v>20672</v>
      </c>
      <c r="E25" s="280" t="s">
        <v>40</v>
      </c>
      <c r="F25" s="280" t="s">
        <v>41</v>
      </c>
      <c r="G25" s="281" t="s">
        <v>20775</v>
      </c>
      <c r="H25" s="281" t="s">
        <v>20776</v>
      </c>
      <c r="I25" s="281" t="s">
        <v>20777</v>
      </c>
      <c r="J25" s="282">
        <v>2.0833333333333332E-2</v>
      </c>
      <c r="K25" s="281" t="s">
        <v>20778</v>
      </c>
    </row>
    <row r="26" spans="1:11" ht="67.5" x14ac:dyDescent="0.25">
      <c r="A26" s="279" t="s">
        <v>20779</v>
      </c>
      <c r="B26" s="280">
        <v>3</v>
      </c>
      <c r="C26" s="280" t="s">
        <v>20672</v>
      </c>
      <c r="D26" s="280" t="s">
        <v>20672</v>
      </c>
      <c r="E26" s="280" t="s">
        <v>40</v>
      </c>
      <c r="F26" s="280" t="s">
        <v>41</v>
      </c>
      <c r="G26" s="281" t="s">
        <v>20775</v>
      </c>
      <c r="H26" s="281" t="s">
        <v>20776</v>
      </c>
      <c r="I26" s="281" t="s">
        <v>20777</v>
      </c>
      <c r="J26" s="282">
        <v>2.0833333333333332E-2</v>
      </c>
      <c r="K26" s="281" t="s">
        <v>20780</v>
      </c>
    </row>
    <row r="27" spans="1:11" ht="33.75" x14ac:dyDescent="0.25">
      <c r="A27" s="279" t="s">
        <v>20781</v>
      </c>
      <c r="B27" s="280">
        <v>2</v>
      </c>
      <c r="C27" s="280" t="s">
        <v>20672</v>
      </c>
      <c r="D27" s="280" t="s">
        <v>20704</v>
      </c>
      <c r="E27" s="280" t="s">
        <v>20782</v>
      </c>
      <c r="F27" s="280" t="s">
        <v>41</v>
      </c>
      <c r="G27" s="281" t="s">
        <v>20783</v>
      </c>
      <c r="H27" s="281" t="s">
        <v>20784</v>
      </c>
      <c r="I27" s="281" t="s">
        <v>20785</v>
      </c>
      <c r="J27" s="282">
        <v>3.472222222222222E-3</v>
      </c>
      <c r="K27" s="281" t="s">
        <v>20786</v>
      </c>
    </row>
    <row r="28" spans="1:11" ht="22.5" x14ac:dyDescent="0.25">
      <c r="A28" s="279" t="s">
        <v>20787</v>
      </c>
      <c r="B28" s="280">
        <v>2</v>
      </c>
      <c r="C28" s="280" t="s">
        <v>20672</v>
      </c>
      <c r="D28" s="280" t="s">
        <v>20672</v>
      </c>
      <c r="E28" s="280" t="s">
        <v>20782</v>
      </c>
      <c r="G28" s="281" t="s">
        <v>20788</v>
      </c>
      <c r="H28" s="281" t="s">
        <v>20789</v>
      </c>
      <c r="I28" s="281" t="s">
        <v>20790</v>
      </c>
      <c r="J28" s="282">
        <v>0</v>
      </c>
      <c r="K28" s="281" t="s">
        <v>20791</v>
      </c>
    </row>
    <row r="29" spans="1:11" ht="33.75" x14ac:dyDescent="0.25">
      <c r="A29" s="279" t="s">
        <v>20792</v>
      </c>
      <c r="B29" s="280">
        <v>2</v>
      </c>
      <c r="C29" s="280" t="s">
        <v>20672</v>
      </c>
      <c r="D29" s="280" t="s">
        <v>20704</v>
      </c>
      <c r="E29" s="280" t="s">
        <v>20782</v>
      </c>
      <c r="F29" s="280" t="s">
        <v>41</v>
      </c>
      <c r="G29" s="281" t="s">
        <v>20793</v>
      </c>
      <c r="H29" s="281" t="s">
        <v>20722</v>
      </c>
      <c r="I29" s="281" t="s">
        <v>20794</v>
      </c>
      <c r="J29" s="282">
        <v>0</v>
      </c>
      <c r="K29" s="281" t="s">
        <v>20795</v>
      </c>
    </row>
    <row r="30" spans="1:11" ht="45" x14ac:dyDescent="0.25">
      <c r="A30" s="279" t="s">
        <v>20796</v>
      </c>
      <c r="B30" s="280">
        <v>3</v>
      </c>
      <c r="C30" s="280" t="s">
        <v>20704</v>
      </c>
      <c r="D30" s="280" t="s">
        <v>20704</v>
      </c>
      <c r="E30" s="280" t="s">
        <v>40</v>
      </c>
      <c r="F30" s="280" t="s">
        <v>41</v>
      </c>
      <c r="G30" s="281" t="s">
        <v>20797</v>
      </c>
      <c r="H30" s="281" t="s">
        <v>20798</v>
      </c>
      <c r="I30" s="281" t="s">
        <v>20799</v>
      </c>
      <c r="J30" s="282">
        <v>3.125E-2</v>
      </c>
      <c r="K30" s="281" t="s">
        <v>20800</v>
      </c>
    </row>
    <row r="31" spans="1:11" x14ac:dyDescent="0.25">
      <c r="A31" s="537" t="s">
        <v>20801</v>
      </c>
      <c r="B31" s="538"/>
      <c r="C31" s="538"/>
      <c r="D31" s="538"/>
      <c r="E31" s="538"/>
      <c r="F31" s="538"/>
      <c r="G31" s="538"/>
      <c r="H31" s="538"/>
      <c r="I31" s="538"/>
      <c r="J31" s="538"/>
      <c r="K31" s="539"/>
    </row>
    <row r="32" spans="1:11" ht="22.5" x14ac:dyDescent="0.25">
      <c r="A32" s="279" t="s">
        <v>20802</v>
      </c>
      <c r="B32" s="280">
        <v>3</v>
      </c>
      <c r="C32" s="280" t="s">
        <v>20672</v>
      </c>
      <c r="D32" s="280" t="s">
        <v>20672</v>
      </c>
      <c r="E32" s="280" t="s">
        <v>41</v>
      </c>
      <c r="G32" s="281" t="s">
        <v>20705</v>
      </c>
      <c r="H32" s="281" t="s">
        <v>20803</v>
      </c>
      <c r="I32" s="281" t="s">
        <v>20804</v>
      </c>
      <c r="J32" s="282">
        <v>1.0416666666666666E-2</v>
      </c>
      <c r="K32" s="281" t="s">
        <v>20805</v>
      </c>
    </row>
    <row r="33" spans="1:11" ht="33.75" x14ac:dyDescent="0.25">
      <c r="A33" s="279" t="s">
        <v>20806</v>
      </c>
      <c r="B33" s="280">
        <v>2</v>
      </c>
      <c r="C33" s="280" t="s">
        <v>20704</v>
      </c>
      <c r="D33" s="280" t="s">
        <v>20704</v>
      </c>
      <c r="E33" s="280" t="s">
        <v>20782</v>
      </c>
      <c r="F33" s="281" t="s">
        <v>20807</v>
      </c>
      <c r="G33" s="281" t="s">
        <v>20808</v>
      </c>
      <c r="H33" s="281" t="s">
        <v>20809</v>
      </c>
      <c r="I33" s="281" t="s">
        <v>20810</v>
      </c>
      <c r="J33" s="282">
        <v>0</v>
      </c>
      <c r="K33" s="281" t="s">
        <v>20811</v>
      </c>
    </row>
    <row r="34" spans="1:11" ht="45" x14ac:dyDescent="0.25">
      <c r="A34" s="279" t="s">
        <v>20812</v>
      </c>
      <c r="B34" s="280">
        <v>1</v>
      </c>
      <c r="C34" s="280" t="s">
        <v>20704</v>
      </c>
      <c r="D34" s="280" t="s">
        <v>20672</v>
      </c>
      <c r="E34" s="280" t="s">
        <v>41</v>
      </c>
      <c r="F34" s="280" t="s">
        <v>40</v>
      </c>
      <c r="G34" s="281" t="s">
        <v>20813</v>
      </c>
      <c r="H34" s="281" t="s">
        <v>20814</v>
      </c>
      <c r="I34" s="281" t="s">
        <v>20815</v>
      </c>
      <c r="J34" s="282">
        <v>6.9444444444444447E-4</v>
      </c>
      <c r="K34" s="281" t="s">
        <v>20816</v>
      </c>
    </row>
    <row r="35" spans="1:11" x14ac:dyDescent="0.25">
      <c r="A35" s="537" t="s">
        <v>20817</v>
      </c>
      <c r="B35" s="538"/>
      <c r="C35" s="538"/>
      <c r="D35" s="538"/>
      <c r="E35" s="538"/>
      <c r="F35" s="538"/>
      <c r="G35" s="538"/>
      <c r="H35" s="538"/>
      <c r="I35" s="538"/>
      <c r="J35" s="538"/>
      <c r="K35" s="539"/>
    </row>
    <row r="36" spans="1:11" ht="33.75" x14ac:dyDescent="0.25">
      <c r="A36" s="279" t="s">
        <v>20818</v>
      </c>
      <c r="B36" s="280">
        <v>3</v>
      </c>
      <c r="C36" s="280" t="s">
        <v>20704</v>
      </c>
      <c r="D36" s="280" t="s">
        <v>20704</v>
      </c>
      <c r="E36" s="280" t="s">
        <v>41</v>
      </c>
      <c r="G36" s="281" t="s">
        <v>20819</v>
      </c>
      <c r="H36" s="281" t="s">
        <v>20820</v>
      </c>
      <c r="I36" s="281" t="s">
        <v>20821</v>
      </c>
      <c r="J36" s="282">
        <v>3.472222222222222E-3</v>
      </c>
      <c r="K36" s="283" t="s">
        <v>20822</v>
      </c>
    </row>
    <row r="37" spans="1:11" ht="33.75" x14ac:dyDescent="0.25">
      <c r="A37" s="279" t="s">
        <v>20823</v>
      </c>
      <c r="B37" s="280">
        <v>3</v>
      </c>
      <c r="C37" s="280" t="s">
        <v>20704</v>
      </c>
      <c r="D37" s="280" t="s">
        <v>20704</v>
      </c>
      <c r="E37" s="280" t="s">
        <v>41</v>
      </c>
      <c r="G37" s="281" t="s">
        <v>20819</v>
      </c>
      <c r="H37" s="281" t="s">
        <v>20820</v>
      </c>
      <c r="I37" s="281" t="s">
        <v>20821</v>
      </c>
      <c r="J37" s="282">
        <v>3.472222222222222E-3</v>
      </c>
      <c r="K37" s="283" t="s">
        <v>20824</v>
      </c>
    </row>
    <row r="38" spans="1:11" ht="22.5" x14ac:dyDescent="0.25">
      <c r="A38" s="279" t="s">
        <v>20825</v>
      </c>
      <c r="B38" s="280">
        <v>3</v>
      </c>
      <c r="C38" s="280" t="s">
        <v>20704</v>
      </c>
      <c r="D38" s="280" t="s">
        <v>20704</v>
      </c>
      <c r="E38" s="280" t="s">
        <v>41</v>
      </c>
      <c r="G38" s="281" t="s">
        <v>20819</v>
      </c>
      <c r="H38" s="281" t="s">
        <v>20820</v>
      </c>
      <c r="I38" s="281" t="s">
        <v>20821</v>
      </c>
      <c r="J38" s="282">
        <v>3.4722222222222199E-3</v>
      </c>
      <c r="K38" s="283"/>
    </row>
    <row r="39" spans="1:11" x14ac:dyDescent="0.25">
      <c r="A39" s="537" t="s">
        <v>20826</v>
      </c>
      <c r="B39" s="538"/>
      <c r="C39" s="538"/>
      <c r="D39" s="538"/>
      <c r="E39" s="538"/>
      <c r="F39" s="538"/>
      <c r="G39" s="538"/>
      <c r="H39" s="538"/>
      <c r="I39" s="538"/>
      <c r="J39" s="538"/>
      <c r="K39" s="539"/>
    </row>
    <row r="40" spans="1:11" ht="33.75" x14ac:dyDescent="0.25">
      <c r="A40" s="284" t="s">
        <v>20827</v>
      </c>
      <c r="B40" s="285">
        <v>3</v>
      </c>
      <c r="C40" s="280" t="s">
        <v>20672</v>
      </c>
      <c r="D40" s="280" t="s">
        <v>20672</v>
      </c>
      <c r="E40" s="285" t="s">
        <v>40</v>
      </c>
      <c r="F40" s="285"/>
      <c r="G40" s="286" t="s">
        <v>20828</v>
      </c>
      <c r="H40" s="286" t="s">
        <v>20829</v>
      </c>
      <c r="I40" s="281" t="s">
        <v>20830</v>
      </c>
      <c r="J40" s="282" t="s">
        <v>20831</v>
      </c>
      <c r="K40" s="281" t="s">
        <v>20832</v>
      </c>
    </row>
    <row r="41" spans="1:11" ht="22.5" x14ac:dyDescent="0.25">
      <c r="A41" s="279" t="s">
        <v>20833</v>
      </c>
      <c r="B41" s="280">
        <v>3</v>
      </c>
      <c r="C41" s="280" t="s">
        <v>20672</v>
      </c>
      <c r="D41" s="280" t="s">
        <v>20672</v>
      </c>
      <c r="E41" s="280" t="s">
        <v>40</v>
      </c>
      <c r="G41" s="281" t="s">
        <v>20834</v>
      </c>
      <c r="H41" s="281" t="s">
        <v>20834</v>
      </c>
      <c r="I41" s="281" t="s">
        <v>20835</v>
      </c>
      <c r="J41" s="282" t="s">
        <v>73</v>
      </c>
      <c r="K41" s="281" t="s">
        <v>20832</v>
      </c>
    </row>
    <row r="42" spans="1:11" x14ac:dyDescent="0.25">
      <c r="A42" s="537" t="s">
        <v>20836</v>
      </c>
      <c r="B42" s="538"/>
      <c r="C42" s="538"/>
      <c r="D42" s="538"/>
      <c r="E42" s="538"/>
      <c r="F42" s="538"/>
      <c r="G42" s="538"/>
      <c r="H42" s="538"/>
      <c r="I42" s="538"/>
      <c r="J42" s="538"/>
      <c r="K42" s="539"/>
    </row>
    <row r="43" spans="1:11" ht="33.75" x14ac:dyDescent="0.25">
      <c r="A43" s="281" t="s">
        <v>20837</v>
      </c>
      <c r="B43" s="280">
        <v>1</v>
      </c>
      <c r="C43" s="280" t="s">
        <v>73</v>
      </c>
      <c r="D43" s="280" t="s">
        <v>73</v>
      </c>
      <c r="E43" s="280" t="s">
        <v>41</v>
      </c>
      <c r="G43" s="281" t="s">
        <v>20838</v>
      </c>
      <c r="H43" s="281" t="s">
        <v>20839</v>
      </c>
      <c r="I43" s="281" t="s">
        <v>20840</v>
      </c>
      <c r="J43" s="282" t="s">
        <v>73</v>
      </c>
      <c r="K43" s="281" t="s">
        <v>20841</v>
      </c>
    </row>
    <row r="44" spans="1:11" ht="33.75" x14ac:dyDescent="0.25">
      <c r="A44" s="281" t="s">
        <v>56</v>
      </c>
      <c r="B44" s="280">
        <v>1</v>
      </c>
      <c r="C44" s="280" t="s">
        <v>73</v>
      </c>
      <c r="D44" s="280" t="s">
        <v>73</v>
      </c>
      <c r="E44" s="280" t="s">
        <v>41</v>
      </c>
      <c r="G44" s="281" t="s">
        <v>20842</v>
      </c>
      <c r="H44" s="281" t="s">
        <v>20843</v>
      </c>
      <c r="I44" s="281" t="s">
        <v>20844</v>
      </c>
      <c r="J44" s="282" t="s">
        <v>73</v>
      </c>
      <c r="K44" s="281" t="s">
        <v>20845</v>
      </c>
    </row>
    <row r="45" spans="1:11" ht="33.75" x14ac:dyDescent="0.25">
      <c r="A45" s="281" t="s">
        <v>49</v>
      </c>
      <c r="B45" s="280">
        <v>1</v>
      </c>
      <c r="C45" s="280" t="s">
        <v>73</v>
      </c>
      <c r="D45" s="280" t="s">
        <v>73</v>
      </c>
      <c r="E45" s="280" t="s">
        <v>41</v>
      </c>
      <c r="G45" s="281" t="s">
        <v>20846</v>
      </c>
      <c r="H45" s="281" t="s">
        <v>20847</v>
      </c>
      <c r="I45" s="281" t="s">
        <v>20848</v>
      </c>
      <c r="J45" s="282" t="s">
        <v>73</v>
      </c>
      <c r="K45" s="281" t="s">
        <v>20849</v>
      </c>
    </row>
    <row r="46" spans="1:11" ht="33.75" x14ac:dyDescent="0.25">
      <c r="A46" s="281" t="s">
        <v>20850</v>
      </c>
      <c r="B46" s="280">
        <v>1</v>
      </c>
      <c r="C46" s="280" t="s">
        <v>73</v>
      </c>
      <c r="D46" s="280" t="s">
        <v>73</v>
      </c>
      <c r="E46" s="280" t="s">
        <v>41</v>
      </c>
      <c r="G46" s="281" t="s">
        <v>20842</v>
      </c>
      <c r="H46" s="281" t="s">
        <v>20851</v>
      </c>
      <c r="I46" s="281" t="s">
        <v>20844</v>
      </c>
      <c r="J46" s="282" t="s">
        <v>73</v>
      </c>
      <c r="K46" s="281" t="s">
        <v>20852</v>
      </c>
    </row>
    <row r="47" spans="1:11" ht="33.75" x14ac:dyDescent="0.25">
      <c r="A47" s="281" t="s">
        <v>20853</v>
      </c>
      <c r="B47" s="280">
        <v>1</v>
      </c>
      <c r="C47" s="280" t="s">
        <v>73</v>
      </c>
      <c r="D47" s="280" t="s">
        <v>73</v>
      </c>
      <c r="E47" s="280" t="s">
        <v>41</v>
      </c>
      <c r="G47" s="281" t="s">
        <v>20842</v>
      </c>
      <c r="H47" s="281" t="s">
        <v>20854</v>
      </c>
      <c r="I47" s="281" t="s">
        <v>20855</v>
      </c>
      <c r="J47" s="282" t="s">
        <v>73</v>
      </c>
      <c r="K47" s="281" t="s">
        <v>20856</v>
      </c>
    </row>
    <row r="48" spans="1:11" x14ac:dyDescent="0.25">
      <c r="A48" s="537" t="s">
        <v>20857</v>
      </c>
      <c r="B48" s="538"/>
      <c r="C48" s="538"/>
      <c r="D48" s="538"/>
      <c r="E48" s="538"/>
      <c r="F48" s="538"/>
      <c r="G48" s="538"/>
      <c r="H48" s="538"/>
      <c r="I48" s="538"/>
      <c r="J48" s="538"/>
      <c r="K48" s="539"/>
    </row>
    <row r="49" spans="1:11" ht="45" x14ac:dyDescent="0.25">
      <c r="A49" s="281" t="s">
        <v>20858</v>
      </c>
      <c r="B49" s="280">
        <v>3</v>
      </c>
      <c r="C49" s="280" t="s">
        <v>20704</v>
      </c>
      <c r="D49" s="280" t="s">
        <v>20672</v>
      </c>
      <c r="E49" s="280" t="s">
        <v>41</v>
      </c>
      <c r="G49" s="281" t="s">
        <v>20859</v>
      </c>
      <c r="H49" s="281" t="s">
        <v>73</v>
      </c>
      <c r="I49" s="281" t="s">
        <v>20860</v>
      </c>
      <c r="J49" s="282" t="s">
        <v>20861</v>
      </c>
      <c r="K49" s="281" t="s">
        <v>20862</v>
      </c>
    </row>
    <row r="50" spans="1:11" ht="33.75" x14ac:dyDescent="0.25">
      <c r="A50" s="281" t="s">
        <v>20741</v>
      </c>
      <c r="B50" s="280">
        <v>3</v>
      </c>
      <c r="C50" s="280" t="s">
        <v>20672</v>
      </c>
      <c r="D50" s="280" t="s">
        <v>20672</v>
      </c>
      <c r="E50" s="280" t="s">
        <v>41</v>
      </c>
      <c r="F50" s="280" t="s">
        <v>40</v>
      </c>
      <c r="G50" s="281" t="s">
        <v>20863</v>
      </c>
      <c r="H50" s="281" t="s">
        <v>20864</v>
      </c>
      <c r="I50" s="281" t="s">
        <v>20865</v>
      </c>
      <c r="J50" s="282" t="s">
        <v>20861</v>
      </c>
      <c r="K50" s="281" t="s">
        <v>20866</v>
      </c>
    </row>
    <row r="51" spans="1:11" x14ac:dyDescent="0.25">
      <c r="A51" s="537" t="s">
        <v>20867</v>
      </c>
      <c r="B51" s="538"/>
      <c r="C51" s="538"/>
      <c r="D51" s="538"/>
      <c r="E51" s="538"/>
      <c r="F51" s="538"/>
      <c r="G51" s="538"/>
      <c r="H51" s="538"/>
      <c r="I51" s="538"/>
      <c r="J51" s="538"/>
      <c r="K51" s="539"/>
    </row>
    <row r="52" spans="1:11" ht="45" x14ac:dyDescent="0.25">
      <c r="A52" s="281" t="s">
        <v>20868</v>
      </c>
      <c r="B52" s="280">
        <v>1</v>
      </c>
      <c r="C52" s="280" t="s">
        <v>20672</v>
      </c>
      <c r="D52" s="280" t="s">
        <v>20672</v>
      </c>
      <c r="E52" s="280" t="s">
        <v>41</v>
      </c>
      <c r="G52" s="281" t="s">
        <v>20869</v>
      </c>
      <c r="H52" s="281" t="s">
        <v>20870</v>
      </c>
      <c r="I52" s="281" t="s">
        <v>20871</v>
      </c>
      <c r="J52" s="282" t="s">
        <v>73</v>
      </c>
      <c r="K52" s="281" t="s">
        <v>20872</v>
      </c>
    </row>
    <row r="53" spans="1:11" ht="67.5" x14ac:dyDescent="0.25">
      <c r="A53" s="281" t="s">
        <v>20873</v>
      </c>
      <c r="B53" s="280">
        <v>3</v>
      </c>
      <c r="C53" s="280" t="s">
        <v>73</v>
      </c>
      <c r="D53" s="280" t="s">
        <v>73</v>
      </c>
      <c r="E53" s="280" t="s">
        <v>41</v>
      </c>
      <c r="F53" s="280" t="s">
        <v>40</v>
      </c>
      <c r="G53" s="281" t="s">
        <v>20874</v>
      </c>
      <c r="H53" s="281" t="s">
        <v>20875</v>
      </c>
      <c r="I53" s="281" t="s">
        <v>20876</v>
      </c>
      <c r="J53" s="282" t="s">
        <v>20877</v>
      </c>
      <c r="K53" s="281" t="s">
        <v>20878</v>
      </c>
    </row>
  </sheetData>
  <mergeCells count="9">
    <mergeCell ref="A42:K42"/>
    <mergeCell ref="A48:K48"/>
    <mergeCell ref="A51:K51"/>
    <mergeCell ref="A2:K2"/>
    <mergeCell ref="A13:K13"/>
    <mergeCell ref="A23:K23"/>
    <mergeCell ref="A31:K31"/>
    <mergeCell ref="A35:K35"/>
    <mergeCell ref="A39:K39"/>
  </mergeCells>
  <conditionalFormatting sqref="A1:K1 A3:K12 A14:K22 A13 A24:K30 A23 A32:K34 A31 A36:K38 A35 A41:K41 A43:K47 A49:K50 A51 A52:K1048576 I40:K40 C40:D40">
    <cfRule type="expression" dxfId="36" priority="2">
      <formula>IF(MOD(ROW(),2)=0,TRUE,FALSE)</formula>
    </cfRule>
  </conditionalFormatting>
  <conditionalFormatting sqref="A40:B40 E40:H40">
    <cfRule type="expression" dxfId="35" priority="1">
      <formula>IF(MOD(ROW(),2)=0,TRUE,FALSE)</formula>
    </cfRule>
  </conditionalFormatting>
  <printOptions horizontalCentered="1"/>
  <pageMargins left="0.25" right="0.25" top="0.25" bottom="0.25" header="0" footer="0"/>
  <pageSetup scale="9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AE13781"/>
  <sheetViews>
    <sheetView workbookViewId="0">
      <selection activeCell="G15" sqref="G15"/>
    </sheetView>
  </sheetViews>
  <sheetFormatPr defaultColWidth="8.7109375" defaultRowHeight="15" x14ac:dyDescent="0.25"/>
  <cols>
    <col min="1" max="1" width="21.5703125" customWidth="1"/>
    <col min="2" max="2" width="32.42578125" customWidth="1"/>
    <col min="3" max="3" width="12.42578125" bestFit="1" customWidth="1"/>
    <col min="4" max="4" width="16.5703125" customWidth="1"/>
    <col min="5" max="5" width="32.42578125" customWidth="1"/>
    <col min="6" max="6" width="16.5703125" customWidth="1"/>
    <col min="7" max="7" width="14.28515625" customWidth="1"/>
    <col min="8" max="8" width="31.42578125" customWidth="1"/>
    <col min="9" max="9" width="14.42578125" customWidth="1"/>
    <col min="10" max="10" width="13.140625" customWidth="1"/>
  </cols>
  <sheetData>
    <row r="1" spans="1:9" x14ac:dyDescent="0.25">
      <c r="A1" s="533" t="s">
        <v>20879</v>
      </c>
      <c r="B1" s="533"/>
      <c r="C1" s="533"/>
      <c r="D1" s="533"/>
      <c r="E1" s="266"/>
      <c r="G1" s="533" t="s">
        <v>20880</v>
      </c>
      <c r="H1" s="533"/>
      <c r="I1" s="533"/>
    </row>
    <row r="2" spans="1:9" x14ac:dyDescent="0.25">
      <c r="A2" s="3" t="s">
        <v>20881</v>
      </c>
      <c r="B2" s="3" t="s">
        <v>20882</v>
      </c>
      <c r="C2" s="3" t="s">
        <v>20883</v>
      </c>
      <c r="D2" s="3" t="s">
        <v>20884</v>
      </c>
      <c r="E2" s="3"/>
      <c r="G2" s="3" t="s">
        <v>20881</v>
      </c>
      <c r="H2" s="3" t="s">
        <v>20882</v>
      </c>
      <c r="I2" s="3" t="s">
        <v>20883</v>
      </c>
    </row>
    <row r="3" spans="1:9" x14ac:dyDescent="0.25">
      <c r="A3" t="s">
        <v>20885</v>
      </c>
      <c r="B3" t="s">
        <v>20886</v>
      </c>
      <c r="C3" t="s">
        <v>20887</v>
      </c>
      <c r="D3" t="s">
        <v>20888</v>
      </c>
      <c r="G3" t="s">
        <v>20889</v>
      </c>
      <c r="H3" t="s">
        <v>20890</v>
      </c>
    </row>
    <row r="4" spans="1:9" x14ac:dyDescent="0.25">
      <c r="A4" t="s">
        <v>20891</v>
      </c>
      <c r="B4" t="s">
        <v>20892</v>
      </c>
      <c r="C4" t="s">
        <v>20893</v>
      </c>
      <c r="D4" t="s">
        <v>20894</v>
      </c>
      <c r="G4" t="s">
        <v>20895</v>
      </c>
      <c r="H4" t="s">
        <v>20896</v>
      </c>
    </row>
    <row r="5" spans="1:9" x14ac:dyDescent="0.25">
      <c r="A5" t="s">
        <v>20897</v>
      </c>
      <c r="B5" t="s">
        <v>20898</v>
      </c>
      <c r="C5" t="s">
        <v>20899</v>
      </c>
      <c r="D5" t="s">
        <v>20888</v>
      </c>
      <c r="G5" t="s">
        <v>20900</v>
      </c>
      <c r="H5" t="s">
        <v>20896</v>
      </c>
    </row>
    <row r="6" spans="1:9" x14ac:dyDescent="0.25">
      <c r="A6" t="s">
        <v>20901</v>
      </c>
      <c r="B6" t="s">
        <v>20902</v>
      </c>
      <c r="C6" t="s">
        <v>20903</v>
      </c>
      <c r="D6" t="s">
        <v>20904</v>
      </c>
      <c r="G6" t="s">
        <v>20905</v>
      </c>
      <c r="H6" t="s">
        <v>20896</v>
      </c>
    </row>
    <row r="7" spans="1:9" x14ac:dyDescent="0.25">
      <c r="A7" t="s">
        <v>20906</v>
      </c>
      <c r="B7" t="s">
        <v>20902</v>
      </c>
      <c r="C7" t="s">
        <v>20907</v>
      </c>
      <c r="D7" t="s">
        <v>20908</v>
      </c>
      <c r="G7" s="287" t="s">
        <v>20909</v>
      </c>
      <c r="H7" t="s">
        <v>20910</v>
      </c>
    </row>
    <row r="8" spans="1:9" x14ac:dyDescent="0.25">
      <c r="A8" t="s">
        <v>20911</v>
      </c>
      <c r="B8" t="s">
        <v>20902</v>
      </c>
      <c r="C8" t="s">
        <v>20912</v>
      </c>
      <c r="D8" t="s">
        <v>20913</v>
      </c>
      <c r="G8" t="s">
        <v>20914</v>
      </c>
      <c r="H8" t="s">
        <v>20910</v>
      </c>
    </row>
    <row r="9" spans="1:9" x14ac:dyDescent="0.25">
      <c r="A9" t="s">
        <v>20915</v>
      </c>
      <c r="B9" t="s">
        <v>20916</v>
      </c>
      <c r="C9" t="s">
        <v>20917</v>
      </c>
      <c r="D9" t="s">
        <v>20918</v>
      </c>
      <c r="G9" t="s">
        <v>20919</v>
      </c>
      <c r="H9" t="s">
        <v>20920</v>
      </c>
    </row>
    <row r="10" spans="1:9" x14ac:dyDescent="0.25">
      <c r="A10" t="s">
        <v>20921</v>
      </c>
      <c r="B10" t="s">
        <v>20916</v>
      </c>
      <c r="C10" t="s">
        <v>20917</v>
      </c>
      <c r="D10" t="s">
        <v>20922</v>
      </c>
      <c r="G10" t="s">
        <v>20923</v>
      </c>
      <c r="H10" t="s">
        <v>20920</v>
      </c>
    </row>
    <row r="11" spans="1:9" x14ac:dyDescent="0.25">
      <c r="A11" t="s">
        <v>20924</v>
      </c>
      <c r="B11" t="s">
        <v>20916</v>
      </c>
      <c r="D11" t="s">
        <v>20653</v>
      </c>
      <c r="G11" t="s">
        <v>20925</v>
      </c>
    </row>
    <row r="12" spans="1:9" x14ac:dyDescent="0.25">
      <c r="A12" t="s">
        <v>20926</v>
      </c>
      <c r="B12" t="s">
        <v>20927</v>
      </c>
      <c r="C12" t="s">
        <v>20928</v>
      </c>
      <c r="D12" t="s">
        <v>20929</v>
      </c>
      <c r="G12" t="s">
        <v>20930</v>
      </c>
      <c r="H12" t="s">
        <v>20931</v>
      </c>
      <c r="I12" t="s">
        <v>20932</v>
      </c>
    </row>
    <row r="13" spans="1:9" x14ac:dyDescent="0.25">
      <c r="A13" t="s">
        <v>20933</v>
      </c>
      <c r="B13" t="s">
        <v>20927</v>
      </c>
      <c r="D13" t="s">
        <v>20922</v>
      </c>
      <c r="G13" t="s">
        <v>20934</v>
      </c>
      <c r="H13" t="s">
        <v>20935</v>
      </c>
      <c r="I13" t="s">
        <v>20936</v>
      </c>
    </row>
    <row r="14" spans="1:9" x14ac:dyDescent="0.25">
      <c r="A14" t="s">
        <v>20937</v>
      </c>
      <c r="B14" t="s">
        <v>20927</v>
      </c>
      <c r="C14" t="s">
        <v>20928</v>
      </c>
      <c r="D14" t="s">
        <v>20938</v>
      </c>
      <c r="G14" t="s">
        <v>20939</v>
      </c>
      <c r="I14">
        <v>911</v>
      </c>
    </row>
    <row r="15" spans="1:9" x14ac:dyDescent="0.25">
      <c r="A15" t="s">
        <v>20940</v>
      </c>
      <c r="B15" t="s">
        <v>20927</v>
      </c>
    </row>
    <row r="2623" spans="1:6" x14ac:dyDescent="0.25">
      <c r="A2623" s="288">
        <v>44047</v>
      </c>
      <c r="D2623" s="289">
        <v>0.16666666666666666</v>
      </c>
      <c r="F2623" s="289"/>
    </row>
    <row r="2626" spans="1:26" x14ac:dyDescent="0.25">
      <c r="H2626">
        <v>33560</v>
      </c>
      <c r="I2626" s="2">
        <v>0.1113</v>
      </c>
      <c r="J2626" s="2">
        <v>2.4199999999999999E-2</v>
      </c>
    </row>
    <row r="2627" spans="1:26" x14ac:dyDescent="0.25">
      <c r="H2627">
        <v>35500</v>
      </c>
      <c r="I2627" s="2">
        <v>0.1186</v>
      </c>
      <c r="J2627" s="2">
        <v>2.29E-2</v>
      </c>
    </row>
    <row r="2628" spans="1:26" x14ac:dyDescent="0.25">
      <c r="H2628">
        <v>36400</v>
      </c>
      <c r="I2628" s="2">
        <v>0.14449999999999999</v>
      </c>
      <c r="J2628" s="2">
        <v>2.3599999999999999E-2</v>
      </c>
      <c r="K2628" s="2">
        <v>3.04E-2</v>
      </c>
      <c r="L2628">
        <v>7</v>
      </c>
      <c r="M2628">
        <v>11</v>
      </c>
      <c r="N2628">
        <v>17920</v>
      </c>
      <c r="O2628" s="2">
        <v>6.54E-2</v>
      </c>
      <c r="P2628" s="2">
        <v>1.35E-2</v>
      </c>
      <c r="Q2628" s="2">
        <v>5.8999999999999999E-3</v>
      </c>
      <c r="R2628">
        <v>511</v>
      </c>
      <c r="S2628">
        <v>3</v>
      </c>
      <c r="T2628">
        <v>26978</v>
      </c>
      <c r="U2628">
        <v>6574</v>
      </c>
      <c r="V2628" s="2">
        <v>0.10390000000000001</v>
      </c>
      <c r="W2628" s="2">
        <v>7.3000000000000001E-3</v>
      </c>
      <c r="X2628">
        <v>7024</v>
      </c>
      <c r="Y2628" s="2">
        <v>0.13200000000000001</v>
      </c>
      <c r="Z2628" s="2">
        <v>6.4000000000000003E-3</v>
      </c>
    </row>
    <row r="2629" spans="1:26" x14ac:dyDescent="0.25">
      <c r="A2629" s="288">
        <v>44047</v>
      </c>
      <c r="B2629" t="s">
        <v>20918</v>
      </c>
      <c r="D2629" s="289">
        <v>0.5</v>
      </c>
      <c r="F2629" s="289"/>
      <c r="H2629">
        <v>36400</v>
      </c>
      <c r="I2629" s="2">
        <v>0.1454</v>
      </c>
      <c r="J2629" s="2">
        <v>2.5700000000000001E-2</v>
      </c>
      <c r="K2629" s="2">
        <v>2.9399999999999999E-2</v>
      </c>
      <c r="L2629">
        <v>8</v>
      </c>
      <c r="M2629">
        <v>28</v>
      </c>
      <c r="N2629">
        <v>19620</v>
      </c>
      <c r="O2629" s="2">
        <v>6.83E-2</v>
      </c>
      <c r="P2629" s="2">
        <v>1.4E-2</v>
      </c>
      <c r="Q2629" s="2">
        <v>1.09E-2</v>
      </c>
      <c r="R2629">
        <v>1000</v>
      </c>
      <c r="S2629">
        <v>17</v>
      </c>
      <c r="T2629">
        <v>42980</v>
      </c>
      <c r="U2629">
        <v>10343</v>
      </c>
      <c r="V2629" s="2">
        <v>0.1027</v>
      </c>
      <c r="W2629" s="2">
        <v>7.3000000000000001E-3</v>
      </c>
      <c r="X2629">
        <v>11367</v>
      </c>
      <c r="Y2629" s="2">
        <v>0.13589999999999999</v>
      </c>
      <c r="Z2629" s="2">
        <v>6.7999999999999996E-3</v>
      </c>
    </row>
    <row r="2630" spans="1:26" x14ac:dyDescent="0.25">
      <c r="K2630" s="2">
        <v>3.0700000000000002E-2</v>
      </c>
      <c r="L2630">
        <v>16</v>
      </c>
      <c r="M2630">
        <v>44</v>
      </c>
      <c r="N2630">
        <v>20780</v>
      </c>
      <c r="O2630" s="2">
        <v>6.9699999999999998E-2</v>
      </c>
      <c r="P2630" s="2">
        <v>1.32E-2</v>
      </c>
      <c r="Q2630" s="2">
        <v>1.0500000000000001E-2</v>
      </c>
      <c r="R2630">
        <v>1447</v>
      </c>
      <c r="S2630">
        <v>25</v>
      </c>
      <c r="T2630">
        <v>59565</v>
      </c>
      <c r="U2630">
        <v>14066</v>
      </c>
      <c r="V2630" s="2">
        <v>9.9900000000000003E-2</v>
      </c>
      <c r="W2630" s="2">
        <v>6.4999999999999997E-3</v>
      </c>
      <c r="X2630">
        <v>15775</v>
      </c>
      <c r="Y2630" s="2">
        <v>0.13550000000000001</v>
      </c>
      <c r="Z2630" s="2">
        <v>5.5999999999999999E-3</v>
      </c>
    </row>
    <row r="2631" spans="1:26" x14ac:dyDescent="0.25">
      <c r="K2631" s="2">
        <v>3.04E-2</v>
      </c>
      <c r="L2631">
        <v>17</v>
      </c>
      <c r="M2631">
        <v>59</v>
      </c>
      <c r="N2631">
        <v>20780</v>
      </c>
      <c r="O2631" s="2">
        <v>7.4200000000000002E-2</v>
      </c>
      <c r="P2631" s="2">
        <v>1.5100000000000001E-2</v>
      </c>
      <c r="Q2631" s="2">
        <v>1.1599999999999999E-2</v>
      </c>
      <c r="R2631">
        <v>1735</v>
      </c>
      <c r="S2631">
        <v>29</v>
      </c>
      <c r="T2631">
        <v>72048</v>
      </c>
    </row>
    <row r="2632" spans="1:26" x14ac:dyDescent="0.25">
      <c r="H2632" s="234">
        <v>11440</v>
      </c>
      <c r="I2632" s="290">
        <v>0.15140000000000001</v>
      </c>
      <c r="J2632" s="290">
        <v>1.44E-2</v>
      </c>
    </row>
    <row r="2633" spans="1:26" x14ac:dyDescent="0.25">
      <c r="H2633" s="234">
        <v>8380</v>
      </c>
      <c r="I2633" s="290">
        <v>0.14119999999999999</v>
      </c>
      <c r="J2633" s="290">
        <v>1.49E-2</v>
      </c>
    </row>
    <row r="2634" spans="1:26" x14ac:dyDescent="0.25">
      <c r="G2634" s="291">
        <v>0.54166666666666663</v>
      </c>
      <c r="H2634" s="234"/>
      <c r="I2634" s="234"/>
      <c r="J2634" s="234"/>
      <c r="K2634" s="290">
        <v>1.12E-2</v>
      </c>
      <c r="L2634" s="234">
        <v>3</v>
      </c>
      <c r="M2634" s="234">
        <v>10</v>
      </c>
      <c r="N2634" s="234">
        <v>12920</v>
      </c>
      <c r="O2634" s="290">
        <v>9.2399999999999996E-2</v>
      </c>
      <c r="P2634" s="290">
        <v>8.5000000000000006E-3</v>
      </c>
      <c r="Q2634" s="290">
        <v>8.8999999999999999E-3</v>
      </c>
      <c r="R2634" s="234">
        <v>66</v>
      </c>
      <c r="S2634" s="234">
        <v>12</v>
      </c>
      <c r="T2634" s="234">
        <v>3140</v>
      </c>
      <c r="U2634" s="234">
        <v>4477</v>
      </c>
      <c r="V2634" s="292">
        <v>5.2699999999999997E-2</v>
      </c>
      <c r="W2634" s="234">
        <v>0.49</v>
      </c>
      <c r="X2634" s="234">
        <v>0</v>
      </c>
      <c r="Y2634" s="234">
        <v>0</v>
      </c>
      <c r="Z2634" s="234">
        <v>0</v>
      </c>
    </row>
    <row r="2635" spans="1:26" x14ac:dyDescent="0.25">
      <c r="G2635" s="291">
        <v>0.58333333333333337</v>
      </c>
      <c r="H2635" s="234"/>
      <c r="I2635" s="234"/>
      <c r="J2635" s="234"/>
      <c r="K2635" s="290">
        <v>1.1299999999999999E-2</v>
      </c>
      <c r="L2635" s="234">
        <v>3</v>
      </c>
      <c r="M2635" s="234">
        <v>17</v>
      </c>
      <c r="N2635" s="234">
        <v>6840</v>
      </c>
      <c r="O2635" s="290">
        <v>7.7100000000000002E-2</v>
      </c>
      <c r="P2635" s="290">
        <v>8.6999999999999994E-3</v>
      </c>
      <c r="Q2635" s="290">
        <v>8.0000000000000002E-3</v>
      </c>
      <c r="R2635" s="234">
        <v>117</v>
      </c>
      <c r="S2635" s="234">
        <v>24</v>
      </c>
      <c r="T2635" s="234">
        <v>6771</v>
      </c>
      <c r="U2635" s="234">
        <v>7773</v>
      </c>
      <c r="V2635" s="234">
        <v>5.82</v>
      </c>
      <c r="W2635" s="234">
        <v>0.54</v>
      </c>
      <c r="X2635" s="234">
        <v>0</v>
      </c>
      <c r="Y2635" s="234">
        <v>0</v>
      </c>
      <c r="Z2635" s="234">
        <v>0</v>
      </c>
    </row>
    <row r="2636" spans="1:26" x14ac:dyDescent="0.25">
      <c r="G2636" s="291">
        <v>0.625</v>
      </c>
      <c r="K2636" s="234"/>
      <c r="L2636" s="234"/>
      <c r="M2636" s="234"/>
      <c r="N2636" s="234"/>
      <c r="O2636" s="234"/>
      <c r="P2636" s="234"/>
      <c r="Q2636" s="234"/>
      <c r="R2636" s="234"/>
      <c r="S2636" s="234"/>
      <c r="T2636" s="234"/>
      <c r="U2636" s="234"/>
      <c r="V2636" s="234"/>
      <c r="W2636" s="234"/>
      <c r="X2636" s="234"/>
      <c r="Y2636" s="234"/>
      <c r="Z2636" s="234"/>
    </row>
    <row r="2637" spans="1:26" x14ac:dyDescent="0.25">
      <c r="G2637" s="234"/>
      <c r="K2637" s="234"/>
      <c r="L2637" s="234"/>
      <c r="M2637" s="234"/>
      <c r="N2637" s="234"/>
      <c r="O2637" s="234"/>
      <c r="P2637" s="234"/>
      <c r="Q2637" s="234"/>
      <c r="R2637" s="234"/>
      <c r="S2637" s="234"/>
      <c r="T2637" s="234"/>
      <c r="U2637" s="234"/>
      <c r="V2637" s="234"/>
      <c r="W2637" s="234"/>
      <c r="X2637" s="234"/>
      <c r="Y2637" s="234"/>
      <c r="Z2637" s="234"/>
    </row>
    <row r="6526" spans="9:9" x14ac:dyDescent="0.25">
      <c r="I6526" s="289">
        <v>0.79236111111111107</v>
      </c>
    </row>
    <row r="6573" spans="9:29" x14ac:dyDescent="0.25">
      <c r="I6573" s="289">
        <v>0.78125</v>
      </c>
    </row>
    <row r="6575" spans="9:29" x14ac:dyDescent="0.25">
      <c r="AC6575">
        <v>21746739</v>
      </c>
    </row>
    <row r="6579" spans="1:30" x14ac:dyDescent="0.25">
      <c r="A6579" s="288">
        <v>44046</v>
      </c>
    </row>
    <row r="6588" spans="1:30" x14ac:dyDescent="0.25">
      <c r="H6588" s="293"/>
    </row>
    <row r="6590" spans="1:30" x14ac:dyDescent="0.25">
      <c r="J6590" t="str">
        <f>TEXT(I6590-H6590, "h:mm")</f>
        <v>0:00</v>
      </c>
      <c r="R6590" t="s">
        <v>20941</v>
      </c>
      <c r="AD6590" t="s">
        <v>20942</v>
      </c>
    </row>
    <row r="6591" spans="1:30" x14ac:dyDescent="0.25">
      <c r="R6591" t="s">
        <v>20943</v>
      </c>
      <c r="AD6591" t="s">
        <v>20942</v>
      </c>
    </row>
    <row r="6592" spans="1:30" x14ac:dyDescent="0.25">
      <c r="A6592" s="288">
        <v>44047</v>
      </c>
      <c r="D6592" s="289">
        <v>0.16666666666666666</v>
      </c>
      <c r="F6592" s="289"/>
      <c r="I6592" s="289">
        <v>0.14166666666666666</v>
      </c>
      <c r="R6592" t="s">
        <v>20944</v>
      </c>
      <c r="AD6592" t="s">
        <v>20942</v>
      </c>
    </row>
    <row r="6593" spans="4:30" x14ac:dyDescent="0.25">
      <c r="H6593" s="289">
        <v>0.16527777777777777</v>
      </c>
      <c r="R6593" t="s">
        <v>20944</v>
      </c>
      <c r="AC6593">
        <v>21751457</v>
      </c>
      <c r="AD6593" t="s">
        <v>20942</v>
      </c>
    </row>
    <row r="6594" spans="4:30" x14ac:dyDescent="0.25">
      <c r="R6594" t="s">
        <v>20945</v>
      </c>
      <c r="AC6594">
        <v>21751469</v>
      </c>
      <c r="AD6594" t="s">
        <v>20942</v>
      </c>
    </row>
    <row r="6595" spans="4:30" x14ac:dyDescent="0.25">
      <c r="H6595" s="289">
        <v>0.17152777777777775</v>
      </c>
      <c r="I6595" s="289">
        <v>0.17430555555555557</v>
      </c>
      <c r="K6595" t="s">
        <v>20946</v>
      </c>
      <c r="L6595" t="s">
        <v>20947</v>
      </c>
      <c r="R6595" t="s">
        <v>20948</v>
      </c>
      <c r="U6595" t="s">
        <v>20949</v>
      </c>
      <c r="X6595" t="s">
        <v>20950</v>
      </c>
      <c r="AC6595">
        <v>21751502</v>
      </c>
    </row>
    <row r="6596" spans="4:30" x14ac:dyDescent="0.25">
      <c r="H6596" s="289">
        <v>0.17291666666666669</v>
      </c>
      <c r="I6596" s="289">
        <v>0.17500000000000002</v>
      </c>
    </row>
    <row r="6597" spans="4:30" x14ac:dyDescent="0.25">
      <c r="G6597">
        <v>11639</v>
      </c>
      <c r="H6597" s="289">
        <v>0.17291666666666669</v>
      </c>
      <c r="I6597" s="289">
        <v>0.17569444444444446</v>
      </c>
      <c r="K6597" t="s">
        <v>20951</v>
      </c>
      <c r="L6597" t="s">
        <v>20952</v>
      </c>
      <c r="R6597" t="s">
        <v>20953</v>
      </c>
      <c r="U6597" t="s">
        <v>20954</v>
      </c>
      <c r="X6597" t="s">
        <v>20955</v>
      </c>
      <c r="AC6597">
        <v>21751644</v>
      </c>
    </row>
    <row r="6598" spans="4:30" x14ac:dyDescent="0.25">
      <c r="G6598">
        <v>11640</v>
      </c>
      <c r="H6598" s="289">
        <v>0.19375000000000001</v>
      </c>
      <c r="I6598" s="289">
        <v>0.19652777777777777</v>
      </c>
      <c r="K6598" t="s">
        <v>20956</v>
      </c>
      <c r="L6598" t="s">
        <v>20947</v>
      </c>
      <c r="R6598" t="s">
        <v>20957</v>
      </c>
      <c r="U6598" t="s">
        <v>20949</v>
      </c>
      <c r="AA6598" t="s">
        <v>20958</v>
      </c>
      <c r="AC6598">
        <v>21751671</v>
      </c>
    </row>
    <row r="6599" spans="4:30" x14ac:dyDescent="0.25">
      <c r="G6599">
        <v>11641</v>
      </c>
      <c r="H6599" s="289">
        <v>0.21249999999999999</v>
      </c>
      <c r="I6599" s="289">
        <v>0.21666666666666667</v>
      </c>
      <c r="J6599" t="str">
        <f>TEXT(I6599-H6599, "h:mm")</f>
        <v>0:06</v>
      </c>
      <c r="K6599" t="s">
        <v>20959</v>
      </c>
      <c r="L6599" t="s">
        <v>20947</v>
      </c>
      <c r="R6599" t="s">
        <v>20960</v>
      </c>
      <c r="U6599" t="s">
        <v>20949</v>
      </c>
      <c r="X6599" t="s">
        <v>20961</v>
      </c>
      <c r="AC6599">
        <v>21751681</v>
      </c>
    </row>
    <row r="6600" spans="4:30" x14ac:dyDescent="0.25">
      <c r="D6600" t="s">
        <v>20962</v>
      </c>
      <c r="G6600">
        <v>11642</v>
      </c>
      <c r="H6600" s="289">
        <v>0.22013888888888888</v>
      </c>
      <c r="I6600" s="289">
        <v>0.22361111111111109</v>
      </c>
      <c r="K6600" t="s">
        <v>20963</v>
      </c>
      <c r="L6600" t="s">
        <v>20964</v>
      </c>
      <c r="R6600" t="s">
        <v>20965</v>
      </c>
      <c r="U6600" t="s">
        <v>20966</v>
      </c>
      <c r="X6600" t="s">
        <v>20955</v>
      </c>
      <c r="AC6600">
        <v>21751694</v>
      </c>
    </row>
    <row r="6601" spans="4:30" x14ac:dyDescent="0.25">
      <c r="G6601">
        <v>11643</v>
      </c>
      <c r="H6601" s="289">
        <v>0.22222222222222221</v>
      </c>
      <c r="I6601" s="289">
        <v>0.22500000000000001</v>
      </c>
      <c r="K6601" t="s">
        <v>20967</v>
      </c>
      <c r="L6601" t="s">
        <v>20968</v>
      </c>
      <c r="R6601" t="s">
        <v>20969</v>
      </c>
      <c r="U6601" t="s">
        <v>20970</v>
      </c>
      <c r="X6601" t="s">
        <v>20971</v>
      </c>
      <c r="AA6601" t="s">
        <v>20958</v>
      </c>
      <c r="AC6601">
        <v>21751808</v>
      </c>
    </row>
    <row r="6602" spans="4:30" x14ac:dyDescent="0.25">
      <c r="G6602">
        <v>11644</v>
      </c>
      <c r="H6602" s="289">
        <v>0.22291666666666665</v>
      </c>
      <c r="I6602" s="289">
        <v>0.22500000000000001</v>
      </c>
      <c r="K6602" t="s">
        <v>20972</v>
      </c>
      <c r="L6602" t="s">
        <v>20973</v>
      </c>
      <c r="R6602" t="s">
        <v>20974</v>
      </c>
      <c r="U6602" t="s">
        <v>20975</v>
      </c>
      <c r="AA6602" t="s">
        <v>20958</v>
      </c>
      <c r="AC6602">
        <v>21751907</v>
      </c>
    </row>
    <row r="6603" spans="4:30" x14ac:dyDescent="0.25">
      <c r="G6603">
        <v>11645</v>
      </c>
      <c r="H6603" s="289">
        <v>0.23819444444444446</v>
      </c>
      <c r="I6603" s="289">
        <v>0.24444444444444446</v>
      </c>
      <c r="K6603" t="s">
        <v>20956</v>
      </c>
      <c r="L6603" t="s">
        <v>20947</v>
      </c>
      <c r="R6603" t="s">
        <v>20976</v>
      </c>
      <c r="U6603" t="s">
        <v>20949</v>
      </c>
      <c r="X6603" t="s">
        <v>20955</v>
      </c>
      <c r="AC6603">
        <v>21751871</v>
      </c>
    </row>
    <row r="6604" spans="4:30" x14ac:dyDescent="0.25">
      <c r="G6604">
        <v>11646</v>
      </c>
      <c r="H6604" s="289">
        <v>0.25694444444444448</v>
      </c>
      <c r="I6604" s="289">
        <v>0.26111111111111113</v>
      </c>
      <c r="K6604" t="s">
        <v>20963</v>
      </c>
      <c r="L6604" t="s">
        <v>20964</v>
      </c>
      <c r="R6604" t="s">
        <v>20965</v>
      </c>
      <c r="U6604" t="s">
        <v>20966</v>
      </c>
      <c r="X6604" t="s">
        <v>20961</v>
      </c>
      <c r="AC6604">
        <v>21751899</v>
      </c>
    </row>
    <row r="6605" spans="4:30" x14ac:dyDescent="0.25">
      <c r="G6605">
        <v>11647</v>
      </c>
      <c r="H6605" s="289">
        <v>0.26111111111111113</v>
      </c>
      <c r="I6605" s="289">
        <v>0.26527777777777778</v>
      </c>
      <c r="K6605" t="s">
        <v>20977</v>
      </c>
      <c r="L6605" t="s">
        <v>20978</v>
      </c>
      <c r="R6605" t="s">
        <v>20979</v>
      </c>
      <c r="U6605" t="s">
        <v>20970</v>
      </c>
      <c r="X6605" t="s">
        <v>20980</v>
      </c>
      <c r="AA6605" t="s">
        <v>20958</v>
      </c>
      <c r="AC6605">
        <v>21751937</v>
      </c>
    </row>
    <row r="6606" spans="4:30" x14ac:dyDescent="0.25">
      <c r="G6606">
        <v>11648</v>
      </c>
      <c r="H6606" s="289">
        <v>0.2638888888888889</v>
      </c>
      <c r="I6606" s="289">
        <v>0.26597222222222222</v>
      </c>
      <c r="K6606" t="s">
        <v>20956</v>
      </c>
      <c r="L6606" t="s">
        <v>20947</v>
      </c>
      <c r="R6606" t="s">
        <v>20981</v>
      </c>
      <c r="U6606" t="s">
        <v>20949</v>
      </c>
      <c r="X6606" t="s">
        <v>20950</v>
      </c>
      <c r="AA6606" t="s">
        <v>20958</v>
      </c>
      <c r="AC6606">
        <v>21752082</v>
      </c>
    </row>
    <row r="6607" spans="4:30" x14ac:dyDescent="0.25">
      <c r="G6607">
        <v>11649</v>
      </c>
      <c r="H6607" s="289">
        <v>0.2673611111111111</v>
      </c>
      <c r="K6607" t="s">
        <v>20982</v>
      </c>
      <c r="L6607" t="s">
        <v>20947</v>
      </c>
      <c r="R6607" t="s">
        <v>20983</v>
      </c>
      <c r="X6607" t="s">
        <v>20955</v>
      </c>
      <c r="AC6607">
        <v>21752466</v>
      </c>
    </row>
    <row r="6608" spans="4:30" x14ac:dyDescent="0.25">
      <c r="G6608">
        <v>11650</v>
      </c>
      <c r="H6608" s="289">
        <v>0.26944444444444443</v>
      </c>
      <c r="I6608" s="289">
        <v>0.27152777777777776</v>
      </c>
      <c r="K6608" t="s">
        <v>20984</v>
      </c>
      <c r="L6608" t="s">
        <v>20964</v>
      </c>
      <c r="R6608" t="s">
        <v>20965</v>
      </c>
      <c r="U6608" t="s">
        <v>20966</v>
      </c>
      <c r="X6608" t="s">
        <v>20961</v>
      </c>
      <c r="AC6608">
        <v>21752480</v>
      </c>
    </row>
    <row r="6609" spans="1:29" x14ac:dyDescent="0.25">
      <c r="G6609">
        <v>11651</v>
      </c>
      <c r="H6609" s="289">
        <v>0.2722222222222222</v>
      </c>
      <c r="I6609" s="289">
        <v>0.27499999999999997</v>
      </c>
      <c r="K6609" t="s">
        <v>20985</v>
      </c>
      <c r="L6609" t="s">
        <v>20986</v>
      </c>
      <c r="X6609" t="s">
        <v>20950</v>
      </c>
      <c r="AA6609" t="s">
        <v>20958</v>
      </c>
    </row>
    <row r="6610" spans="1:29" x14ac:dyDescent="0.25">
      <c r="G6610">
        <v>11652</v>
      </c>
      <c r="H6610" s="289">
        <v>0.2722222222222222</v>
      </c>
      <c r="I6610" s="289">
        <v>0.27430555555555552</v>
      </c>
      <c r="K6610" t="s">
        <v>20987</v>
      </c>
      <c r="L6610" t="s">
        <v>20964</v>
      </c>
      <c r="R6610" t="s">
        <v>20965</v>
      </c>
      <c r="U6610" t="s">
        <v>20966</v>
      </c>
      <c r="X6610" t="s">
        <v>20961</v>
      </c>
      <c r="AC6610">
        <v>21752606</v>
      </c>
    </row>
    <row r="6611" spans="1:29" x14ac:dyDescent="0.25">
      <c r="G6611">
        <v>11653</v>
      </c>
      <c r="H6611" s="289">
        <v>0.27430555555555552</v>
      </c>
      <c r="I6611" s="289">
        <v>0.27777777777777779</v>
      </c>
      <c r="J6611" t="b">
        <f>J6625=TEXT(I6611-H6611, "h:mm")</f>
        <v>0</v>
      </c>
      <c r="K6611" t="s">
        <v>20963</v>
      </c>
      <c r="L6611" t="s">
        <v>20964</v>
      </c>
      <c r="R6611" t="s">
        <v>20965</v>
      </c>
      <c r="U6611" t="s">
        <v>20966</v>
      </c>
      <c r="AA6611" t="s">
        <v>20988</v>
      </c>
      <c r="AC6611">
        <v>21752613</v>
      </c>
    </row>
    <row r="6612" spans="1:29" x14ac:dyDescent="0.25">
      <c r="G6612">
        <v>11654</v>
      </c>
      <c r="H6612" s="289">
        <v>0.27499999999999997</v>
      </c>
      <c r="I6612" s="289">
        <v>0.27708333333333335</v>
      </c>
      <c r="K6612" t="s">
        <v>20989</v>
      </c>
      <c r="L6612" t="s">
        <v>20964</v>
      </c>
      <c r="R6612" t="s">
        <v>20965</v>
      </c>
      <c r="U6612" t="s">
        <v>20966</v>
      </c>
      <c r="X6612" t="s">
        <v>20961</v>
      </c>
      <c r="AC6612">
        <v>21752620</v>
      </c>
    </row>
    <row r="6613" spans="1:29" x14ac:dyDescent="0.25">
      <c r="G6613">
        <v>11655</v>
      </c>
      <c r="H6613" s="289">
        <v>0.27638888888888885</v>
      </c>
      <c r="I6613" s="289">
        <v>0.27916666666666667</v>
      </c>
      <c r="K6613" t="s">
        <v>20956</v>
      </c>
      <c r="L6613" t="s">
        <v>20947</v>
      </c>
      <c r="R6613" t="s">
        <v>20957</v>
      </c>
      <c r="U6613" t="s">
        <v>20949</v>
      </c>
      <c r="AA6613" t="s">
        <v>20958</v>
      </c>
      <c r="AC6613">
        <v>21752629</v>
      </c>
    </row>
    <row r="6614" spans="1:29" x14ac:dyDescent="0.25">
      <c r="G6614">
        <v>11656</v>
      </c>
      <c r="H6614" s="289">
        <v>0.27916666666666667</v>
      </c>
      <c r="I6614" s="289">
        <v>0.28125</v>
      </c>
      <c r="K6614" t="s">
        <v>20984</v>
      </c>
      <c r="L6614" t="s">
        <v>20964</v>
      </c>
      <c r="R6614" t="s">
        <v>20965</v>
      </c>
      <c r="U6614" t="s">
        <v>20966</v>
      </c>
      <c r="X6614" t="s">
        <v>20961</v>
      </c>
      <c r="AC6614">
        <v>21752649</v>
      </c>
    </row>
    <row r="6615" spans="1:29" x14ac:dyDescent="0.25">
      <c r="G6615">
        <v>11657</v>
      </c>
      <c r="H6615" s="289">
        <v>0.28402777777777777</v>
      </c>
      <c r="I6615" s="289">
        <v>0.28611111111111115</v>
      </c>
      <c r="K6615" t="s">
        <v>20990</v>
      </c>
      <c r="L6615" t="s">
        <v>20952</v>
      </c>
      <c r="R6615" t="s">
        <v>20991</v>
      </c>
      <c r="U6615" t="s">
        <v>20992</v>
      </c>
      <c r="X6615" t="s">
        <v>20993</v>
      </c>
      <c r="AC6615">
        <v>21752705</v>
      </c>
    </row>
    <row r="6616" spans="1:29" x14ac:dyDescent="0.25">
      <c r="G6616">
        <v>11658</v>
      </c>
      <c r="H6616" s="289">
        <v>0.28888888888888892</v>
      </c>
      <c r="I6616" s="289">
        <v>0.29444444444444445</v>
      </c>
      <c r="K6616" t="s">
        <v>20994</v>
      </c>
      <c r="L6616" t="s">
        <v>20995</v>
      </c>
      <c r="R6616" t="s">
        <v>20996</v>
      </c>
      <c r="U6616" t="s">
        <v>20992</v>
      </c>
      <c r="X6616" t="s">
        <v>20961</v>
      </c>
      <c r="AC6616">
        <v>21752713</v>
      </c>
    </row>
    <row r="6617" spans="1:29" x14ac:dyDescent="0.25">
      <c r="G6617">
        <v>11659</v>
      </c>
      <c r="H6617" s="289">
        <v>0.29444444444444445</v>
      </c>
      <c r="I6617" s="289">
        <v>0.29722222222222222</v>
      </c>
      <c r="K6617" t="s">
        <v>20963</v>
      </c>
      <c r="L6617" t="s">
        <v>20964</v>
      </c>
      <c r="R6617" t="s">
        <v>20965</v>
      </c>
      <c r="U6617" t="s">
        <v>20966</v>
      </c>
      <c r="X6617" t="s">
        <v>20955</v>
      </c>
      <c r="AC6617">
        <v>21752719</v>
      </c>
    </row>
    <row r="6618" spans="1:29" x14ac:dyDescent="0.25">
      <c r="G6618">
        <v>11660</v>
      </c>
      <c r="H6618" s="289">
        <v>0.3</v>
      </c>
      <c r="I6618" s="289">
        <v>0.30208333333333331</v>
      </c>
      <c r="K6618" t="s">
        <v>20982</v>
      </c>
      <c r="L6618" t="s">
        <v>20947</v>
      </c>
      <c r="U6618" t="s">
        <v>20949</v>
      </c>
      <c r="X6618" t="s">
        <v>20955</v>
      </c>
      <c r="AC6618">
        <v>21752726</v>
      </c>
    </row>
    <row r="6619" spans="1:29" x14ac:dyDescent="0.25">
      <c r="G6619">
        <v>11661</v>
      </c>
      <c r="H6619" s="289">
        <v>0.30277777777777776</v>
      </c>
      <c r="I6619" s="289">
        <v>0.30555555555555552</v>
      </c>
      <c r="K6619" t="s">
        <v>20997</v>
      </c>
      <c r="L6619" t="s">
        <v>20952</v>
      </c>
      <c r="R6619" t="s">
        <v>20998</v>
      </c>
      <c r="U6619" t="s">
        <v>20992</v>
      </c>
      <c r="X6619" t="s">
        <v>20961</v>
      </c>
      <c r="AC6619">
        <v>21752738</v>
      </c>
    </row>
    <row r="6620" spans="1:29" x14ac:dyDescent="0.25">
      <c r="G6620">
        <v>11662</v>
      </c>
      <c r="H6620" s="289">
        <v>0.31944444444444448</v>
      </c>
      <c r="I6620" s="289">
        <v>0.32291666666666669</v>
      </c>
      <c r="K6620" t="s">
        <v>20959</v>
      </c>
      <c r="L6620" t="s">
        <v>20947</v>
      </c>
      <c r="R6620" t="s">
        <v>20960</v>
      </c>
      <c r="U6620" t="s">
        <v>20949</v>
      </c>
      <c r="AA6620" t="s">
        <v>20999</v>
      </c>
      <c r="AC6620">
        <v>21752742</v>
      </c>
    </row>
    <row r="6621" spans="1:29" x14ac:dyDescent="0.25">
      <c r="G6621">
        <v>11663</v>
      </c>
      <c r="H6621" s="289">
        <v>0.32083333333333336</v>
      </c>
      <c r="I6621" s="289">
        <v>0.32430555555555557</v>
      </c>
      <c r="K6621" t="s">
        <v>21000</v>
      </c>
      <c r="L6621" t="s">
        <v>20964</v>
      </c>
      <c r="R6621" t="s">
        <v>20965</v>
      </c>
      <c r="U6621" t="s">
        <v>20966</v>
      </c>
      <c r="X6621" t="s">
        <v>20955</v>
      </c>
      <c r="AC6621">
        <v>21752745</v>
      </c>
    </row>
    <row r="6622" spans="1:29" x14ac:dyDescent="0.25">
      <c r="A6622" s="288">
        <v>44047</v>
      </c>
      <c r="B6622" t="s">
        <v>20918</v>
      </c>
      <c r="D6622" s="289">
        <v>0.5</v>
      </c>
      <c r="F6622" s="289"/>
      <c r="G6622">
        <v>11664</v>
      </c>
      <c r="H6622" s="289">
        <v>0.33194444444444443</v>
      </c>
      <c r="K6622" t="s">
        <v>21001</v>
      </c>
      <c r="L6622" t="s">
        <v>20995</v>
      </c>
      <c r="R6622" t="s">
        <v>21002</v>
      </c>
      <c r="U6622" t="s">
        <v>20992</v>
      </c>
      <c r="X6622" t="s">
        <v>20955</v>
      </c>
      <c r="AC6622">
        <v>21752752</v>
      </c>
    </row>
    <row r="6623" spans="1:29" x14ac:dyDescent="0.25">
      <c r="G6623">
        <v>11665</v>
      </c>
      <c r="H6623" s="289">
        <v>0.33194444444444443</v>
      </c>
      <c r="K6623" t="s">
        <v>20967</v>
      </c>
      <c r="L6623" t="s">
        <v>20995</v>
      </c>
      <c r="R6623" t="s">
        <v>21003</v>
      </c>
      <c r="U6623" t="s">
        <v>20992</v>
      </c>
      <c r="X6623" t="s">
        <v>21004</v>
      </c>
      <c r="AA6623" t="s">
        <v>21005</v>
      </c>
      <c r="AC6623">
        <v>21752757</v>
      </c>
    </row>
    <row r="6624" spans="1:29" x14ac:dyDescent="0.25">
      <c r="G6624">
        <v>11666</v>
      </c>
      <c r="H6624" s="266"/>
      <c r="I6624" s="266"/>
      <c r="J6624" s="266"/>
      <c r="K6624" t="s">
        <v>21006</v>
      </c>
      <c r="L6624" t="s">
        <v>21007</v>
      </c>
      <c r="U6624" t="s">
        <v>20992</v>
      </c>
      <c r="X6624" t="s">
        <v>20955</v>
      </c>
      <c r="AC6624">
        <v>21752763</v>
      </c>
    </row>
    <row r="6625" spans="1:31" x14ac:dyDescent="0.25">
      <c r="A6625" t="s">
        <v>21008</v>
      </c>
      <c r="G6625">
        <v>11667</v>
      </c>
      <c r="H6625" s="289">
        <v>0.5</v>
      </c>
      <c r="I6625" s="289">
        <v>0.50069444444444444</v>
      </c>
      <c r="J6625" t="str">
        <f t="shared" ref="J6625:J6646" si="0">TEXT(I6625-H6625, "h:mm")</f>
        <v>0:01</v>
      </c>
      <c r="K6625" t="s">
        <v>21009</v>
      </c>
      <c r="L6625" t="s">
        <v>21007</v>
      </c>
      <c r="U6625" t="s">
        <v>20992</v>
      </c>
      <c r="X6625" t="s">
        <v>20950</v>
      </c>
      <c r="AC6625">
        <v>21752773</v>
      </c>
    </row>
    <row r="6626" spans="1:31" x14ac:dyDescent="0.25">
      <c r="G6626" s="266"/>
      <c r="H6626" s="289">
        <v>0.51597222222222217</v>
      </c>
      <c r="I6626" s="289">
        <v>0.51597222222222217</v>
      </c>
      <c r="J6626" t="str">
        <f t="shared" si="0"/>
        <v>0:00</v>
      </c>
      <c r="K6626" s="266"/>
      <c r="L6626" s="266"/>
      <c r="M6626" s="266"/>
      <c r="N6626" s="266"/>
      <c r="O6626" s="266"/>
      <c r="P6626" s="266"/>
      <c r="Q6626" s="266"/>
      <c r="R6626" s="266"/>
      <c r="S6626" s="266"/>
      <c r="T6626" s="266"/>
      <c r="U6626" s="266"/>
      <c r="V6626" s="266"/>
      <c r="W6626" s="266"/>
      <c r="X6626" s="266"/>
      <c r="Y6626" s="266"/>
      <c r="Z6626" s="266"/>
      <c r="AA6626" s="266"/>
      <c r="AB6626" s="266"/>
      <c r="AC6626" s="266"/>
      <c r="AD6626" s="266"/>
      <c r="AE6626" s="266"/>
    </row>
    <row r="6627" spans="1:31" x14ac:dyDescent="0.25">
      <c r="G6627">
        <v>11668</v>
      </c>
      <c r="H6627" s="289">
        <v>0.51666666666666672</v>
      </c>
      <c r="I6627" s="289">
        <v>0.5180555555555556</v>
      </c>
      <c r="J6627" t="str">
        <f t="shared" si="0"/>
        <v>0:02</v>
      </c>
      <c r="K6627" t="s">
        <v>21010</v>
      </c>
      <c r="L6627" t="s">
        <v>21011</v>
      </c>
      <c r="R6627" t="s">
        <v>21012</v>
      </c>
      <c r="U6627" t="s">
        <v>21013</v>
      </c>
      <c r="X6627" t="s">
        <v>21014</v>
      </c>
    </row>
    <row r="6628" spans="1:31" x14ac:dyDescent="0.25">
      <c r="G6628">
        <v>11669</v>
      </c>
      <c r="H6628" s="289">
        <v>0.52013888888888882</v>
      </c>
      <c r="I6628" s="289">
        <v>0.52083333333333337</v>
      </c>
      <c r="J6628" t="str">
        <f t="shared" si="0"/>
        <v>0:01</v>
      </c>
      <c r="K6628" t="s">
        <v>21001</v>
      </c>
      <c r="L6628" t="s">
        <v>20952</v>
      </c>
      <c r="R6628" t="s">
        <v>21012</v>
      </c>
      <c r="U6628" t="s">
        <v>21015</v>
      </c>
      <c r="X6628" t="s">
        <v>21016</v>
      </c>
      <c r="AA6628" t="s">
        <v>21017</v>
      </c>
    </row>
    <row r="6629" spans="1:31" x14ac:dyDescent="0.25">
      <c r="G6629">
        <v>11670</v>
      </c>
      <c r="H6629" s="289">
        <v>0.52222222222222225</v>
      </c>
      <c r="I6629" s="289">
        <v>0.52222222222222225</v>
      </c>
      <c r="J6629" t="str">
        <f t="shared" si="0"/>
        <v>0:00</v>
      </c>
      <c r="K6629" t="s">
        <v>21018</v>
      </c>
      <c r="L6629" t="s">
        <v>21019</v>
      </c>
      <c r="U6629" t="s">
        <v>21015</v>
      </c>
      <c r="X6629" t="s">
        <v>21014</v>
      </c>
    </row>
    <row r="6630" spans="1:31" x14ac:dyDescent="0.25">
      <c r="G6630">
        <v>11671</v>
      </c>
      <c r="H6630" s="289">
        <v>0.53472222222222221</v>
      </c>
      <c r="I6630" s="289">
        <v>0.53611111111111109</v>
      </c>
      <c r="J6630" t="str">
        <f t="shared" si="0"/>
        <v>0:02</v>
      </c>
      <c r="K6630" t="s">
        <v>21020</v>
      </c>
      <c r="L6630" t="s">
        <v>21021</v>
      </c>
      <c r="R6630" t="s">
        <v>21022</v>
      </c>
      <c r="U6630" t="s">
        <v>21023</v>
      </c>
      <c r="AA6630" t="s">
        <v>21017</v>
      </c>
    </row>
    <row r="6631" spans="1:31" x14ac:dyDescent="0.25">
      <c r="G6631">
        <v>11672</v>
      </c>
      <c r="H6631" s="289">
        <v>0.53888888888888886</v>
      </c>
      <c r="I6631" s="289">
        <v>0.54097222222222219</v>
      </c>
      <c r="J6631" t="str">
        <f t="shared" si="0"/>
        <v>0:03</v>
      </c>
      <c r="K6631" t="s">
        <v>21001</v>
      </c>
      <c r="L6631" t="s">
        <v>20952</v>
      </c>
      <c r="R6631" t="s">
        <v>21024</v>
      </c>
      <c r="U6631" t="s">
        <v>21015</v>
      </c>
      <c r="AA6631" t="s">
        <v>21017</v>
      </c>
    </row>
    <row r="6632" spans="1:31" x14ac:dyDescent="0.25">
      <c r="G6632">
        <v>11673</v>
      </c>
      <c r="H6632" s="289">
        <v>0.55069444444444449</v>
      </c>
      <c r="I6632" s="289">
        <v>0.55555555555555558</v>
      </c>
      <c r="J6632" t="str">
        <f t="shared" si="0"/>
        <v>0:07</v>
      </c>
      <c r="K6632" t="s">
        <v>20956</v>
      </c>
      <c r="L6632" t="s">
        <v>20947</v>
      </c>
      <c r="R6632" t="s">
        <v>21025</v>
      </c>
      <c r="U6632" t="s">
        <v>21026</v>
      </c>
      <c r="X6632" t="s">
        <v>21014</v>
      </c>
    </row>
    <row r="6633" spans="1:31" x14ac:dyDescent="0.25">
      <c r="G6633">
        <v>11674</v>
      </c>
      <c r="H6633" s="289">
        <v>0.57291666666666663</v>
      </c>
      <c r="I6633" s="289">
        <v>0.57638888888888895</v>
      </c>
      <c r="J6633" t="str">
        <f t="shared" si="0"/>
        <v>0:05</v>
      </c>
      <c r="K6633" t="s">
        <v>20956</v>
      </c>
      <c r="L6633" t="s">
        <v>21027</v>
      </c>
      <c r="R6633" t="s">
        <v>21025</v>
      </c>
      <c r="U6633" t="s">
        <v>21028</v>
      </c>
      <c r="X6633" t="s">
        <v>21014</v>
      </c>
    </row>
    <row r="6634" spans="1:31" x14ac:dyDescent="0.25">
      <c r="G6634">
        <v>11675</v>
      </c>
      <c r="H6634" s="289">
        <v>0.58263888888888882</v>
      </c>
      <c r="I6634" s="289">
        <v>0.58750000000000002</v>
      </c>
      <c r="J6634" t="str">
        <f t="shared" si="0"/>
        <v>0:07</v>
      </c>
      <c r="K6634" t="s">
        <v>21029</v>
      </c>
      <c r="L6634" t="s">
        <v>21030</v>
      </c>
      <c r="R6634" t="s">
        <v>21031</v>
      </c>
      <c r="X6634" t="s">
        <v>21014</v>
      </c>
    </row>
    <row r="6635" spans="1:31" x14ac:dyDescent="0.25">
      <c r="G6635">
        <v>11676</v>
      </c>
      <c r="J6635" t="str">
        <f t="shared" si="0"/>
        <v>0:00</v>
      </c>
      <c r="K6635" t="s">
        <v>21032</v>
      </c>
      <c r="L6635" t="s">
        <v>20964</v>
      </c>
      <c r="R6635" t="s">
        <v>21022</v>
      </c>
      <c r="U6635" t="s">
        <v>20966</v>
      </c>
      <c r="X6635" t="s">
        <v>21014</v>
      </c>
    </row>
    <row r="6636" spans="1:31" x14ac:dyDescent="0.25">
      <c r="G6636">
        <v>11677</v>
      </c>
      <c r="J6636" t="str">
        <f t="shared" si="0"/>
        <v>0:00</v>
      </c>
      <c r="K6636" t="s">
        <v>21033</v>
      </c>
      <c r="L6636" t="s">
        <v>21019</v>
      </c>
      <c r="R6636" t="s">
        <v>21034</v>
      </c>
      <c r="U6636" t="s">
        <v>21035</v>
      </c>
      <c r="X6636" t="s">
        <v>21014</v>
      </c>
    </row>
    <row r="6637" spans="1:31" x14ac:dyDescent="0.25">
      <c r="G6637">
        <v>11678</v>
      </c>
      <c r="J6637" t="str">
        <f t="shared" si="0"/>
        <v>0:00</v>
      </c>
    </row>
    <row r="6638" spans="1:31" x14ac:dyDescent="0.25">
      <c r="J6638" t="str">
        <f t="shared" si="0"/>
        <v>0:00</v>
      </c>
    </row>
    <row r="6639" spans="1:31" x14ac:dyDescent="0.25">
      <c r="J6639" t="str">
        <f t="shared" si="0"/>
        <v>0:00</v>
      </c>
    </row>
    <row r="6640" spans="1:31" x14ac:dyDescent="0.25">
      <c r="J6640" t="str">
        <f t="shared" si="0"/>
        <v>0:00</v>
      </c>
    </row>
    <row r="6641" spans="10:10" x14ac:dyDescent="0.25">
      <c r="J6641" t="str">
        <f t="shared" si="0"/>
        <v>0:00</v>
      </c>
    </row>
    <row r="6642" spans="10:10" x14ac:dyDescent="0.25">
      <c r="J6642" t="str">
        <f t="shared" si="0"/>
        <v>0:00</v>
      </c>
    </row>
    <row r="6643" spans="10:10" x14ac:dyDescent="0.25">
      <c r="J6643" t="str">
        <f t="shared" si="0"/>
        <v>0:00</v>
      </c>
    </row>
    <row r="6644" spans="10:10" x14ac:dyDescent="0.25">
      <c r="J6644" t="str">
        <f t="shared" si="0"/>
        <v>0:00</v>
      </c>
    </row>
    <row r="6645" spans="10:10" x14ac:dyDescent="0.25">
      <c r="J6645" t="str">
        <f t="shared" si="0"/>
        <v>0:00</v>
      </c>
    </row>
    <row r="6646" spans="10:10" x14ac:dyDescent="0.25">
      <c r="J6646" t="str">
        <f t="shared" si="0"/>
        <v>0:00</v>
      </c>
    </row>
    <row r="13759" spans="1:6" x14ac:dyDescent="0.25">
      <c r="A13759" s="288">
        <v>44047</v>
      </c>
      <c r="D13759" s="289">
        <v>0.16666666666666666</v>
      </c>
      <c r="F13759" s="289"/>
    </row>
    <row r="13762" spans="1:27" x14ac:dyDescent="0.25">
      <c r="H13762">
        <v>2745</v>
      </c>
      <c r="I13762">
        <v>2459</v>
      </c>
      <c r="J13762">
        <v>2389</v>
      </c>
    </row>
    <row r="13763" spans="1:27" x14ac:dyDescent="0.25">
      <c r="H13763">
        <v>4796</v>
      </c>
      <c r="I13763">
        <v>5434</v>
      </c>
      <c r="J13763">
        <v>4863</v>
      </c>
    </row>
    <row r="13764" spans="1:27" x14ac:dyDescent="0.25">
      <c r="H13764">
        <v>6519</v>
      </c>
      <c r="I13764">
        <v>8501</v>
      </c>
      <c r="J13764">
        <v>7607</v>
      </c>
      <c r="K13764">
        <v>3093</v>
      </c>
      <c r="L13764">
        <v>1411</v>
      </c>
      <c r="M13764">
        <v>1061</v>
      </c>
      <c r="N13764">
        <v>1211</v>
      </c>
      <c r="O13764">
        <v>1391</v>
      </c>
      <c r="P13764">
        <v>1880</v>
      </c>
      <c r="Q13764">
        <v>1273</v>
      </c>
      <c r="R13764">
        <v>908</v>
      </c>
      <c r="S13764">
        <v>914</v>
      </c>
      <c r="T13764">
        <v>322</v>
      </c>
      <c r="U13764">
        <v>373</v>
      </c>
      <c r="V13764">
        <v>506</v>
      </c>
      <c r="W13764">
        <v>557</v>
      </c>
      <c r="X13764">
        <v>575</v>
      </c>
      <c r="Y13764">
        <v>501</v>
      </c>
      <c r="Z13764">
        <v>481</v>
      </c>
      <c r="AA13764">
        <v>0</v>
      </c>
    </row>
    <row r="13765" spans="1:27" x14ac:dyDescent="0.25">
      <c r="H13765">
        <v>7595</v>
      </c>
      <c r="I13765">
        <v>9230</v>
      </c>
      <c r="J13765">
        <v>8702</v>
      </c>
      <c r="K13765">
        <v>6113</v>
      </c>
      <c r="L13765">
        <v>2661</v>
      </c>
      <c r="M13765">
        <v>2274</v>
      </c>
      <c r="N13765">
        <v>2789</v>
      </c>
      <c r="O13765">
        <v>2550</v>
      </c>
      <c r="P13765">
        <v>3864</v>
      </c>
      <c r="Q13765">
        <v>2696</v>
      </c>
      <c r="R13765">
        <v>2092</v>
      </c>
      <c r="S13765">
        <v>2077</v>
      </c>
      <c r="T13765">
        <v>692</v>
      </c>
      <c r="U13765">
        <v>779</v>
      </c>
      <c r="V13765">
        <v>1162</v>
      </c>
      <c r="W13765">
        <v>1110</v>
      </c>
      <c r="X13765">
        <v>1093</v>
      </c>
      <c r="Y13765">
        <v>1034</v>
      </c>
      <c r="Z13765">
        <v>933</v>
      </c>
      <c r="AA13765">
        <v>0</v>
      </c>
    </row>
    <row r="13766" spans="1:27" x14ac:dyDescent="0.25">
      <c r="H13766">
        <v>10062</v>
      </c>
      <c r="I13766">
        <v>11643</v>
      </c>
      <c r="J13766">
        <v>10662</v>
      </c>
      <c r="K13766">
        <v>8024</v>
      </c>
      <c r="L13766">
        <v>4634</v>
      </c>
      <c r="M13766">
        <v>3120</v>
      </c>
      <c r="N13766">
        <v>4251</v>
      </c>
      <c r="O13766">
        <v>3533</v>
      </c>
      <c r="P13766">
        <v>5950</v>
      </c>
      <c r="Q13766">
        <v>4005</v>
      </c>
      <c r="R13766">
        <v>3182</v>
      </c>
      <c r="S13766">
        <v>2818</v>
      </c>
      <c r="T13766">
        <v>1055</v>
      </c>
      <c r="U13766">
        <v>1133</v>
      </c>
      <c r="V13766">
        <v>1755</v>
      </c>
      <c r="W13766">
        <v>1568</v>
      </c>
      <c r="X13766">
        <v>1556</v>
      </c>
      <c r="Y13766">
        <v>1516</v>
      </c>
      <c r="Z13766">
        <v>1374</v>
      </c>
      <c r="AA13766">
        <v>0</v>
      </c>
    </row>
    <row r="13767" spans="1:27" x14ac:dyDescent="0.25">
      <c r="H13767">
        <v>11179</v>
      </c>
      <c r="I13767">
        <v>12562</v>
      </c>
      <c r="J13767">
        <v>11858</v>
      </c>
      <c r="K13767">
        <v>9123</v>
      </c>
      <c r="L13767">
        <v>5703</v>
      </c>
      <c r="M13767">
        <v>3847</v>
      </c>
      <c r="N13767">
        <v>4852</v>
      </c>
      <c r="O13767">
        <v>3919</v>
      </c>
      <c r="P13767">
        <v>7014</v>
      </c>
      <c r="Q13767">
        <v>4643</v>
      </c>
      <c r="R13767">
        <v>3634</v>
      </c>
      <c r="S13767">
        <v>3484</v>
      </c>
      <c r="T13767">
        <v>1252</v>
      </c>
      <c r="U13767">
        <v>1288</v>
      </c>
      <c r="V13767">
        <v>2024</v>
      </c>
      <c r="W13767">
        <v>1774</v>
      </c>
      <c r="X13767">
        <v>1840</v>
      </c>
      <c r="Y13767">
        <v>1848</v>
      </c>
      <c r="Z13767">
        <v>1654</v>
      </c>
      <c r="AA13767">
        <v>0</v>
      </c>
    </row>
    <row r="13768" spans="1:27" x14ac:dyDescent="0.25">
      <c r="H13768">
        <v>12589</v>
      </c>
      <c r="I13768">
        <v>14182</v>
      </c>
      <c r="J13768">
        <v>13132</v>
      </c>
      <c r="K13768">
        <v>12540</v>
      </c>
      <c r="L13768">
        <v>9210</v>
      </c>
      <c r="M13768">
        <v>5072</v>
      </c>
      <c r="N13768">
        <v>6390</v>
      </c>
      <c r="O13768">
        <v>4828</v>
      </c>
      <c r="P13768">
        <v>9316</v>
      </c>
      <c r="Q13768">
        <v>6224</v>
      </c>
      <c r="R13768">
        <v>4896</v>
      </c>
      <c r="S13768">
        <v>4545</v>
      </c>
      <c r="T13768">
        <v>1664</v>
      </c>
      <c r="U13768">
        <v>1823</v>
      </c>
    </row>
    <row r="13769" spans="1:27" x14ac:dyDescent="0.25">
      <c r="K13769">
        <v>14371</v>
      </c>
      <c r="L13769">
        <v>10463</v>
      </c>
      <c r="M13769">
        <v>5599</v>
      </c>
      <c r="N13769">
        <v>6988</v>
      </c>
      <c r="O13769">
        <v>5298</v>
      </c>
      <c r="P13769">
        <v>10415</v>
      </c>
      <c r="Q13769">
        <v>7054</v>
      </c>
      <c r="R13769">
        <v>5510</v>
      </c>
      <c r="S13769">
        <v>5217</v>
      </c>
      <c r="T13769">
        <v>1891</v>
      </c>
      <c r="U13769">
        <v>2087</v>
      </c>
      <c r="V13769">
        <v>2955</v>
      </c>
      <c r="W13769">
        <v>2728</v>
      </c>
      <c r="X13769">
        <v>2650</v>
      </c>
      <c r="Y13769">
        <v>2678</v>
      </c>
      <c r="Z13769">
        <v>2422</v>
      </c>
      <c r="AA13769">
        <v>0</v>
      </c>
    </row>
    <row r="13770" spans="1:27" x14ac:dyDescent="0.25">
      <c r="A13770" s="288">
        <v>44047</v>
      </c>
      <c r="B13770" t="s">
        <v>20918</v>
      </c>
      <c r="D13770" s="289">
        <v>0.5</v>
      </c>
      <c r="F13770" s="289"/>
      <c r="K13770">
        <v>16529</v>
      </c>
      <c r="L13770">
        <v>12810</v>
      </c>
      <c r="M13770">
        <v>7152</v>
      </c>
      <c r="N13770">
        <v>7965</v>
      </c>
      <c r="O13770">
        <v>5642</v>
      </c>
      <c r="P13770">
        <v>11443</v>
      </c>
      <c r="Q13770">
        <v>7828</v>
      </c>
      <c r="R13770">
        <v>6203</v>
      </c>
      <c r="S13770">
        <v>6119</v>
      </c>
      <c r="T13770">
        <v>2070</v>
      </c>
      <c r="U13770">
        <v>2345</v>
      </c>
      <c r="V13770">
        <v>3255</v>
      </c>
      <c r="W13770">
        <v>3062</v>
      </c>
      <c r="X13770">
        <v>3112</v>
      </c>
      <c r="Y13770">
        <v>3072</v>
      </c>
      <c r="Z13770">
        <v>2754</v>
      </c>
      <c r="AA13770">
        <v>0</v>
      </c>
    </row>
    <row r="13771" spans="1:27" x14ac:dyDescent="0.25">
      <c r="A13771" t="s">
        <v>21036</v>
      </c>
    </row>
    <row r="13773" spans="1:27" x14ac:dyDescent="0.25">
      <c r="H13773" s="234">
        <v>902</v>
      </c>
      <c r="I13773" s="234">
        <v>1276</v>
      </c>
      <c r="J13773" s="234">
        <v>870</v>
      </c>
    </row>
    <row r="13774" spans="1:27" x14ac:dyDescent="0.25">
      <c r="H13774" s="234">
        <v>2101</v>
      </c>
      <c r="I13774" s="234">
        <v>2595</v>
      </c>
      <c r="J13774" s="234">
        <v>1915</v>
      </c>
    </row>
    <row r="13775" spans="1:27" x14ac:dyDescent="0.25">
      <c r="G13775" s="291">
        <v>0.52083333333333337</v>
      </c>
      <c r="H13775" s="234">
        <v>3315</v>
      </c>
      <c r="I13775" s="234">
        <v>3811</v>
      </c>
      <c r="J13775" s="234">
        <v>3815</v>
      </c>
      <c r="K13775" s="234">
        <v>1497</v>
      </c>
      <c r="L13775" s="234">
        <v>418</v>
      </c>
      <c r="M13775" s="234">
        <v>728</v>
      </c>
      <c r="N13775" s="234">
        <v>805</v>
      </c>
      <c r="O13775" s="234">
        <v>969</v>
      </c>
      <c r="P13775" s="234">
        <v>736</v>
      </c>
      <c r="Q13775" s="234">
        <v>0</v>
      </c>
      <c r="R13775" s="234">
        <v>0</v>
      </c>
      <c r="S13775" s="234">
        <v>0</v>
      </c>
      <c r="T13775" s="234">
        <v>0</v>
      </c>
      <c r="U13775" s="234">
        <v>0</v>
      </c>
      <c r="V13775" s="234">
        <v>0</v>
      </c>
      <c r="W13775" s="234">
        <v>0</v>
      </c>
      <c r="X13775" s="234">
        <v>0</v>
      </c>
      <c r="Y13775" s="234">
        <v>0</v>
      </c>
      <c r="Z13775" s="234">
        <v>0</v>
      </c>
      <c r="AA13775" s="234">
        <v>2</v>
      </c>
    </row>
    <row r="13776" spans="1:27" x14ac:dyDescent="0.25">
      <c r="G13776" s="291">
        <v>0.54166666666666663</v>
      </c>
      <c r="H13776" s="234">
        <v>3730</v>
      </c>
      <c r="I13776" s="234">
        <v>5031</v>
      </c>
      <c r="J13776" s="234">
        <v>4526</v>
      </c>
      <c r="K13776" s="234">
        <v>2835</v>
      </c>
      <c r="L13776" s="234">
        <v>1216</v>
      </c>
      <c r="M13776" s="234">
        <v>1635</v>
      </c>
      <c r="N13776" s="234">
        <v>1651</v>
      </c>
      <c r="O13776" s="234">
        <v>2816</v>
      </c>
      <c r="P13776" s="234">
        <v>1748</v>
      </c>
      <c r="Q13776" s="234">
        <v>0</v>
      </c>
      <c r="R13776" s="234">
        <v>0</v>
      </c>
      <c r="S13776" s="234">
        <v>0</v>
      </c>
      <c r="T13776" s="234">
        <v>0</v>
      </c>
      <c r="U13776" s="234">
        <v>0</v>
      </c>
      <c r="V13776" s="234">
        <v>0</v>
      </c>
      <c r="W13776" s="234">
        <v>0</v>
      </c>
      <c r="X13776" s="234">
        <v>0</v>
      </c>
      <c r="Y13776" s="234">
        <v>0</v>
      </c>
      <c r="Z13776" s="234">
        <v>0</v>
      </c>
      <c r="AA13776" s="234">
        <v>3</v>
      </c>
    </row>
    <row r="13777" spans="7:27" x14ac:dyDescent="0.25">
      <c r="G13777" s="291">
        <v>0.5625</v>
      </c>
      <c r="H13777" s="234"/>
      <c r="I13777" s="234"/>
      <c r="J13777" s="234"/>
      <c r="K13777" s="234">
        <v>3862</v>
      </c>
      <c r="L13777" s="234">
        <v>1806</v>
      </c>
      <c r="M13777" s="234">
        <v>3185</v>
      </c>
      <c r="N13777" s="234">
        <v>2680</v>
      </c>
      <c r="O13777" s="234">
        <v>4282</v>
      </c>
      <c r="P13777" s="234">
        <v>2777</v>
      </c>
      <c r="Q13777" s="234">
        <v>0</v>
      </c>
      <c r="R13777" s="234">
        <v>0</v>
      </c>
      <c r="S13777" s="234">
        <v>0</v>
      </c>
      <c r="T13777" s="234">
        <v>0</v>
      </c>
      <c r="U13777" s="234">
        <v>0</v>
      </c>
      <c r="V13777" s="234">
        <v>0</v>
      </c>
      <c r="W13777" s="234">
        <v>0</v>
      </c>
      <c r="X13777" s="234">
        <v>0</v>
      </c>
      <c r="Y13777" s="234">
        <v>0</v>
      </c>
      <c r="Z13777" s="234">
        <v>0</v>
      </c>
      <c r="AA13777" s="234">
        <v>4</v>
      </c>
    </row>
    <row r="13778" spans="7:27" x14ac:dyDescent="0.25">
      <c r="G13778" s="291">
        <v>0.58333333333333337</v>
      </c>
      <c r="H13778" s="234"/>
      <c r="I13778" s="234"/>
      <c r="J13778" s="234"/>
      <c r="K13778" s="234">
        <v>4765</v>
      </c>
      <c r="L13778" s="234">
        <v>2055</v>
      </c>
      <c r="M13778" s="234">
        <v>3829</v>
      </c>
      <c r="N13778" s="234">
        <v>3402</v>
      </c>
      <c r="O13778" s="234">
        <v>5141</v>
      </c>
      <c r="P13778" s="234">
        <v>3426</v>
      </c>
      <c r="Q13778" s="234">
        <v>0</v>
      </c>
      <c r="R13778" s="234">
        <v>0</v>
      </c>
      <c r="S13778" s="234">
        <v>0</v>
      </c>
      <c r="T13778" s="234">
        <v>0</v>
      </c>
      <c r="U13778" s="234">
        <v>0</v>
      </c>
      <c r="V13778" s="234">
        <v>0</v>
      </c>
      <c r="W13778" s="234">
        <v>0</v>
      </c>
      <c r="X13778" s="234">
        <v>0</v>
      </c>
      <c r="Y13778" s="234">
        <v>0</v>
      </c>
      <c r="Z13778" s="234">
        <v>0</v>
      </c>
      <c r="AA13778" s="234">
        <v>5</v>
      </c>
    </row>
    <row r="13779" spans="7:27" x14ac:dyDescent="0.25">
      <c r="G13779" s="291">
        <v>0.60416666666666663</v>
      </c>
      <c r="H13779" s="234"/>
      <c r="I13779" s="234"/>
      <c r="J13779" s="234"/>
      <c r="K13779" s="234"/>
      <c r="L13779" s="234"/>
      <c r="M13779" s="234"/>
      <c r="N13779" s="234"/>
      <c r="O13779" s="234"/>
      <c r="P13779" s="234"/>
      <c r="Q13779" s="234"/>
      <c r="R13779" s="234"/>
      <c r="S13779" s="234"/>
      <c r="T13779" s="234"/>
      <c r="U13779" s="234"/>
      <c r="V13779" s="234"/>
      <c r="W13779" s="234"/>
      <c r="X13779" s="234"/>
      <c r="Y13779" s="234"/>
      <c r="Z13779" s="234"/>
      <c r="AA13779" s="234"/>
    </row>
    <row r="13780" spans="7:27" x14ac:dyDescent="0.25">
      <c r="G13780" s="291">
        <v>0.625</v>
      </c>
      <c r="K13780" s="234"/>
      <c r="L13780" s="234"/>
      <c r="M13780" s="234"/>
      <c r="N13780" s="234"/>
      <c r="O13780" s="234"/>
      <c r="P13780" s="234"/>
      <c r="Q13780" s="234"/>
      <c r="R13780" s="234"/>
      <c r="S13780" s="234"/>
      <c r="T13780" s="234"/>
      <c r="U13780" s="234"/>
      <c r="V13780" s="234"/>
      <c r="W13780" s="234"/>
      <c r="X13780" s="234"/>
      <c r="Y13780" s="234"/>
      <c r="Z13780" s="234"/>
      <c r="AA13780" s="234"/>
    </row>
    <row r="13781" spans="7:27" x14ac:dyDescent="0.25">
      <c r="G13781" s="291">
        <v>0.64583333333333337</v>
      </c>
      <c r="K13781" s="234"/>
      <c r="L13781" s="234"/>
      <c r="M13781" s="234"/>
      <c r="N13781" s="234"/>
      <c r="O13781" s="234"/>
      <c r="P13781" s="234"/>
      <c r="Q13781" s="234"/>
      <c r="R13781" s="234"/>
      <c r="S13781" s="234"/>
      <c r="T13781" s="234"/>
      <c r="U13781" s="234"/>
      <c r="V13781" s="234"/>
      <c r="W13781" s="234"/>
      <c r="X13781" s="234"/>
      <c r="Y13781" s="234"/>
      <c r="Z13781" s="234"/>
      <c r="AA13781" s="234"/>
    </row>
  </sheetData>
  <mergeCells count="2">
    <mergeCell ref="A1:D1"/>
    <mergeCell ref="G1:I1"/>
  </mergeCells>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BB46"/>
  <sheetViews>
    <sheetView view="pageBreakPreview" zoomScaleNormal="100" zoomScaleSheetLayoutView="100" workbookViewId="0">
      <selection activeCell="AC8" sqref="AC8"/>
    </sheetView>
  </sheetViews>
  <sheetFormatPr defaultRowHeight="15" x14ac:dyDescent="0.25"/>
  <cols>
    <col min="1" max="1" width="1.140625" customWidth="1"/>
    <col min="2" max="2" width="6.42578125" style="363" customWidth="1"/>
    <col min="3" max="3" width="10.42578125" customWidth="1"/>
    <col min="4" max="4" width="10.42578125" style="266" customWidth="1"/>
    <col min="5" max="29" width="4.28515625" style="266" customWidth="1"/>
    <col min="30" max="37" width="3.42578125" style="266" hidden="1" customWidth="1"/>
    <col min="38" max="38" width="1.42578125" customWidth="1"/>
    <col min="39" max="39" width="17.42578125" customWidth="1"/>
    <col min="40" max="40" width="4.140625" customWidth="1"/>
    <col min="41" max="44" width="3.5703125" customWidth="1"/>
    <col min="257" max="257" width="8.5703125" customWidth="1"/>
    <col min="258" max="259" width="10.5703125" customWidth="1"/>
    <col min="260" max="283" width="4" customWidth="1"/>
    <col min="284" max="292" width="0" hidden="1" customWidth="1"/>
    <col min="293" max="293" width="2" customWidth="1"/>
    <col min="294" max="300" width="3.5703125" customWidth="1"/>
    <col min="513" max="513" width="8.5703125" customWidth="1"/>
    <col min="514" max="515" width="10.5703125" customWidth="1"/>
    <col min="516" max="539" width="4" customWidth="1"/>
    <col min="540" max="548" width="0" hidden="1" customWidth="1"/>
    <col min="549" max="549" width="2" customWidth="1"/>
    <col min="550" max="556" width="3.5703125" customWidth="1"/>
    <col min="769" max="769" width="8.5703125" customWidth="1"/>
    <col min="770" max="771" width="10.5703125" customWidth="1"/>
    <col min="772" max="795" width="4" customWidth="1"/>
    <col min="796" max="804" width="0" hidden="1" customWidth="1"/>
    <col min="805" max="805" width="2" customWidth="1"/>
    <col min="806" max="812" width="3.5703125" customWidth="1"/>
    <col min="1025" max="1025" width="8.5703125" customWidth="1"/>
    <col min="1026" max="1027" width="10.5703125" customWidth="1"/>
    <col min="1028" max="1051" width="4" customWidth="1"/>
    <col min="1052" max="1060" width="0" hidden="1" customWidth="1"/>
    <col min="1061" max="1061" width="2" customWidth="1"/>
    <col min="1062" max="1068" width="3.5703125" customWidth="1"/>
    <col min="1281" max="1281" width="8.5703125" customWidth="1"/>
    <col min="1282" max="1283" width="10.5703125" customWidth="1"/>
    <col min="1284" max="1307" width="4" customWidth="1"/>
    <col min="1308" max="1316" width="0" hidden="1" customWidth="1"/>
    <col min="1317" max="1317" width="2" customWidth="1"/>
    <col min="1318" max="1324" width="3.5703125" customWidth="1"/>
    <col min="1537" max="1537" width="8.5703125" customWidth="1"/>
    <col min="1538" max="1539" width="10.5703125" customWidth="1"/>
    <col min="1540" max="1563" width="4" customWidth="1"/>
    <col min="1564" max="1572" width="0" hidden="1" customWidth="1"/>
    <col min="1573" max="1573" width="2" customWidth="1"/>
    <col min="1574" max="1580" width="3.5703125" customWidth="1"/>
    <col min="1793" max="1793" width="8.5703125" customWidth="1"/>
    <col min="1794" max="1795" width="10.5703125" customWidth="1"/>
    <col min="1796" max="1819" width="4" customWidth="1"/>
    <col min="1820" max="1828" width="0" hidden="1" customWidth="1"/>
    <col min="1829" max="1829" width="2" customWidth="1"/>
    <col min="1830" max="1836" width="3.5703125" customWidth="1"/>
    <col min="2049" max="2049" width="8.5703125" customWidth="1"/>
    <col min="2050" max="2051" width="10.5703125" customWidth="1"/>
    <col min="2052" max="2075" width="4" customWidth="1"/>
    <col min="2076" max="2084" width="0" hidden="1" customWidth="1"/>
    <col min="2085" max="2085" width="2" customWidth="1"/>
    <col min="2086" max="2092" width="3.5703125" customWidth="1"/>
    <col min="2305" max="2305" width="8.5703125" customWidth="1"/>
    <col min="2306" max="2307" width="10.5703125" customWidth="1"/>
    <col min="2308" max="2331" width="4" customWidth="1"/>
    <col min="2332" max="2340" width="0" hidden="1" customWidth="1"/>
    <col min="2341" max="2341" width="2" customWidth="1"/>
    <col min="2342" max="2348" width="3.5703125" customWidth="1"/>
    <col min="2561" max="2561" width="8.5703125" customWidth="1"/>
    <col min="2562" max="2563" width="10.5703125" customWidth="1"/>
    <col min="2564" max="2587" width="4" customWidth="1"/>
    <col min="2588" max="2596" width="0" hidden="1" customWidth="1"/>
    <col min="2597" max="2597" width="2" customWidth="1"/>
    <col min="2598" max="2604" width="3.5703125" customWidth="1"/>
    <col min="2817" max="2817" width="8.5703125" customWidth="1"/>
    <col min="2818" max="2819" width="10.5703125" customWidth="1"/>
    <col min="2820" max="2843" width="4" customWidth="1"/>
    <col min="2844" max="2852" width="0" hidden="1" customWidth="1"/>
    <col min="2853" max="2853" width="2" customWidth="1"/>
    <col min="2854" max="2860" width="3.5703125" customWidth="1"/>
    <col min="3073" max="3073" width="8.5703125" customWidth="1"/>
    <col min="3074" max="3075" width="10.5703125" customWidth="1"/>
    <col min="3076" max="3099" width="4" customWidth="1"/>
    <col min="3100" max="3108" width="0" hidden="1" customWidth="1"/>
    <col min="3109" max="3109" width="2" customWidth="1"/>
    <col min="3110" max="3116" width="3.5703125" customWidth="1"/>
    <col min="3329" max="3329" width="8.5703125" customWidth="1"/>
    <col min="3330" max="3331" width="10.5703125" customWidth="1"/>
    <col min="3332" max="3355" width="4" customWidth="1"/>
    <col min="3356" max="3364" width="0" hidden="1" customWidth="1"/>
    <col min="3365" max="3365" width="2" customWidth="1"/>
    <col min="3366" max="3372" width="3.5703125" customWidth="1"/>
    <col min="3585" max="3585" width="8.5703125" customWidth="1"/>
    <col min="3586" max="3587" width="10.5703125" customWidth="1"/>
    <col min="3588" max="3611" width="4" customWidth="1"/>
    <col min="3612" max="3620" width="0" hidden="1" customWidth="1"/>
    <col min="3621" max="3621" width="2" customWidth="1"/>
    <col min="3622" max="3628" width="3.5703125" customWidth="1"/>
    <col min="3841" max="3841" width="8.5703125" customWidth="1"/>
    <col min="3842" max="3843" width="10.5703125" customWidth="1"/>
    <col min="3844" max="3867" width="4" customWidth="1"/>
    <col min="3868" max="3876" width="0" hidden="1" customWidth="1"/>
    <col min="3877" max="3877" width="2" customWidth="1"/>
    <col min="3878" max="3884" width="3.5703125" customWidth="1"/>
    <col min="4097" max="4097" width="8.5703125" customWidth="1"/>
    <col min="4098" max="4099" width="10.5703125" customWidth="1"/>
    <col min="4100" max="4123" width="4" customWidth="1"/>
    <col min="4124" max="4132" width="0" hidden="1" customWidth="1"/>
    <col min="4133" max="4133" width="2" customWidth="1"/>
    <col min="4134" max="4140" width="3.5703125" customWidth="1"/>
    <col min="4353" max="4353" width="8.5703125" customWidth="1"/>
    <col min="4354" max="4355" width="10.5703125" customWidth="1"/>
    <col min="4356" max="4379" width="4" customWidth="1"/>
    <col min="4380" max="4388" width="0" hidden="1" customWidth="1"/>
    <col min="4389" max="4389" width="2" customWidth="1"/>
    <col min="4390" max="4396" width="3.5703125" customWidth="1"/>
    <col min="4609" max="4609" width="8.5703125" customWidth="1"/>
    <col min="4610" max="4611" width="10.5703125" customWidth="1"/>
    <col min="4612" max="4635" width="4" customWidth="1"/>
    <col min="4636" max="4644" width="0" hidden="1" customWidth="1"/>
    <col min="4645" max="4645" width="2" customWidth="1"/>
    <col min="4646" max="4652" width="3.5703125" customWidth="1"/>
    <col min="4865" max="4865" width="8.5703125" customWidth="1"/>
    <col min="4866" max="4867" width="10.5703125" customWidth="1"/>
    <col min="4868" max="4891" width="4" customWidth="1"/>
    <col min="4892" max="4900" width="0" hidden="1" customWidth="1"/>
    <col min="4901" max="4901" width="2" customWidth="1"/>
    <col min="4902" max="4908" width="3.5703125" customWidth="1"/>
    <col min="5121" max="5121" width="8.5703125" customWidth="1"/>
    <col min="5122" max="5123" width="10.5703125" customWidth="1"/>
    <col min="5124" max="5147" width="4" customWidth="1"/>
    <col min="5148" max="5156" width="0" hidden="1" customWidth="1"/>
    <col min="5157" max="5157" width="2" customWidth="1"/>
    <col min="5158" max="5164" width="3.5703125" customWidth="1"/>
    <col min="5377" max="5377" width="8.5703125" customWidth="1"/>
    <col min="5378" max="5379" width="10.5703125" customWidth="1"/>
    <col min="5380" max="5403" width="4" customWidth="1"/>
    <col min="5404" max="5412" width="0" hidden="1" customWidth="1"/>
    <col min="5413" max="5413" width="2" customWidth="1"/>
    <col min="5414" max="5420" width="3.5703125" customWidth="1"/>
    <col min="5633" max="5633" width="8.5703125" customWidth="1"/>
    <col min="5634" max="5635" width="10.5703125" customWidth="1"/>
    <col min="5636" max="5659" width="4" customWidth="1"/>
    <col min="5660" max="5668" width="0" hidden="1" customWidth="1"/>
    <col min="5669" max="5669" width="2" customWidth="1"/>
    <col min="5670" max="5676" width="3.5703125" customWidth="1"/>
    <col min="5889" max="5889" width="8.5703125" customWidth="1"/>
    <col min="5890" max="5891" width="10.5703125" customWidth="1"/>
    <col min="5892" max="5915" width="4" customWidth="1"/>
    <col min="5916" max="5924" width="0" hidden="1" customWidth="1"/>
    <col min="5925" max="5925" width="2" customWidth="1"/>
    <col min="5926" max="5932" width="3.5703125" customWidth="1"/>
    <col min="6145" max="6145" width="8.5703125" customWidth="1"/>
    <col min="6146" max="6147" width="10.5703125" customWidth="1"/>
    <col min="6148" max="6171" width="4" customWidth="1"/>
    <col min="6172" max="6180" width="0" hidden="1" customWidth="1"/>
    <col min="6181" max="6181" width="2" customWidth="1"/>
    <col min="6182" max="6188" width="3.5703125" customWidth="1"/>
    <col min="6401" max="6401" width="8.5703125" customWidth="1"/>
    <col min="6402" max="6403" width="10.5703125" customWidth="1"/>
    <col min="6404" max="6427" width="4" customWidth="1"/>
    <col min="6428" max="6436" width="0" hidden="1" customWidth="1"/>
    <col min="6437" max="6437" width="2" customWidth="1"/>
    <col min="6438" max="6444" width="3.5703125" customWidth="1"/>
    <col min="6657" max="6657" width="8.5703125" customWidth="1"/>
    <col min="6658" max="6659" width="10.5703125" customWidth="1"/>
    <col min="6660" max="6683" width="4" customWidth="1"/>
    <col min="6684" max="6692" width="0" hidden="1" customWidth="1"/>
    <col min="6693" max="6693" width="2" customWidth="1"/>
    <col min="6694" max="6700" width="3.5703125" customWidth="1"/>
    <col min="6913" max="6913" width="8.5703125" customWidth="1"/>
    <col min="6914" max="6915" width="10.5703125" customWidth="1"/>
    <col min="6916" max="6939" width="4" customWidth="1"/>
    <col min="6940" max="6948" width="0" hidden="1" customWidth="1"/>
    <col min="6949" max="6949" width="2" customWidth="1"/>
    <col min="6950" max="6956" width="3.5703125" customWidth="1"/>
    <col min="7169" max="7169" width="8.5703125" customWidth="1"/>
    <col min="7170" max="7171" width="10.5703125" customWidth="1"/>
    <col min="7172" max="7195" width="4" customWidth="1"/>
    <col min="7196" max="7204" width="0" hidden="1" customWidth="1"/>
    <col min="7205" max="7205" width="2" customWidth="1"/>
    <col min="7206" max="7212" width="3.5703125" customWidth="1"/>
    <col min="7425" max="7425" width="8.5703125" customWidth="1"/>
    <col min="7426" max="7427" width="10.5703125" customWidth="1"/>
    <col min="7428" max="7451" width="4" customWidth="1"/>
    <col min="7452" max="7460" width="0" hidden="1" customWidth="1"/>
    <col min="7461" max="7461" width="2" customWidth="1"/>
    <col min="7462" max="7468" width="3.5703125" customWidth="1"/>
    <col min="7681" max="7681" width="8.5703125" customWidth="1"/>
    <col min="7682" max="7683" width="10.5703125" customWidth="1"/>
    <col min="7684" max="7707" width="4" customWidth="1"/>
    <col min="7708" max="7716" width="0" hidden="1" customWidth="1"/>
    <col min="7717" max="7717" width="2" customWidth="1"/>
    <col min="7718" max="7724" width="3.5703125" customWidth="1"/>
    <col min="7937" max="7937" width="8.5703125" customWidth="1"/>
    <col min="7938" max="7939" width="10.5703125" customWidth="1"/>
    <col min="7940" max="7963" width="4" customWidth="1"/>
    <col min="7964" max="7972" width="0" hidden="1" customWidth="1"/>
    <col min="7973" max="7973" width="2" customWidth="1"/>
    <col min="7974" max="7980" width="3.5703125" customWidth="1"/>
    <col min="8193" max="8193" width="8.5703125" customWidth="1"/>
    <col min="8194" max="8195" width="10.5703125" customWidth="1"/>
    <col min="8196" max="8219" width="4" customWidth="1"/>
    <col min="8220" max="8228" width="0" hidden="1" customWidth="1"/>
    <col min="8229" max="8229" width="2" customWidth="1"/>
    <col min="8230" max="8236" width="3.5703125" customWidth="1"/>
    <col min="8449" max="8449" width="8.5703125" customWidth="1"/>
    <col min="8450" max="8451" width="10.5703125" customWidth="1"/>
    <col min="8452" max="8475" width="4" customWidth="1"/>
    <col min="8476" max="8484" width="0" hidden="1" customWidth="1"/>
    <col min="8485" max="8485" width="2" customWidth="1"/>
    <col min="8486" max="8492" width="3.5703125" customWidth="1"/>
    <col min="8705" max="8705" width="8.5703125" customWidth="1"/>
    <col min="8706" max="8707" width="10.5703125" customWidth="1"/>
    <col min="8708" max="8731" width="4" customWidth="1"/>
    <col min="8732" max="8740" width="0" hidden="1" customWidth="1"/>
    <col min="8741" max="8741" width="2" customWidth="1"/>
    <col min="8742" max="8748" width="3.5703125" customWidth="1"/>
    <col min="8961" max="8961" width="8.5703125" customWidth="1"/>
    <col min="8962" max="8963" width="10.5703125" customWidth="1"/>
    <col min="8964" max="8987" width="4" customWidth="1"/>
    <col min="8988" max="8996" width="0" hidden="1" customWidth="1"/>
    <col min="8997" max="8997" width="2" customWidth="1"/>
    <col min="8998" max="9004" width="3.5703125" customWidth="1"/>
    <col min="9217" max="9217" width="8.5703125" customWidth="1"/>
    <col min="9218" max="9219" width="10.5703125" customWidth="1"/>
    <col min="9220" max="9243" width="4" customWidth="1"/>
    <col min="9244" max="9252" width="0" hidden="1" customWidth="1"/>
    <col min="9253" max="9253" width="2" customWidth="1"/>
    <col min="9254" max="9260" width="3.5703125" customWidth="1"/>
    <col min="9473" max="9473" width="8.5703125" customWidth="1"/>
    <col min="9474" max="9475" width="10.5703125" customWidth="1"/>
    <col min="9476" max="9499" width="4" customWidth="1"/>
    <col min="9500" max="9508" width="0" hidden="1" customWidth="1"/>
    <col min="9509" max="9509" width="2" customWidth="1"/>
    <col min="9510" max="9516" width="3.5703125" customWidth="1"/>
    <col min="9729" max="9729" width="8.5703125" customWidth="1"/>
    <col min="9730" max="9731" width="10.5703125" customWidth="1"/>
    <col min="9732" max="9755" width="4" customWidth="1"/>
    <col min="9756" max="9764" width="0" hidden="1" customWidth="1"/>
    <col min="9765" max="9765" width="2" customWidth="1"/>
    <col min="9766" max="9772" width="3.5703125" customWidth="1"/>
    <col min="9985" max="9985" width="8.5703125" customWidth="1"/>
    <col min="9986" max="9987" width="10.5703125" customWidth="1"/>
    <col min="9988" max="10011" width="4" customWidth="1"/>
    <col min="10012" max="10020" width="0" hidden="1" customWidth="1"/>
    <col min="10021" max="10021" width="2" customWidth="1"/>
    <col min="10022" max="10028" width="3.5703125" customWidth="1"/>
    <col min="10241" max="10241" width="8.5703125" customWidth="1"/>
    <col min="10242" max="10243" width="10.5703125" customWidth="1"/>
    <col min="10244" max="10267" width="4" customWidth="1"/>
    <col min="10268" max="10276" width="0" hidden="1" customWidth="1"/>
    <col min="10277" max="10277" width="2" customWidth="1"/>
    <col min="10278" max="10284" width="3.5703125" customWidth="1"/>
    <col min="10497" max="10497" width="8.5703125" customWidth="1"/>
    <col min="10498" max="10499" width="10.5703125" customWidth="1"/>
    <col min="10500" max="10523" width="4" customWidth="1"/>
    <col min="10524" max="10532" width="0" hidden="1" customWidth="1"/>
    <col min="10533" max="10533" width="2" customWidth="1"/>
    <col min="10534" max="10540" width="3.5703125" customWidth="1"/>
    <col min="10753" max="10753" width="8.5703125" customWidth="1"/>
    <col min="10754" max="10755" width="10.5703125" customWidth="1"/>
    <col min="10756" max="10779" width="4" customWidth="1"/>
    <col min="10780" max="10788" width="0" hidden="1" customWidth="1"/>
    <col min="10789" max="10789" width="2" customWidth="1"/>
    <col min="10790" max="10796" width="3.5703125" customWidth="1"/>
    <col min="11009" max="11009" width="8.5703125" customWidth="1"/>
    <col min="11010" max="11011" width="10.5703125" customWidth="1"/>
    <col min="11012" max="11035" width="4" customWidth="1"/>
    <col min="11036" max="11044" width="0" hidden="1" customWidth="1"/>
    <col min="11045" max="11045" width="2" customWidth="1"/>
    <col min="11046" max="11052" width="3.5703125" customWidth="1"/>
    <col min="11265" max="11265" width="8.5703125" customWidth="1"/>
    <col min="11266" max="11267" width="10.5703125" customWidth="1"/>
    <col min="11268" max="11291" width="4" customWidth="1"/>
    <col min="11292" max="11300" width="0" hidden="1" customWidth="1"/>
    <col min="11301" max="11301" width="2" customWidth="1"/>
    <col min="11302" max="11308" width="3.5703125" customWidth="1"/>
    <col min="11521" max="11521" width="8.5703125" customWidth="1"/>
    <col min="11522" max="11523" width="10.5703125" customWidth="1"/>
    <col min="11524" max="11547" width="4" customWidth="1"/>
    <col min="11548" max="11556" width="0" hidden="1" customWidth="1"/>
    <col min="11557" max="11557" width="2" customWidth="1"/>
    <col min="11558" max="11564" width="3.5703125" customWidth="1"/>
    <col min="11777" max="11777" width="8.5703125" customWidth="1"/>
    <col min="11778" max="11779" width="10.5703125" customWidth="1"/>
    <col min="11780" max="11803" width="4" customWidth="1"/>
    <col min="11804" max="11812" width="0" hidden="1" customWidth="1"/>
    <col min="11813" max="11813" width="2" customWidth="1"/>
    <col min="11814" max="11820" width="3.5703125" customWidth="1"/>
    <col min="12033" max="12033" width="8.5703125" customWidth="1"/>
    <col min="12034" max="12035" width="10.5703125" customWidth="1"/>
    <col min="12036" max="12059" width="4" customWidth="1"/>
    <col min="12060" max="12068" width="0" hidden="1" customWidth="1"/>
    <col min="12069" max="12069" width="2" customWidth="1"/>
    <col min="12070" max="12076" width="3.5703125" customWidth="1"/>
    <col min="12289" max="12289" width="8.5703125" customWidth="1"/>
    <col min="12290" max="12291" width="10.5703125" customWidth="1"/>
    <col min="12292" max="12315" width="4" customWidth="1"/>
    <col min="12316" max="12324" width="0" hidden="1" customWidth="1"/>
    <col min="12325" max="12325" width="2" customWidth="1"/>
    <col min="12326" max="12332" width="3.5703125" customWidth="1"/>
    <col min="12545" max="12545" width="8.5703125" customWidth="1"/>
    <col min="12546" max="12547" width="10.5703125" customWidth="1"/>
    <col min="12548" max="12571" width="4" customWidth="1"/>
    <col min="12572" max="12580" width="0" hidden="1" customWidth="1"/>
    <col min="12581" max="12581" width="2" customWidth="1"/>
    <col min="12582" max="12588" width="3.5703125" customWidth="1"/>
    <col min="12801" max="12801" width="8.5703125" customWidth="1"/>
    <col min="12802" max="12803" width="10.5703125" customWidth="1"/>
    <col min="12804" max="12827" width="4" customWidth="1"/>
    <col min="12828" max="12836" width="0" hidden="1" customWidth="1"/>
    <col min="12837" max="12837" width="2" customWidth="1"/>
    <col min="12838" max="12844" width="3.5703125" customWidth="1"/>
    <col min="13057" max="13057" width="8.5703125" customWidth="1"/>
    <col min="13058" max="13059" width="10.5703125" customWidth="1"/>
    <col min="13060" max="13083" width="4" customWidth="1"/>
    <col min="13084" max="13092" width="0" hidden="1" customWidth="1"/>
    <col min="13093" max="13093" width="2" customWidth="1"/>
    <col min="13094" max="13100" width="3.5703125" customWidth="1"/>
    <col min="13313" max="13313" width="8.5703125" customWidth="1"/>
    <col min="13314" max="13315" width="10.5703125" customWidth="1"/>
    <col min="13316" max="13339" width="4" customWidth="1"/>
    <col min="13340" max="13348" width="0" hidden="1" customWidth="1"/>
    <col min="13349" max="13349" width="2" customWidth="1"/>
    <col min="13350" max="13356" width="3.5703125" customWidth="1"/>
    <col min="13569" max="13569" width="8.5703125" customWidth="1"/>
    <col min="13570" max="13571" width="10.5703125" customWidth="1"/>
    <col min="13572" max="13595" width="4" customWidth="1"/>
    <col min="13596" max="13604" width="0" hidden="1" customWidth="1"/>
    <col min="13605" max="13605" width="2" customWidth="1"/>
    <col min="13606" max="13612" width="3.5703125" customWidth="1"/>
    <col min="13825" max="13825" width="8.5703125" customWidth="1"/>
    <col min="13826" max="13827" width="10.5703125" customWidth="1"/>
    <col min="13828" max="13851" width="4" customWidth="1"/>
    <col min="13852" max="13860" width="0" hidden="1" customWidth="1"/>
    <col min="13861" max="13861" width="2" customWidth="1"/>
    <col min="13862" max="13868" width="3.5703125" customWidth="1"/>
    <col min="14081" max="14081" width="8.5703125" customWidth="1"/>
    <col min="14082" max="14083" width="10.5703125" customWidth="1"/>
    <col min="14084" max="14107" width="4" customWidth="1"/>
    <col min="14108" max="14116" width="0" hidden="1" customWidth="1"/>
    <col min="14117" max="14117" width="2" customWidth="1"/>
    <col min="14118" max="14124" width="3.5703125" customWidth="1"/>
    <col min="14337" max="14337" width="8.5703125" customWidth="1"/>
    <col min="14338" max="14339" width="10.5703125" customWidth="1"/>
    <col min="14340" max="14363" width="4" customWidth="1"/>
    <col min="14364" max="14372" width="0" hidden="1" customWidth="1"/>
    <col min="14373" max="14373" width="2" customWidth="1"/>
    <col min="14374" max="14380" width="3.5703125" customWidth="1"/>
    <col min="14593" max="14593" width="8.5703125" customWidth="1"/>
    <col min="14594" max="14595" width="10.5703125" customWidth="1"/>
    <col min="14596" max="14619" width="4" customWidth="1"/>
    <col min="14620" max="14628" width="0" hidden="1" customWidth="1"/>
    <col min="14629" max="14629" width="2" customWidth="1"/>
    <col min="14630" max="14636" width="3.5703125" customWidth="1"/>
    <col min="14849" max="14849" width="8.5703125" customWidth="1"/>
    <col min="14850" max="14851" width="10.5703125" customWidth="1"/>
    <col min="14852" max="14875" width="4" customWidth="1"/>
    <col min="14876" max="14884" width="0" hidden="1" customWidth="1"/>
    <col min="14885" max="14885" width="2" customWidth="1"/>
    <col min="14886" max="14892" width="3.5703125" customWidth="1"/>
    <col min="15105" max="15105" width="8.5703125" customWidth="1"/>
    <col min="15106" max="15107" width="10.5703125" customWidth="1"/>
    <col min="15108" max="15131" width="4" customWidth="1"/>
    <col min="15132" max="15140" width="0" hidden="1" customWidth="1"/>
    <col min="15141" max="15141" width="2" customWidth="1"/>
    <col min="15142" max="15148" width="3.5703125" customWidth="1"/>
    <col min="15361" max="15361" width="8.5703125" customWidth="1"/>
    <col min="15362" max="15363" width="10.5703125" customWidth="1"/>
    <col min="15364" max="15387" width="4" customWidth="1"/>
    <col min="15388" max="15396" width="0" hidden="1" customWidth="1"/>
    <col min="15397" max="15397" width="2" customWidth="1"/>
    <col min="15398" max="15404" width="3.5703125" customWidth="1"/>
    <col min="15617" max="15617" width="8.5703125" customWidth="1"/>
    <col min="15618" max="15619" width="10.5703125" customWidth="1"/>
    <col min="15620" max="15643" width="4" customWidth="1"/>
    <col min="15644" max="15652" width="0" hidden="1" customWidth="1"/>
    <col min="15653" max="15653" width="2" customWidth="1"/>
    <col min="15654" max="15660" width="3.5703125" customWidth="1"/>
    <col min="15873" max="15873" width="8.5703125" customWidth="1"/>
    <col min="15874" max="15875" width="10.5703125" customWidth="1"/>
    <col min="15876" max="15899" width="4" customWidth="1"/>
    <col min="15900" max="15908" width="0" hidden="1" customWidth="1"/>
    <col min="15909" max="15909" width="2" customWidth="1"/>
    <col min="15910" max="15916" width="3.5703125" customWidth="1"/>
    <col min="16129" max="16129" width="8.5703125" customWidth="1"/>
    <col min="16130" max="16131" width="10.5703125" customWidth="1"/>
    <col min="16132" max="16155" width="4" customWidth="1"/>
    <col min="16156" max="16164" width="0" hidden="1" customWidth="1"/>
    <col min="16165" max="16165" width="2" customWidth="1"/>
    <col min="16166" max="16172" width="3.5703125" customWidth="1"/>
  </cols>
  <sheetData>
    <row r="1" spans="1:45" ht="6" customHeight="1" thickBot="1" x14ac:dyDescent="0.3">
      <c r="A1" s="294"/>
      <c r="B1" s="295"/>
      <c r="C1" s="294"/>
      <c r="D1" s="296"/>
      <c r="E1" s="296"/>
      <c r="F1" s="296"/>
      <c r="G1" s="296"/>
      <c r="H1" s="296"/>
      <c r="I1" s="296"/>
      <c r="J1" s="296"/>
      <c r="K1" s="296"/>
      <c r="L1" s="296"/>
      <c r="M1" s="296"/>
      <c r="N1" s="296"/>
      <c r="O1" s="296"/>
      <c r="P1" s="296"/>
      <c r="Q1" s="296"/>
      <c r="R1" s="296"/>
      <c r="S1" s="296"/>
      <c r="T1" s="296"/>
      <c r="U1" s="296"/>
      <c r="V1" s="296"/>
      <c r="W1" s="296"/>
      <c r="X1" s="296"/>
      <c r="Y1" s="296"/>
      <c r="Z1" s="296"/>
      <c r="AA1" s="296"/>
      <c r="AB1" s="296"/>
      <c r="AC1" s="296"/>
      <c r="AD1" s="296"/>
      <c r="AE1" s="296"/>
      <c r="AF1" s="296"/>
      <c r="AG1" s="296"/>
      <c r="AH1" s="296"/>
      <c r="AI1" s="296"/>
      <c r="AJ1" s="296"/>
      <c r="AK1" s="296"/>
      <c r="AL1" s="294"/>
    </row>
    <row r="2" spans="1:45" ht="24.95" customHeight="1" x14ac:dyDescent="0.3">
      <c r="A2" s="294"/>
      <c r="B2" s="297"/>
      <c r="C2" s="298"/>
      <c r="D2" s="543" t="s">
        <v>21037</v>
      </c>
      <c r="E2" s="543"/>
      <c r="F2" s="543"/>
      <c r="G2" s="543"/>
      <c r="H2" s="543"/>
      <c r="I2" s="543"/>
      <c r="J2" s="543"/>
      <c r="K2" s="543"/>
      <c r="L2" s="543"/>
      <c r="M2" s="543"/>
      <c r="N2" s="543"/>
      <c r="O2" s="543"/>
      <c r="P2" s="543"/>
      <c r="Q2" s="543"/>
      <c r="R2" s="543"/>
      <c r="S2" s="543"/>
      <c r="T2" s="543"/>
      <c r="U2" s="543"/>
      <c r="V2" s="543"/>
      <c r="W2" s="543"/>
      <c r="X2" s="543"/>
      <c r="Y2" s="543"/>
      <c r="Z2" s="543"/>
      <c r="AA2" s="543"/>
      <c r="AB2" s="543"/>
      <c r="AC2" s="543"/>
      <c r="AD2" s="543"/>
      <c r="AE2" s="543"/>
      <c r="AF2" s="543"/>
      <c r="AG2" s="543"/>
      <c r="AH2" s="543"/>
      <c r="AI2" s="544"/>
      <c r="AJ2" s="299"/>
      <c r="AK2" s="299"/>
      <c r="AL2" s="300"/>
    </row>
    <row r="3" spans="1:45" x14ac:dyDescent="0.25">
      <c r="A3" s="294"/>
      <c r="B3" s="301"/>
      <c r="D3" s="533" t="s">
        <v>21038</v>
      </c>
      <c r="E3" s="545"/>
      <c r="F3" s="545"/>
      <c r="G3" s="545"/>
      <c r="H3" s="545"/>
      <c r="I3" s="545"/>
      <c r="J3" s="545"/>
      <c r="K3" s="545"/>
      <c r="L3" s="545"/>
      <c r="M3" s="545"/>
      <c r="N3" s="545"/>
      <c r="O3" s="545"/>
      <c r="P3" s="545"/>
      <c r="Q3" s="545"/>
      <c r="R3" s="545"/>
      <c r="S3" s="545"/>
      <c r="T3" s="545"/>
      <c r="U3" s="545"/>
      <c r="V3" s="545"/>
      <c r="W3" s="545"/>
      <c r="X3" s="545"/>
      <c r="Y3" s="545"/>
      <c r="Z3" s="545"/>
      <c r="AA3" s="545"/>
      <c r="AB3" s="545"/>
      <c r="AC3" s="545"/>
      <c r="AD3" s="545"/>
      <c r="AI3" s="302"/>
      <c r="AL3" s="303"/>
      <c r="AM3" s="218"/>
      <c r="AN3" s="218"/>
      <c r="AO3" s="218"/>
      <c r="AP3" s="218"/>
      <c r="AQ3" s="218"/>
      <c r="AR3" s="218"/>
    </row>
    <row r="4" spans="1:45" s="218" customFormat="1" ht="20.100000000000001" customHeight="1" x14ac:dyDescent="0.25">
      <c r="A4" s="304"/>
      <c r="B4" s="305" t="s">
        <v>21039</v>
      </c>
      <c r="C4" s="306" t="s">
        <v>21040</v>
      </c>
      <c r="D4" s="306" t="s">
        <v>21041</v>
      </c>
      <c r="E4" s="307" t="s">
        <v>21042</v>
      </c>
      <c r="F4" s="307" t="s">
        <v>21043</v>
      </c>
      <c r="G4" s="307" t="s">
        <v>21044</v>
      </c>
      <c r="H4" s="307" t="s">
        <v>21045</v>
      </c>
      <c r="I4" s="307" t="s">
        <v>21046</v>
      </c>
      <c r="J4" s="307" t="s">
        <v>21047</v>
      </c>
      <c r="K4" s="307" t="s">
        <v>21048</v>
      </c>
      <c r="L4" s="307" t="s">
        <v>21049</v>
      </c>
      <c r="M4" s="307" t="s">
        <v>21050</v>
      </c>
      <c r="N4" s="308" t="s">
        <v>21051</v>
      </c>
      <c r="O4" s="1">
        <v>10</v>
      </c>
      <c r="P4" s="1">
        <v>11</v>
      </c>
      <c r="Q4" s="309">
        <v>12</v>
      </c>
      <c r="R4" s="309">
        <v>13</v>
      </c>
      <c r="S4" s="309">
        <v>14</v>
      </c>
      <c r="T4" s="309">
        <v>15</v>
      </c>
      <c r="U4" s="309">
        <f t="shared" ref="U4:AB4" si="0">T4+1</f>
        <v>16</v>
      </c>
      <c r="V4" s="309">
        <f t="shared" si="0"/>
        <v>17</v>
      </c>
      <c r="W4" s="309">
        <f t="shared" si="0"/>
        <v>18</v>
      </c>
      <c r="X4" s="309">
        <f t="shared" si="0"/>
        <v>19</v>
      </c>
      <c r="Y4" s="309">
        <f t="shared" si="0"/>
        <v>20</v>
      </c>
      <c r="Z4" s="309">
        <f t="shared" si="0"/>
        <v>21</v>
      </c>
      <c r="AA4" s="1">
        <f t="shared" si="0"/>
        <v>22</v>
      </c>
      <c r="AB4" s="309">
        <f t="shared" si="0"/>
        <v>23</v>
      </c>
      <c r="AC4" s="1">
        <v>24</v>
      </c>
      <c r="AD4" s="1">
        <v>1</v>
      </c>
      <c r="AE4" s="1">
        <v>2</v>
      </c>
      <c r="AF4" s="1">
        <v>3</v>
      </c>
      <c r="AG4" s="1">
        <v>4</v>
      </c>
      <c r="AH4" s="1">
        <v>5</v>
      </c>
      <c r="AI4" s="310">
        <v>6</v>
      </c>
      <c r="AJ4" s="1">
        <v>7</v>
      </c>
      <c r="AK4" s="1">
        <v>8</v>
      </c>
      <c r="AL4" s="311"/>
      <c r="AM4" s="312"/>
      <c r="AN4" s="312"/>
      <c r="AO4" s="312"/>
      <c r="AP4" s="312"/>
      <c r="AQ4" s="312"/>
      <c r="AR4" s="312"/>
    </row>
    <row r="5" spans="1:45" ht="21" customHeight="1" x14ac:dyDescent="0.25">
      <c r="A5" s="294"/>
      <c r="B5" s="313">
        <v>1</v>
      </c>
      <c r="C5" s="314" t="s">
        <v>21052</v>
      </c>
      <c r="D5" s="315" t="s">
        <v>21053</v>
      </c>
      <c r="E5" s="231"/>
      <c r="F5" s="316"/>
      <c r="G5" s="316"/>
      <c r="H5" s="316"/>
      <c r="I5" s="316"/>
      <c r="J5" s="316"/>
      <c r="K5" s="316"/>
      <c r="L5" s="316"/>
      <c r="M5" s="316"/>
      <c r="N5" s="316"/>
      <c r="O5" s="316"/>
      <c r="P5" s="316"/>
      <c r="Q5" s="316"/>
      <c r="R5" s="316"/>
      <c r="S5" s="316"/>
      <c r="T5" s="316"/>
      <c r="U5" s="316"/>
      <c r="V5" s="316"/>
      <c r="W5" s="316"/>
      <c r="X5" s="316"/>
      <c r="Y5" s="316"/>
      <c r="Z5" s="316"/>
      <c r="AA5" s="316"/>
      <c r="AB5" s="316"/>
      <c r="AC5" s="231"/>
      <c r="AD5" s="231"/>
      <c r="AE5" s="231"/>
      <c r="AF5" s="231"/>
      <c r="AG5" s="231"/>
      <c r="AH5" s="231"/>
      <c r="AI5" s="249"/>
      <c r="AJ5" s="316"/>
      <c r="AK5" s="231"/>
      <c r="AL5" s="303"/>
      <c r="AM5" s="1"/>
      <c r="AN5" s="1"/>
      <c r="AO5" s="1"/>
      <c r="AP5" s="1"/>
      <c r="AQ5" s="1"/>
      <c r="AR5" s="1"/>
      <c r="AS5" s="1"/>
    </row>
    <row r="6" spans="1:45" ht="21" customHeight="1" x14ac:dyDescent="0.25">
      <c r="A6" s="294"/>
      <c r="B6" s="317">
        <v>2</v>
      </c>
      <c r="C6" s="314" t="s">
        <v>21054</v>
      </c>
      <c r="D6" s="308" t="s">
        <v>21053</v>
      </c>
      <c r="E6" s="231"/>
      <c r="F6" s="316"/>
      <c r="G6" s="316"/>
      <c r="H6" s="316"/>
      <c r="I6" s="316"/>
      <c r="J6" s="316"/>
      <c r="K6" s="316"/>
      <c r="L6" s="316"/>
      <c r="M6" s="316"/>
      <c r="N6" s="316"/>
      <c r="O6" s="316"/>
      <c r="P6" s="316"/>
      <c r="Q6" s="316"/>
      <c r="R6" s="316"/>
      <c r="S6" s="316"/>
      <c r="T6" s="316"/>
      <c r="U6" s="316"/>
      <c r="V6" s="316"/>
      <c r="W6" s="316"/>
      <c r="X6" s="316"/>
      <c r="Y6" s="316"/>
      <c r="Z6" s="316"/>
      <c r="AA6" s="316"/>
      <c r="AB6" s="316"/>
      <c r="AC6" s="231"/>
      <c r="AD6" s="231"/>
      <c r="AE6" s="231"/>
      <c r="AF6" s="231"/>
      <c r="AG6" s="231"/>
      <c r="AH6" s="231"/>
      <c r="AI6" s="249"/>
      <c r="AJ6" s="316"/>
      <c r="AK6" s="231"/>
      <c r="AL6" s="303"/>
      <c r="AM6" s="1"/>
      <c r="AN6" s="1"/>
      <c r="AO6" s="1"/>
      <c r="AP6" s="1"/>
      <c r="AQ6" s="1"/>
      <c r="AR6" s="1"/>
      <c r="AS6" s="1"/>
    </row>
    <row r="7" spans="1:45" ht="21" customHeight="1" x14ac:dyDescent="0.25">
      <c r="A7" s="294"/>
      <c r="B7" s="313">
        <v>3</v>
      </c>
      <c r="C7" s="314" t="s">
        <v>21052</v>
      </c>
      <c r="D7" s="308" t="s">
        <v>21055</v>
      </c>
      <c r="E7" s="231"/>
      <c r="F7" s="316"/>
      <c r="G7" s="316"/>
      <c r="H7" s="316"/>
      <c r="I7" s="316"/>
      <c r="J7" s="316"/>
      <c r="K7" s="316"/>
      <c r="L7" s="316"/>
      <c r="M7" s="316"/>
      <c r="N7" s="316"/>
      <c r="O7" s="316"/>
      <c r="P7" s="316"/>
      <c r="Q7" s="316"/>
      <c r="R7" s="316"/>
      <c r="S7" s="316"/>
      <c r="T7" s="316"/>
      <c r="U7" s="316"/>
      <c r="V7" s="316"/>
      <c r="W7" s="316"/>
      <c r="X7" s="316"/>
      <c r="Y7" s="316"/>
      <c r="Z7" s="316"/>
      <c r="AA7" s="316"/>
      <c r="AB7" s="316"/>
      <c r="AC7" s="231"/>
      <c r="AD7" s="231"/>
      <c r="AE7" s="231"/>
      <c r="AF7" s="231"/>
      <c r="AG7" s="231"/>
      <c r="AH7" s="231"/>
      <c r="AI7" s="249"/>
      <c r="AJ7" s="316"/>
      <c r="AK7" s="231"/>
      <c r="AL7" s="303"/>
      <c r="AM7" s="1"/>
      <c r="AN7" s="1"/>
      <c r="AO7" s="1"/>
      <c r="AP7" s="1"/>
      <c r="AQ7" s="1"/>
      <c r="AR7" s="1"/>
      <c r="AS7" s="1"/>
    </row>
    <row r="8" spans="1:45" ht="21" customHeight="1" x14ac:dyDescent="0.25">
      <c r="A8" s="294"/>
      <c r="B8" s="317">
        <v>4</v>
      </c>
      <c r="C8" s="314" t="s">
        <v>21054</v>
      </c>
      <c r="D8" s="308" t="s">
        <v>21055</v>
      </c>
      <c r="E8" s="231"/>
      <c r="F8" s="316"/>
      <c r="G8" s="316"/>
      <c r="H8" s="316"/>
      <c r="I8" s="316"/>
      <c r="J8" s="316"/>
      <c r="K8" s="316"/>
      <c r="L8" s="316"/>
      <c r="M8" s="316"/>
      <c r="N8" s="316"/>
      <c r="O8" s="316"/>
      <c r="P8" s="316"/>
      <c r="Q8" s="316"/>
      <c r="R8" s="316"/>
      <c r="S8" s="316"/>
      <c r="T8" s="316"/>
      <c r="U8" s="316"/>
      <c r="V8" s="316"/>
      <c r="W8" s="316"/>
      <c r="X8" s="316"/>
      <c r="Y8" s="316"/>
      <c r="Z8" s="316"/>
      <c r="AA8" s="316"/>
      <c r="AB8" s="316"/>
      <c r="AC8" s="231"/>
      <c r="AD8" s="231"/>
      <c r="AE8" s="231"/>
      <c r="AF8" s="231"/>
      <c r="AG8" s="231"/>
      <c r="AH8" s="231"/>
      <c r="AI8" s="249"/>
      <c r="AJ8" s="316"/>
      <c r="AK8" s="231"/>
      <c r="AL8" s="303"/>
      <c r="AM8" s="1"/>
      <c r="AN8" s="1"/>
      <c r="AO8" s="1"/>
      <c r="AP8" s="1"/>
      <c r="AQ8" s="1"/>
      <c r="AR8" s="1"/>
      <c r="AS8" s="1"/>
    </row>
    <row r="9" spans="1:45" ht="21" customHeight="1" x14ac:dyDescent="0.25">
      <c r="A9" s="294"/>
      <c r="B9" s="317">
        <v>5</v>
      </c>
      <c r="C9" s="314" t="s">
        <v>21054</v>
      </c>
      <c r="D9" s="308" t="s">
        <v>21055</v>
      </c>
      <c r="E9" s="231"/>
      <c r="F9" s="316"/>
      <c r="G9" s="316"/>
      <c r="H9" s="316"/>
      <c r="I9" s="316"/>
      <c r="J9" s="316"/>
      <c r="K9" s="316"/>
      <c r="L9" s="316"/>
      <c r="M9" s="316"/>
      <c r="N9" s="316"/>
      <c r="O9" s="316"/>
      <c r="P9" s="316"/>
      <c r="Q9" s="316"/>
      <c r="R9" s="316"/>
      <c r="S9" s="316"/>
      <c r="T9" s="316"/>
      <c r="U9" s="316"/>
      <c r="V9" s="316"/>
      <c r="W9" s="316"/>
      <c r="X9" s="316"/>
      <c r="Y9" s="316"/>
      <c r="Z9" s="316"/>
      <c r="AA9" s="316"/>
      <c r="AB9" s="316"/>
      <c r="AC9" s="231"/>
      <c r="AD9" s="231"/>
      <c r="AE9" s="231"/>
      <c r="AF9" s="231"/>
      <c r="AG9" s="231"/>
      <c r="AH9" s="231"/>
      <c r="AI9" s="249"/>
      <c r="AJ9" s="316"/>
      <c r="AK9" s="231"/>
      <c r="AL9" s="303"/>
      <c r="AM9" s="1"/>
      <c r="AN9" s="1"/>
      <c r="AO9" s="1"/>
      <c r="AP9" s="1"/>
      <c r="AQ9" s="1"/>
      <c r="AR9" s="1"/>
      <c r="AS9" s="1"/>
    </row>
    <row r="10" spans="1:45" ht="21" customHeight="1" x14ac:dyDescent="0.25">
      <c r="A10" s="294"/>
      <c r="B10" s="313">
        <v>6</v>
      </c>
      <c r="C10" s="314" t="s">
        <v>21052</v>
      </c>
      <c r="D10" s="308" t="s">
        <v>21056</v>
      </c>
      <c r="E10" s="231"/>
      <c r="F10" s="316"/>
      <c r="G10" s="316"/>
      <c r="H10" s="316"/>
      <c r="I10" s="316"/>
      <c r="J10" s="316"/>
      <c r="K10" s="316"/>
      <c r="L10" s="316"/>
      <c r="M10" s="316"/>
      <c r="N10" s="316"/>
      <c r="O10" s="316"/>
      <c r="P10" s="316"/>
      <c r="Q10" s="316"/>
      <c r="R10" s="316"/>
      <c r="S10" s="316"/>
      <c r="T10" s="316"/>
      <c r="U10" s="316"/>
      <c r="V10" s="316"/>
      <c r="W10" s="316"/>
      <c r="X10" s="316"/>
      <c r="Y10" s="316"/>
      <c r="Z10" s="316"/>
      <c r="AA10" s="316"/>
      <c r="AB10" s="316"/>
      <c r="AC10" s="231"/>
      <c r="AD10" s="231"/>
      <c r="AE10" s="231"/>
      <c r="AF10" s="231"/>
      <c r="AG10" s="231"/>
      <c r="AH10" s="231"/>
      <c r="AI10" s="249"/>
      <c r="AJ10" s="316"/>
      <c r="AK10" s="231"/>
      <c r="AL10" s="303"/>
      <c r="AM10" s="1"/>
      <c r="AN10" s="1"/>
      <c r="AO10" s="1"/>
      <c r="AP10" s="1"/>
      <c r="AQ10" s="1"/>
      <c r="AR10" s="1"/>
      <c r="AS10" s="1"/>
    </row>
    <row r="11" spans="1:45" ht="21" customHeight="1" x14ac:dyDescent="0.25">
      <c r="A11" s="294"/>
      <c r="B11" s="313">
        <v>7</v>
      </c>
      <c r="C11" s="314" t="s">
        <v>21052</v>
      </c>
      <c r="D11" s="308" t="s">
        <v>21056</v>
      </c>
      <c r="E11" s="231"/>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231"/>
      <c r="AD11" s="231"/>
      <c r="AE11" s="231"/>
      <c r="AF11" s="231"/>
      <c r="AG11" s="231"/>
      <c r="AH11" s="231"/>
      <c r="AI11" s="249"/>
      <c r="AJ11" s="316"/>
      <c r="AK11" s="231"/>
      <c r="AL11" s="303"/>
      <c r="AM11" s="1"/>
      <c r="AN11" s="1"/>
      <c r="AO11" s="1"/>
      <c r="AP11" s="1"/>
      <c r="AQ11" s="1"/>
      <c r="AR11" s="1"/>
      <c r="AS11" s="1"/>
    </row>
    <row r="12" spans="1:45" ht="21" customHeight="1" x14ac:dyDescent="0.25">
      <c r="A12" s="294"/>
      <c r="B12" s="313">
        <v>8</v>
      </c>
      <c r="C12" s="314" t="s">
        <v>21052</v>
      </c>
      <c r="D12" s="315" t="s">
        <v>21057</v>
      </c>
      <c r="E12" s="231"/>
      <c r="F12" s="316"/>
      <c r="G12" s="316"/>
      <c r="H12" s="316"/>
      <c r="I12" s="316"/>
      <c r="J12" s="316"/>
      <c r="K12" s="316"/>
      <c r="L12" s="316"/>
      <c r="M12" s="316"/>
      <c r="N12" s="316"/>
      <c r="O12" s="316"/>
      <c r="P12" s="316"/>
      <c r="Q12" s="316"/>
      <c r="R12" s="316"/>
      <c r="S12" s="316"/>
      <c r="T12" s="316"/>
      <c r="U12" s="316"/>
      <c r="V12" s="316"/>
      <c r="W12" s="316"/>
      <c r="X12" s="316"/>
      <c r="Y12" s="316"/>
      <c r="Z12" s="316"/>
      <c r="AA12" s="316"/>
      <c r="AB12" s="316"/>
      <c r="AC12" s="231"/>
      <c r="AD12" s="231"/>
      <c r="AE12" s="231"/>
      <c r="AF12" s="231"/>
      <c r="AG12" s="231"/>
      <c r="AH12" s="231"/>
      <c r="AI12" s="249"/>
      <c r="AJ12" s="316"/>
      <c r="AK12" s="231"/>
      <c r="AL12" s="303"/>
      <c r="AM12" s="1"/>
      <c r="AN12" s="1"/>
      <c r="AO12" s="1"/>
      <c r="AP12" s="1"/>
      <c r="AQ12" s="1"/>
      <c r="AR12" s="1"/>
      <c r="AS12" s="1"/>
    </row>
    <row r="13" spans="1:45" ht="21" customHeight="1" x14ac:dyDescent="0.25">
      <c r="A13" s="294"/>
      <c r="B13" s="313">
        <v>9</v>
      </c>
      <c r="C13" s="314" t="s">
        <v>21052</v>
      </c>
      <c r="D13" s="315" t="s">
        <v>21057</v>
      </c>
      <c r="E13" s="231"/>
      <c r="F13" s="316"/>
      <c r="G13" s="316"/>
      <c r="H13" s="316"/>
      <c r="I13" s="316"/>
      <c r="J13" s="316"/>
      <c r="K13" s="316"/>
      <c r="L13" s="316"/>
      <c r="M13" s="316"/>
      <c r="N13" s="316"/>
      <c r="O13" s="316"/>
      <c r="P13" s="316"/>
      <c r="Q13" s="316"/>
      <c r="R13" s="316"/>
      <c r="S13" s="316"/>
      <c r="T13" s="316"/>
      <c r="U13" s="316"/>
      <c r="V13" s="316"/>
      <c r="W13" s="316"/>
      <c r="X13" s="316"/>
      <c r="Y13" s="316"/>
      <c r="Z13" s="316"/>
      <c r="AA13" s="316"/>
      <c r="AB13" s="316"/>
      <c r="AC13" s="231"/>
      <c r="AD13" s="231"/>
      <c r="AE13" s="231"/>
      <c r="AF13" s="231"/>
      <c r="AG13" s="231"/>
      <c r="AH13" s="231"/>
      <c r="AI13" s="249"/>
      <c r="AJ13" s="316"/>
      <c r="AK13" s="231"/>
      <c r="AL13" s="303"/>
      <c r="AM13" s="1"/>
      <c r="AN13" s="1"/>
      <c r="AO13" s="1"/>
      <c r="AP13" s="1"/>
      <c r="AQ13" s="1"/>
      <c r="AR13" s="1"/>
      <c r="AS13" s="1"/>
    </row>
    <row r="14" spans="1:45" ht="9" customHeight="1" thickBot="1" x14ac:dyDescent="0.3">
      <c r="A14" s="294"/>
      <c r="B14" s="313" t="s">
        <v>21058</v>
      </c>
      <c r="D14" s="308" t="s">
        <v>21058</v>
      </c>
      <c r="E14"/>
      <c r="F14"/>
      <c r="G14"/>
      <c r="H14"/>
      <c r="I14"/>
      <c r="J14"/>
      <c r="K14"/>
      <c r="L14"/>
      <c r="M14"/>
      <c r="N14"/>
      <c r="O14"/>
      <c r="P14"/>
      <c r="Q14"/>
      <c r="R14"/>
      <c r="S14"/>
      <c r="T14"/>
      <c r="U14"/>
      <c r="V14"/>
      <c r="W14"/>
      <c r="X14"/>
      <c r="Y14"/>
      <c r="Z14"/>
      <c r="AA14"/>
      <c r="AB14"/>
      <c r="AD14" s="318"/>
      <c r="AE14" s="319"/>
      <c r="AF14" s="319"/>
      <c r="AG14" s="319"/>
      <c r="AH14" s="319"/>
      <c r="AI14" s="320"/>
      <c r="AJ14" s="318"/>
      <c r="AK14" s="319"/>
      <c r="AL14" s="294"/>
      <c r="AO14" s="1"/>
      <c r="AP14" s="1"/>
      <c r="AQ14" s="1"/>
      <c r="AR14" s="1"/>
      <c r="AS14" s="1"/>
    </row>
    <row r="15" spans="1:45" ht="24.95" customHeight="1" thickBot="1" x14ac:dyDescent="0.3">
      <c r="A15" s="294"/>
      <c r="B15" s="546" t="s">
        <v>21039</v>
      </c>
      <c r="C15" s="547"/>
      <c r="D15" s="548"/>
      <c r="E15" s="552" t="s">
        <v>21059</v>
      </c>
      <c r="F15" s="552"/>
      <c r="G15" s="552"/>
      <c r="H15" s="552"/>
      <c r="I15" s="552"/>
      <c r="J15" s="552"/>
      <c r="K15" s="552"/>
      <c r="L15" s="552"/>
      <c r="M15" s="552"/>
      <c r="N15" s="552"/>
      <c r="O15" s="552"/>
      <c r="P15" s="552"/>
      <c r="Q15" s="553"/>
      <c r="R15" s="554" t="s">
        <v>21060</v>
      </c>
      <c r="S15" s="555"/>
      <c r="T15" s="555"/>
      <c r="U15" s="555"/>
      <c r="V15" s="555"/>
      <c r="W15" s="555"/>
      <c r="X15" s="555"/>
      <c r="Y15" s="555"/>
      <c r="Z15" s="555"/>
      <c r="AA15" s="555"/>
      <c r="AB15" s="555"/>
      <c r="AC15" s="556"/>
      <c r="AD15" s="321"/>
      <c r="AE15" s="322"/>
      <c r="AF15" s="322"/>
      <c r="AG15" s="322"/>
      <c r="AH15" s="322"/>
      <c r="AI15" s="323"/>
      <c r="AJ15" s="321"/>
      <c r="AK15" s="322"/>
      <c r="AL15" s="324"/>
    </row>
    <row r="16" spans="1:45" ht="24.95" customHeight="1" thickBot="1" x14ac:dyDescent="0.3">
      <c r="A16" s="294"/>
      <c r="B16" s="549"/>
      <c r="C16" s="550"/>
      <c r="D16" s="551"/>
      <c r="E16" s="557" t="s">
        <v>21061</v>
      </c>
      <c r="F16" s="557"/>
      <c r="G16" s="557"/>
      <c r="H16" s="557"/>
      <c r="I16" s="557"/>
      <c r="J16" s="557"/>
      <c r="K16" s="325"/>
      <c r="L16" s="557" t="s">
        <v>21062</v>
      </c>
      <c r="M16" s="557"/>
      <c r="N16" s="557"/>
      <c r="O16" s="557"/>
      <c r="P16" s="557"/>
      <c r="Q16" s="558"/>
      <c r="R16" s="559" t="s">
        <v>21063</v>
      </c>
      <c r="S16" s="560"/>
      <c r="T16" s="560"/>
      <c r="U16" s="560"/>
      <c r="V16" s="560"/>
      <c r="W16" s="560"/>
      <c r="X16" s="560"/>
      <c r="Y16" s="560"/>
      <c r="Z16" s="560"/>
      <c r="AA16" s="560"/>
      <c r="AB16" s="560"/>
      <c r="AC16" s="561"/>
      <c r="AD16" s="321"/>
      <c r="AE16" s="322"/>
      <c r="AF16" s="322"/>
      <c r="AG16" s="322"/>
      <c r="AH16" s="322"/>
      <c r="AI16" s="323"/>
      <c r="AJ16" s="321"/>
      <c r="AK16" s="322"/>
      <c r="AL16" s="324"/>
    </row>
    <row r="17" spans="1:54" ht="24.95" customHeight="1" x14ac:dyDescent="0.25">
      <c r="A17" s="294"/>
      <c r="B17" s="313">
        <v>1</v>
      </c>
      <c r="C17" s="314" t="s">
        <v>21052</v>
      </c>
      <c r="D17" s="315" t="s">
        <v>21053</v>
      </c>
      <c r="E17" s="565" t="s">
        <v>21064</v>
      </c>
      <c r="F17" s="566"/>
      <c r="G17" s="566"/>
      <c r="H17" s="566"/>
      <c r="I17" s="566"/>
      <c r="J17" s="567"/>
      <c r="K17" s="326"/>
      <c r="L17" s="568"/>
      <c r="M17" s="568"/>
      <c r="N17" s="568"/>
      <c r="O17" s="568"/>
      <c r="P17" s="568"/>
      <c r="Q17" s="569"/>
      <c r="R17" s="562"/>
      <c r="S17" s="563"/>
      <c r="T17" s="563"/>
      <c r="U17" s="563"/>
      <c r="V17" s="563"/>
      <c r="W17" s="563"/>
      <c r="X17" s="563"/>
      <c r="Y17" s="563"/>
      <c r="Z17" s="563"/>
      <c r="AA17" s="563"/>
      <c r="AB17" s="563"/>
      <c r="AC17" s="564"/>
      <c r="AD17" s="327"/>
      <c r="AE17" s="328"/>
      <c r="AF17" s="328"/>
      <c r="AG17" s="328"/>
      <c r="AH17" s="328"/>
      <c r="AI17" s="329"/>
      <c r="AJ17" s="327"/>
      <c r="AK17" s="328"/>
      <c r="AL17" s="330"/>
    </row>
    <row r="18" spans="1:54" ht="24.95" customHeight="1" thickBot="1" x14ac:dyDescent="0.3">
      <c r="A18" s="294"/>
      <c r="B18" s="317">
        <v>2</v>
      </c>
      <c r="C18" s="314" t="s">
        <v>21054</v>
      </c>
      <c r="D18" s="308" t="s">
        <v>21053</v>
      </c>
      <c r="E18" s="570"/>
      <c r="F18" s="571"/>
      <c r="G18" s="571"/>
      <c r="H18" s="571"/>
      <c r="I18" s="571"/>
      <c r="J18" s="572"/>
      <c r="K18" s="331"/>
      <c r="L18" s="573"/>
      <c r="M18" s="573"/>
      <c r="N18" s="573"/>
      <c r="O18" s="573"/>
      <c r="P18" s="573"/>
      <c r="Q18" s="574"/>
      <c r="R18" s="575" t="s">
        <v>21065</v>
      </c>
      <c r="S18" s="576"/>
      <c r="T18" s="576"/>
      <c r="U18" s="576"/>
      <c r="V18" s="576"/>
      <c r="W18" s="576"/>
      <c r="X18" s="576"/>
      <c r="Y18" s="576"/>
      <c r="Z18" s="576"/>
      <c r="AA18" s="576"/>
      <c r="AB18" s="576"/>
      <c r="AC18" s="577"/>
      <c r="AD18" s="316"/>
      <c r="AE18" s="231"/>
      <c r="AF18" s="231"/>
      <c r="AG18" s="231"/>
      <c r="AH18" s="231"/>
      <c r="AI18" s="249"/>
      <c r="AJ18" s="316"/>
      <c r="AK18" s="231"/>
      <c r="AL18" s="332"/>
      <c r="AM18" s="578" t="s">
        <v>21060</v>
      </c>
      <c r="AN18" s="579"/>
      <c r="AO18" s="579"/>
      <c r="AP18" s="579"/>
      <c r="AQ18" s="579"/>
      <c r="AR18" s="580"/>
    </row>
    <row r="19" spans="1:54" s="337" customFormat="1" ht="24.95" customHeight="1" x14ac:dyDescent="0.25">
      <c r="A19" s="333"/>
      <c r="B19" s="313">
        <v>3</v>
      </c>
      <c r="C19" s="314" t="s">
        <v>21052</v>
      </c>
      <c r="D19" s="308" t="s">
        <v>21055</v>
      </c>
      <c r="E19" s="568" t="s">
        <v>21066</v>
      </c>
      <c r="F19" s="568"/>
      <c r="G19" s="568"/>
      <c r="H19" s="568"/>
      <c r="I19" s="568"/>
      <c r="J19" s="568"/>
      <c r="K19" s="326"/>
      <c r="L19" s="568"/>
      <c r="M19" s="568"/>
      <c r="N19" s="568"/>
      <c r="O19" s="568"/>
      <c r="P19" s="568"/>
      <c r="Q19" s="581"/>
      <c r="R19" s="582"/>
      <c r="S19" s="583"/>
      <c r="T19" s="583"/>
      <c r="U19" s="583"/>
      <c r="V19" s="583"/>
      <c r="W19" s="583"/>
      <c r="X19" s="583"/>
      <c r="Y19" s="583"/>
      <c r="Z19" s="583"/>
      <c r="AA19" s="583"/>
      <c r="AB19" s="583"/>
      <c r="AC19" s="583"/>
      <c r="AD19" s="316"/>
      <c r="AE19" s="231"/>
      <c r="AF19" s="231"/>
      <c r="AG19" s="231"/>
      <c r="AH19" s="231"/>
      <c r="AI19" s="249"/>
      <c r="AJ19" s="316"/>
      <c r="AK19" s="231"/>
      <c r="AL19" s="332"/>
      <c r="AM19" s="334" t="s">
        <v>21067</v>
      </c>
      <c r="AN19" s="335"/>
      <c r="AO19" s="335"/>
      <c r="AP19" s="335"/>
      <c r="AQ19" s="335"/>
      <c r="AR19" s="336"/>
      <c r="AU19" s="584">
        <v>1</v>
      </c>
      <c r="AV19" s="585"/>
      <c r="AW19" s="585"/>
      <c r="AX19" s="586"/>
      <c r="AY19" s="569">
        <v>8</v>
      </c>
      <c r="AZ19" s="585"/>
      <c r="BA19" s="585"/>
      <c r="BB19" s="587"/>
    </row>
    <row r="20" spans="1:54" ht="24.95" customHeight="1" thickBot="1" x14ac:dyDescent="0.3">
      <c r="A20" s="294"/>
      <c r="B20" s="317">
        <v>4</v>
      </c>
      <c r="C20" s="314" t="s">
        <v>21054</v>
      </c>
      <c r="D20" s="308" t="s">
        <v>21055</v>
      </c>
      <c r="E20" s="573" t="s">
        <v>21068</v>
      </c>
      <c r="F20" s="573"/>
      <c r="G20" s="573"/>
      <c r="H20" s="573"/>
      <c r="I20" s="573"/>
      <c r="J20" s="573"/>
      <c r="K20" s="331"/>
      <c r="L20" s="573"/>
      <c r="M20" s="573"/>
      <c r="N20" s="573"/>
      <c r="O20" s="573"/>
      <c r="P20" s="573"/>
      <c r="Q20" s="588"/>
      <c r="R20" s="582"/>
      <c r="S20" s="583"/>
      <c r="T20" s="583"/>
      <c r="U20" s="583"/>
      <c r="V20" s="583"/>
      <c r="W20" s="583"/>
      <c r="X20" s="583"/>
      <c r="Y20" s="583"/>
      <c r="Z20" s="583"/>
      <c r="AA20" s="583"/>
      <c r="AB20" s="583"/>
      <c r="AC20" s="583"/>
      <c r="AD20" s="316"/>
      <c r="AE20" s="231"/>
      <c r="AF20" s="231"/>
      <c r="AG20" s="231"/>
      <c r="AH20" s="231"/>
      <c r="AI20" s="249"/>
      <c r="AJ20" s="316"/>
      <c r="AK20" s="231"/>
      <c r="AL20" s="332"/>
      <c r="AM20" s="338"/>
      <c r="AN20" s="339"/>
      <c r="AO20" s="339"/>
      <c r="AP20" s="339"/>
      <c r="AQ20" s="339"/>
      <c r="AR20" s="340"/>
      <c r="AU20" s="589">
        <v>8</v>
      </c>
      <c r="AV20" s="590"/>
      <c r="AW20" s="590"/>
      <c r="AX20" s="591"/>
      <c r="AY20" s="592">
        <v>9</v>
      </c>
      <c r="AZ20" s="590"/>
      <c r="BA20" s="590"/>
      <c r="BB20" s="593"/>
    </row>
    <row r="21" spans="1:54" ht="24.95" customHeight="1" x14ac:dyDescent="0.25">
      <c r="A21" s="294"/>
      <c r="B21" s="317">
        <v>5</v>
      </c>
      <c r="C21" s="314" t="s">
        <v>21054</v>
      </c>
      <c r="D21" s="308" t="s">
        <v>21055</v>
      </c>
      <c r="E21" s="592" t="s">
        <v>21069</v>
      </c>
      <c r="F21" s="590"/>
      <c r="G21" s="590"/>
      <c r="H21" s="590"/>
      <c r="I21" s="590"/>
      <c r="J21" s="591"/>
      <c r="K21" s="341"/>
      <c r="L21" s="592"/>
      <c r="M21" s="590"/>
      <c r="N21" s="590"/>
      <c r="O21" s="590"/>
      <c r="P21" s="590"/>
      <c r="Q21" s="593"/>
      <c r="R21" s="582"/>
      <c r="S21" s="583"/>
      <c r="T21" s="583"/>
      <c r="U21" s="583"/>
      <c r="V21" s="583"/>
      <c r="W21" s="583"/>
      <c r="X21" s="583"/>
      <c r="Y21" s="583"/>
      <c r="Z21" s="583"/>
      <c r="AA21" s="583"/>
      <c r="AB21" s="583"/>
      <c r="AC21" s="583"/>
      <c r="AD21" s="316"/>
      <c r="AE21" s="231"/>
      <c r="AF21" s="231"/>
      <c r="AG21" s="231"/>
      <c r="AH21" s="231"/>
      <c r="AI21" s="249"/>
      <c r="AJ21" s="316"/>
      <c r="AK21" s="231"/>
      <c r="AL21" s="332"/>
      <c r="AU21" s="342"/>
      <c r="AV21" s="343"/>
      <c r="AW21" s="343"/>
      <c r="AX21" s="316"/>
      <c r="AY21" s="344"/>
      <c r="AZ21" s="343"/>
      <c r="BA21" s="343"/>
      <c r="BB21" s="345"/>
    </row>
    <row r="22" spans="1:54" ht="24.95" customHeight="1" x14ac:dyDescent="0.25">
      <c r="A22" s="294"/>
      <c r="B22" s="313">
        <v>6</v>
      </c>
      <c r="C22" s="314" t="s">
        <v>21052</v>
      </c>
      <c r="D22" s="308" t="s">
        <v>21056</v>
      </c>
      <c r="E22" s="594" t="s">
        <v>21070</v>
      </c>
      <c r="F22" s="594"/>
      <c r="G22" s="594"/>
      <c r="H22" s="594"/>
      <c r="I22" s="594"/>
      <c r="J22" s="594"/>
      <c r="K22" s="346"/>
      <c r="L22" s="595"/>
      <c r="M22" s="595"/>
      <c r="N22" s="595"/>
      <c r="O22" s="595"/>
      <c r="P22" s="595"/>
      <c r="Q22" s="596"/>
      <c r="R22" s="582"/>
      <c r="S22" s="583"/>
      <c r="T22" s="583"/>
      <c r="U22" s="583"/>
      <c r="V22" s="583"/>
      <c r="W22" s="583"/>
      <c r="X22" s="583"/>
      <c r="Y22" s="583"/>
      <c r="Z22" s="583"/>
      <c r="AA22" s="583"/>
      <c r="AB22" s="583"/>
      <c r="AC22" s="583"/>
      <c r="AD22" s="316"/>
      <c r="AE22" s="231"/>
      <c r="AF22" s="231"/>
      <c r="AG22" s="231"/>
      <c r="AH22" s="231"/>
      <c r="AI22" s="249"/>
      <c r="AJ22" s="316"/>
      <c r="AK22" s="231"/>
      <c r="AL22" s="332"/>
      <c r="AU22" s="342"/>
      <c r="AV22" s="343"/>
      <c r="AW22" s="343"/>
      <c r="AX22" s="316"/>
      <c r="AY22" s="344"/>
      <c r="AZ22" s="343"/>
      <c r="BA22" s="343"/>
      <c r="BB22" s="345"/>
    </row>
    <row r="23" spans="1:54" ht="24.95" customHeight="1" thickBot="1" x14ac:dyDescent="0.3">
      <c r="A23" s="294"/>
      <c r="B23" s="313">
        <v>7</v>
      </c>
      <c r="C23" s="314" t="s">
        <v>21052</v>
      </c>
      <c r="D23" s="308" t="s">
        <v>21056</v>
      </c>
      <c r="E23" s="597" t="s">
        <v>21071</v>
      </c>
      <c r="F23" s="597"/>
      <c r="G23" s="597"/>
      <c r="H23" s="597"/>
      <c r="I23" s="597"/>
      <c r="J23" s="597"/>
      <c r="K23" s="331"/>
      <c r="L23" s="573"/>
      <c r="M23" s="573"/>
      <c r="N23" s="573"/>
      <c r="O23" s="573"/>
      <c r="P23" s="573"/>
      <c r="Q23" s="588"/>
      <c r="R23" s="582"/>
      <c r="S23" s="583"/>
      <c r="T23" s="583"/>
      <c r="U23" s="583"/>
      <c r="V23" s="583"/>
      <c r="W23" s="583"/>
      <c r="X23" s="583"/>
      <c r="Y23" s="583"/>
      <c r="Z23" s="583"/>
      <c r="AA23" s="583"/>
      <c r="AB23" s="583"/>
      <c r="AC23" s="583"/>
      <c r="AD23" s="316"/>
      <c r="AE23" s="231"/>
      <c r="AF23" s="231"/>
      <c r="AG23" s="231"/>
      <c r="AH23" s="231"/>
      <c r="AI23" s="249"/>
      <c r="AJ23" s="316"/>
      <c r="AK23" s="231"/>
      <c r="AL23" s="332"/>
      <c r="AM23" s="598" t="s">
        <v>21072</v>
      </c>
      <c r="AN23" s="598"/>
      <c r="AO23" s="598" t="s">
        <v>21073</v>
      </c>
      <c r="AP23" s="598"/>
      <c r="AQ23" s="598" t="s">
        <v>21074</v>
      </c>
      <c r="AR23" s="598"/>
      <c r="AU23" s="342"/>
      <c r="AV23" s="343"/>
      <c r="AW23" s="343"/>
      <c r="AX23" s="316"/>
      <c r="AY23" s="344"/>
      <c r="AZ23" s="343"/>
      <c r="BA23" s="343"/>
      <c r="BB23" s="345"/>
    </row>
    <row r="24" spans="1:54" ht="24.95" customHeight="1" x14ac:dyDescent="0.25">
      <c r="A24" s="294"/>
      <c r="B24" s="313">
        <v>8</v>
      </c>
      <c r="C24" s="314" t="s">
        <v>21052</v>
      </c>
      <c r="D24" s="315" t="s">
        <v>21057</v>
      </c>
      <c r="E24" s="599" t="s">
        <v>21075</v>
      </c>
      <c r="F24" s="599"/>
      <c r="G24" s="599"/>
      <c r="H24" s="599"/>
      <c r="I24" s="599"/>
      <c r="J24" s="599"/>
      <c r="K24" s="326"/>
      <c r="L24" s="568"/>
      <c r="M24" s="568"/>
      <c r="N24" s="568"/>
      <c r="O24" s="568"/>
      <c r="P24" s="568"/>
      <c r="Q24" s="581"/>
      <c r="R24" s="582"/>
      <c r="S24" s="583"/>
      <c r="T24" s="583"/>
      <c r="U24" s="583"/>
      <c r="V24" s="583"/>
      <c r="W24" s="583"/>
      <c r="X24" s="583"/>
      <c r="Y24" s="583"/>
      <c r="Z24" s="583"/>
      <c r="AA24" s="583"/>
      <c r="AB24" s="583"/>
      <c r="AC24" s="583"/>
      <c r="AD24" s="316"/>
      <c r="AE24" s="231"/>
      <c r="AF24" s="231"/>
      <c r="AG24" s="231"/>
      <c r="AH24" s="231"/>
      <c r="AI24" s="249"/>
      <c r="AJ24" s="316"/>
      <c r="AK24" s="231"/>
      <c r="AL24" s="332"/>
      <c r="AU24" s="342"/>
      <c r="AV24" s="343"/>
      <c r="AW24" s="343"/>
      <c r="AX24" s="316"/>
      <c r="AY24" s="344"/>
      <c r="AZ24" s="343"/>
      <c r="BA24" s="343"/>
      <c r="BB24" s="345"/>
    </row>
    <row r="25" spans="1:54" ht="24.95" customHeight="1" thickBot="1" x14ac:dyDescent="0.3">
      <c r="A25" s="294"/>
      <c r="B25" s="313">
        <v>9</v>
      </c>
      <c r="C25" s="314" t="s">
        <v>21052</v>
      </c>
      <c r="D25" s="315" t="s">
        <v>21057</v>
      </c>
      <c r="E25" s="573"/>
      <c r="F25" s="573"/>
      <c r="G25" s="573"/>
      <c r="H25" s="573"/>
      <c r="I25" s="573"/>
      <c r="J25" s="573"/>
      <c r="K25" s="331"/>
      <c r="L25" s="573"/>
      <c r="M25" s="573"/>
      <c r="N25" s="573"/>
      <c r="O25" s="573"/>
      <c r="P25" s="573"/>
      <c r="Q25" s="588"/>
      <c r="R25" s="583"/>
      <c r="S25" s="583"/>
      <c r="T25" s="583"/>
      <c r="U25" s="583"/>
      <c r="V25" s="583"/>
      <c r="W25" s="583"/>
      <c r="X25" s="583"/>
      <c r="Y25" s="583"/>
      <c r="Z25" s="583"/>
      <c r="AA25" s="583"/>
      <c r="AB25" s="583"/>
      <c r="AC25" s="583"/>
      <c r="AD25" s="316"/>
      <c r="AE25" s="231"/>
      <c r="AF25" s="231"/>
      <c r="AG25" s="231"/>
      <c r="AH25" s="231"/>
      <c r="AI25" s="249"/>
      <c r="AJ25" s="316"/>
      <c r="AK25" s="231"/>
      <c r="AL25" s="332"/>
      <c r="AM25" t="s">
        <v>21076</v>
      </c>
      <c r="AU25" s="342"/>
      <c r="AV25" s="343"/>
      <c r="AW25" s="343"/>
      <c r="AX25" s="316"/>
      <c r="AY25" s="344"/>
      <c r="AZ25" s="343"/>
      <c r="BA25" s="343"/>
      <c r="BB25" s="345"/>
    </row>
    <row r="26" spans="1:54" ht="24.95" hidden="1" customHeight="1" thickBot="1" x14ac:dyDescent="0.3">
      <c r="A26" s="294"/>
      <c r="B26" s="347">
        <v>10</v>
      </c>
      <c r="C26" s="348" t="s">
        <v>21054</v>
      </c>
      <c r="D26" s="349" t="s">
        <v>21077</v>
      </c>
      <c r="E26" s="601"/>
      <c r="F26" s="601"/>
      <c r="G26" s="601"/>
      <c r="H26" s="601"/>
      <c r="I26" s="601"/>
      <c r="J26" s="601"/>
      <c r="K26" s="350"/>
      <c r="L26" s="601"/>
      <c r="M26" s="601"/>
      <c r="N26" s="601"/>
      <c r="O26" s="601"/>
      <c r="P26" s="601"/>
      <c r="Q26" s="602"/>
      <c r="R26" s="583"/>
      <c r="S26" s="583"/>
      <c r="T26" s="583"/>
      <c r="U26" s="583"/>
      <c r="V26" s="583"/>
      <c r="W26" s="583"/>
      <c r="X26" s="583"/>
      <c r="Y26" s="583"/>
      <c r="Z26" s="583"/>
      <c r="AA26" s="583"/>
      <c r="AB26" s="583"/>
      <c r="AC26" s="583"/>
      <c r="AD26" s="231"/>
      <c r="AE26" s="231"/>
      <c r="AF26" s="231"/>
      <c r="AG26" s="231"/>
      <c r="AH26" s="231"/>
      <c r="AI26" s="249"/>
      <c r="AJ26" s="316"/>
      <c r="AK26" s="231"/>
      <c r="AL26" s="332"/>
      <c r="AU26" s="589">
        <v>10</v>
      </c>
      <c r="AV26" s="590"/>
      <c r="AW26" s="590"/>
      <c r="AX26" s="591"/>
      <c r="AY26" s="592">
        <v>11</v>
      </c>
      <c r="AZ26" s="590"/>
      <c r="BA26" s="590"/>
      <c r="BB26" s="593"/>
    </row>
    <row r="27" spans="1:54" ht="24.95" customHeight="1" thickBot="1" x14ac:dyDescent="0.3">
      <c r="A27" s="294"/>
      <c r="B27" s="351"/>
      <c r="C27" s="352"/>
      <c r="D27" s="353"/>
      <c r="E27" s="353"/>
      <c r="F27" s="353"/>
      <c r="G27" s="353"/>
      <c r="H27" s="353"/>
      <c r="I27" s="353"/>
      <c r="J27" s="353"/>
      <c r="K27" s="353"/>
      <c r="L27" s="353"/>
      <c r="M27" s="353"/>
      <c r="N27" s="353"/>
      <c r="O27" s="353"/>
      <c r="P27" s="353"/>
      <c r="Q27" s="353"/>
      <c r="R27" s="600"/>
      <c r="S27" s="600"/>
      <c r="T27" s="600"/>
      <c r="U27" s="600"/>
      <c r="V27" s="600"/>
      <c r="W27" s="600"/>
      <c r="X27" s="600"/>
      <c r="Y27" s="600"/>
      <c r="Z27" s="600"/>
      <c r="AA27" s="600"/>
      <c r="AB27" s="600"/>
      <c r="AC27" s="600"/>
      <c r="AD27" s="353"/>
      <c r="AE27" s="353"/>
      <c r="AF27" s="353"/>
      <c r="AG27" s="353"/>
      <c r="AH27" s="353"/>
      <c r="AI27" s="354"/>
      <c r="AL27" s="294"/>
    </row>
    <row r="28" spans="1:54" ht="4.5" customHeight="1" x14ac:dyDescent="0.25">
      <c r="A28" s="294"/>
      <c r="B28" s="295"/>
      <c r="C28" s="294"/>
      <c r="D28" s="296"/>
      <c r="E28" s="296"/>
      <c r="F28" s="296"/>
      <c r="G28" s="296"/>
      <c r="H28" s="296"/>
      <c r="I28" s="296"/>
      <c r="J28" s="296"/>
      <c r="K28" s="296"/>
      <c r="L28" s="296"/>
      <c r="M28" s="296"/>
      <c r="N28" s="296"/>
      <c r="O28" s="296"/>
      <c r="P28" s="296"/>
      <c r="Q28" s="296"/>
      <c r="R28" s="296"/>
      <c r="S28" s="296"/>
      <c r="T28" s="296"/>
      <c r="U28" s="296"/>
      <c r="V28" s="296"/>
      <c r="W28" s="296"/>
      <c r="X28" s="296"/>
      <c r="Y28" s="296"/>
      <c r="Z28" s="296"/>
      <c r="AA28" s="296"/>
      <c r="AB28" s="296"/>
      <c r="AC28" s="296"/>
      <c r="AD28" s="296"/>
      <c r="AE28" s="296"/>
      <c r="AF28" s="296"/>
      <c r="AG28" s="296"/>
      <c r="AH28" s="296"/>
      <c r="AI28" s="296"/>
      <c r="AJ28" s="296"/>
      <c r="AK28" s="296"/>
      <c r="AL28" s="294"/>
    </row>
    <row r="36" spans="39:40" ht="15" customHeight="1" thickBot="1" x14ac:dyDescent="0.3"/>
    <row r="37" spans="39:40" ht="14.25" customHeight="1" x14ac:dyDescent="0.25">
      <c r="AM37" s="355"/>
      <c r="AN37" s="356"/>
    </row>
    <row r="38" spans="39:40" ht="14.25" customHeight="1" x14ac:dyDescent="0.25">
      <c r="AM38" s="266" t="s">
        <v>21078</v>
      </c>
      <c r="AN38" s="357"/>
    </row>
    <row r="39" spans="39:40" ht="14.25" customHeight="1" x14ac:dyDescent="0.25">
      <c r="AM39" s="266" t="s">
        <v>21079</v>
      </c>
      <c r="AN39" s="357"/>
    </row>
    <row r="40" spans="39:40" ht="14.25" customHeight="1" x14ac:dyDescent="0.25">
      <c r="AM40" s="266" t="s">
        <v>21080</v>
      </c>
      <c r="AN40" s="357"/>
    </row>
    <row r="41" spans="39:40" ht="14.25" customHeight="1" x14ac:dyDescent="0.25">
      <c r="AM41" s="358"/>
      <c r="AN41" s="357"/>
    </row>
    <row r="42" spans="39:40" ht="14.25" customHeight="1" x14ac:dyDescent="0.25">
      <c r="AM42" s="359"/>
      <c r="AN42" s="360"/>
    </row>
    <row r="43" spans="39:40" ht="14.25" customHeight="1" x14ac:dyDescent="0.25">
      <c r="AM43" s="361"/>
      <c r="AN43" s="357"/>
    </row>
    <row r="44" spans="39:40" ht="14.25" customHeight="1" x14ac:dyDescent="0.25">
      <c r="AM44" s="361"/>
      <c r="AN44" s="357"/>
    </row>
    <row r="45" spans="39:40" ht="14.25" customHeight="1" x14ac:dyDescent="0.25">
      <c r="AM45" s="361"/>
      <c r="AN45" s="357"/>
    </row>
    <row r="46" spans="39:40" ht="15" customHeight="1" thickBot="1" x14ac:dyDescent="0.3">
      <c r="AM46" s="352"/>
      <c r="AN46" s="362"/>
    </row>
  </sheetData>
  <mergeCells count="44">
    <mergeCell ref="AY26:BB26"/>
    <mergeCell ref="E25:J25"/>
    <mergeCell ref="L25:Q25"/>
    <mergeCell ref="R25:AC27"/>
    <mergeCell ref="E26:J26"/>
    <mergeCell ref="L26:Q26"/>
    <mergeCell ref="AU26:AX26"/>
    <mergeCell ref="AM23:AN23"/>
    <mergeCell ref="AO23:AP23"/>
    <mergeCell ref="AQ23:AR23"/>
    <mergeCell ref="E24:J24"/>
    <mergeCell ref="L24:Q24"/>
    <mergeCell ref="R24:AC24"/>
    <mergeCell ref="E21:J21"/>
    <mergeCell ref="L21:Q21"/>
    <mergeCell ref="R21:AC21"/>
    <mergeCell ref="E22:J22"/>
    <mergeCell ref="L22:Q22"/>
    <mergeCell ref="R22:AC23"/>
    <mergeCell ref="E23:J23"/>
    <mergeCell ref="L23:Q23"/>
    <mergeCell ref="AU19:AX19"/>
    <mergeCell ref="AY19:BB19"/>
    <mergeCell ref="E20:J20"/>
    <mergeCell ref="L20:Q20"/>
    <mergeCell ref="AU20:AX20"/>
    <mergeCell ref="AY20:BB20"/>
    <mergeCell ref="E18:J18"/>
    <mergeCell ref="L18:Q18"/>
    <mergeCell ref="R18:AC18"/>
    <mergeCell ref="AM18:AR18"/>
    <mergeCell ref="E19:J19"/>
    <mergeCell ref="L19:Q19"/>
    <mergeCell ref="R19:AC20"/>
    <mergeCell ref="D2:AI2"/>
    <mergeCell ref="D3:AD3"/>
    <mergeCell ref="B15:D16"/>
    <mergeCell ref="E15:Q15"/>
    <mergeCell ref="R15:AC15"/>
    <mergeCell ref="E16:J16"/>
    <mergeCell ref="L16:Q16"/>
    <mergeCell ref="R16:AC17"/>
    <mergeCell ref="E17:J17"/>
    <mergeCell ref="L17:Q17"/>
  </mergeCells>
  <printOptions horizontalCentered="1" verticalCentered="1"/>
  <pageMargins left="0.25" right="0.25" top="0.25" bottom="0.25" header="0.3" footer="0.3"/>
  <pageSetup scale="97"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16"/>
  <sheetViews>
    <sheetView showGridLines="0" workbookViewId="0">
      <selection sqref="A1:AD2"/>
    </sheetView>
  </sheetViews>
  <sheetFormatPr defaultRowHeight="15" x14ac:dyDescent="0.25"/>
  <cols>
    <col min="1" max="1" width="9.140625" style="9"/>
    <col min="2" max="2" width="9.140625" style="11" customWidth="1"/>
    <col min="3" max="3" width="9.140625" style="9"/>
    <col min="4" max="4" width="9.140625" style="11" customWidth="1"/>
    <col min="5" max="5" width="9.140625" style="9"/>
    <col min="6" max="6" width="9.140625" style="11" customWidth="1"/>
    <col min="7" max="7" width="9.140625" style="9"/>
    <col min="8" max="8" width="9.140625" style="11" customWidth="1"/>
    <col min="9" max="9" width="9.140625" style="9"/>
    <col min="10" max="10" width="9.140625" style="11" customWidth="1"/>
    <col min="11" max="11" width="9.140625" style="9"/>
    <col min="12" max="12" width="9.140625" style="9" customWidth="1"/>
    <col min="13" max="13" width="18.5703125" style="16" hidden="1" customWidth="1"/>
    <col min="14" max="14" width="9.140625" style="23" customWidth="1"/>
    <col min="15" max="15" width="17.28515625" style="23" hidden="1" customWidth="1"/>
    <col min="16" max="16" width="9.140625" style="14"/>
    <col min="17" max="17" width="9.140625" style="1" customWidth="1"/>
    <col min="19" max="19" width="10.5703125" style="8" customWidth="1"/>
    <col min="20" max="20" width="0" style="8" hidden="1" customWidth="1"/>
    <col min="21" max="21" width="9.140625" style="8" customWidth="1"/>
    <col min="22" max="22" width="9.140625" style="8" hidden="1" customWidth="1"/>
    <col min="23" max="23" width="9.140625" style="8"/>
    <col min="24" max="24" width="0" style="8" hidden="1" customWidth="1"/>
    <col min="25" max="25" width="9.140625" style="8"/>
    <col min="26" max="26" width="0" style="8" hidden="1" customWidth="1"/>
    <col min="27" max="27" width="9.140625" style="8"/>
    <col min="28" max="28" width="13.7109375" style="8" customWidth="1"/>
    <col min="29" max="29" width="0" hidden="1" customWidth="1"/>
  </cols>
  <sheetData>
    <row r="1" spans="1:32" s="10" customFormat="1" ht="15" customHeight="1" x14ac:dyDescent="0.25">
      <c r="A1" s="603" t="s">
        <v>20506</v>
      </c>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4"/>
      <c r="AB1" s="604"/>
      <c r="AC1" s="604"/>
      <c r="AD1" s="605"/>
    </row>
    <row r="2" spans="1:32" s="10" customFormat="1" ht="15" customHeight="1" thickBot="1" x14ac:dyDescent="0.3">
      <c r="A2" s="606"/>
      <c r="B2" s="607"/>
      <c r="C2" s="607"/>
      <c r="D2" s="607"/>
      <c r="E2" s="607"/>
      <c r="F2" s="607"/>
      <c r="G2" s="607"/>
      <c r="H2" s="607"/>
      <c r="I2" s="607"/>
      <c r="J2" s="607"/>
      <c r="K2" s="607"/>
      <c r="L2" s="607"/>
      <c r="M2" s="607"/>
      <c r="N2" s="607"/>
      <c r="O2" s="607"/>
      <c r="P2" s="607"/>
      <c r="Q2" s="607"/>
      <c r="R2" s="607"/>
      <c r="S2" s="607"/>
      <c r="T2" s="607"/>
      <c r="U2" s="607"/>
      <c r="V2" s="607"/>
      <c r="W2" s="607"/>
      <c r="X2" s="607"/>
      <c r="Y2" s="607"/>
      <c r="Z2" s="607"/>
      <c r="AA2" s="607"/>
      <c r="AB2" s="607"/>
      <c r="AC2" s="607"/>
      <c r="AD2" s="608"/>
    </row>
    <row r="3" spans="1:32" s="29" customFormat="1" ht="30.75" customHeight="1" thickBot="1" x14ac:dyDescent="0.3">
      <c r="A3" s="201" t="s">
        <v>72</v>
      </c>
      <c r="B3" s="202" t="s">
        <v>48</v>
      </c>
      <c r="C3" s="203" t="s">
        <v>99</v>
      </c>
      <c r="D3" s="202" t="s">
        <v>61</v>
      </c>
      <c r="E3" s="203" t="s">
        <v>100</v>
      </c>
      <c r="F3" s="202" t="s">
        <v>56</v>
      </c>
      <c r="G3" s="203" t="s">
        <v>101</v>
      </c>
      <c r="H3" s="202" t="s">
        <v>49</v>
      </c>
      <c r="I3" s="203" t="s">
        <v>102</v>
      </c>
      <c r="J3" s="204" t="s">
        <v>60</v>
      </c>
      <c r="K3" s="205" t="s">
        <v>103</v>
      </c>
      <c r="L3" s="206" t="s">
        <v>86</v>
      </c>
      <c r="M3" s="207" t="s">
        <v>97</v>
      </c>
      <c r="N3" s="206" t="s">
        <v>96</v>
      </c>
      <c r="O3" s="208" t="s">
        <v>98</v>
      </c>
      <c r="P3" s="609" t="s">
        <v>104</v>
      </c>
      <c r="Q3" s="209"/>
      <c r="R3" s="227" t="s">
        <v>85</v>
      </c>
      <c r="S3" s="228" t="s">
        <v>48</v>
      </c>
      <c r="T3" s="228"/>
      <c r="U3" s="228" t="s">
        <v>61</v>
      </c>
      <c r="V3" s="228"/>
      <c r="W3" s="228" t="s">
        <v>56</v>
      </c>
      <c r="X3" s="228"/>
      <c r="Y3" s="228" t="s">
        <v>49</v>
      </c>
      <c r="Z3" s="228"/>
      <c r="AA3" s="228" t="s">
        <v>60</v>
      </c>
      <c r="AB3" s="228" t="s">
        <v>95</v>
      </c>
      <c r="AC3" s="229"/>
      <c r="AD3" s="230" t="s">
        <v>96</v>
      </c>
      <c r="AE3" s="28"/>
      <c r="AF3" s="28"/>
    </row>
    <row r="4" spans="1:32" ht="15" customHeight="1" x14ac:dyDescent="0.25">
      <c r="A4" s="210" t="str">
        <f>Stats!A3</f>
        <v>PS1</v>
      </c>
      <c r="B4" s="21">
        <f>IF(Stats!$N3 &lt;&gt; 0, Stats!D25, 0)</f>
        <v>1.0136750502056039E-2</v>
      </c>
      <c r="C4" s="17">
        <f>IF(B4, RANK(B4,B$4:B$7,1) - COUNTIF(B$4:B$7,0),0)</f>
        <v>3</v>
      </c>
      <c r="D4" s="21">
        <f>IF(Stats!$N3 &lt;&gt; 0, Stats!H25, 0)</f>
        <v>1.434445825762647E-3</v>
      </c>
      <c r="E4" s="17">
        <f>IF(D4, RANK(D4,D$4:D$7,1) - COUNTIF(D$4:D$7,0),0)</f>
        <v>2</v>
      </c>
      <c r="F4" s="21">
        <f>IF(Stats!$N3 &lt;&gt; 0, Stats!G25, 0)</f>
        <v>7.5547480156832741E-3</v>
      </c>
      <c r="G4" s="17">
        <f>IF(F4, RANK(F4,F$4:F$7,1) - COUNTIF(F$4:F$7,0),0)</f>
        <v>1</v>
      </c>
      <c r="H4" s="21">
        <f>IF(Stats!$N3 &lt;&gt; 0, Stats!E25, 0)</f>
        <v>6.4071913550731571E-3</v>
      </c>
      <c r="I4" s="17">
        <f>IF(H4, RANK(H4,H$4:H$7,1) - COUNTIF(H$4:H$7,0),0)</f>
        <v>3</v>
      </c>
      <c r="J4" s="19">
        <f>IF(Stats!$N3 &lt;&gt; 0, Stats!I25, 0)</f>
        <v>1.912594434350196E-4</v>
      </c>
      <c r="K4" s="17">
        <f>IF(J4, RANK(J4,J$4:J$7,1) - COUNTIF(J$4:J$7,0),0)</f>
        <v>1</v>
      </c>
      <c r="L4" s="12">
        <f t="shared" ref="L4:L16" si="0">(C4+E4+G4+I4+K4)/5</f>
        <v>2</v>
      </c>
      <c r="M4" s="15" t="s">
        <v>12</v>
      </c>
      <c r="N4" s="24">
        <f>SUM(B4,D4,F4,H4,J4)</f>
        <v>2.572439514201014E-2</v>
      </c>
      <c r="O4" s="15" t="s">
        <v>12</v>
      </c>
      <c r="P4" s="610"/>
      <c r="Q4" s="612" t="s">
        <v>87</v>
      </c>
      <c r="R4" s="235">
        <v>1</v>
      </c>
      <c r="S4" s="236" t="str">
        <f>VLOOKUP(LARGE(B$4:B$7,$AC4),B$4:$O$7,12,FALSE)</f>
        <v>PS2</v>
      </c>
      <c r="T4" s="237">
        <f>VLOOKUP(LARGE(B$4:B$7,$AC4),B$4:$N$7,1,FALSE)</f>
        <v>7.8620689655172406E-3</v>
      </c>
      <c r="U4" s="236" t="str">
        <f>VLOOKUP(LARGE(D$4:D$7,$AC4),D$4:$O$7,10,FALSE)</f>
        <v>PS2</v>
      </c>
      <c r="V4" s="237">
        <f>VLOOKUP(LARGE(D$4:D$7,$AC4),D$4:$N$7,1,FALSE)</f>
        <v>1.0344827586206897E-3</v>
      </c>
      <c r="W4" s="236" t="str">
        <f>VLOOKUP(LARGE(F$4:F$7,$AC4),F$4:$O$7,8,FALSE)</f>
        <v>PS1</v>
      </c>
      <c r="X4" s="237">
        <f>VLOOKUP(LARGE(F$4:F$7,$AC4),F$4:$N$7,1,FALSE)</f>
        <v>7.5547480156832741E-3</v>
      </c>
      <c r="Y4" s="236" t="str">
        <f>VLOOKUP(LARGE(H$4:H$7,$AC4),H$4:$O$7,6,FALSE)</f>
        <v>PS3</v>
      </c>
      <c r="Z4" s="237">
        <f>VLOOKUP(LARGE(H$4:H$7,$AC4),H$4:$N$7,1,FALSE)</f>
        <v>3.1277367696734642E-3</v>
      </c>
      <c r="AA4" s="236" t="str">
        <f>VLOOKUP(LARGE(J$4:J$7,$AC4),J$4:$O$7,4,FALSE)</f>
        <v>PS1</v>
      </c>
      <c r="AB4" s="237">
        <f>VLOOKUP(LARGE(J$4:J$7,$AC4),J$4:$N$7,1,FALSE)</f>
        <v>1.912594434350196E-4</v>
      </c>
      <c r="AC4" s="238">
        <f>4-COUNTIF($N$4:$N$7,0)</f>
        <v>4</v>
      </c>
      <c r="AD4" s="239">
        <f>SUM(T4,V4,X4,Z4,AB4)</f>
        <v>1.977029595292969E-2</v>
      </c>
      <c r="AE4" s="27"/>
      <c r="AF4" s="27"/>
    </row>
    <row r="5" spans="1:32" x14ac:dyDescent="0.25">
      <c r="A5" s="211" t="str">
        <f>Stats!A4</f>
        <v>PS2</v>
      </c>
      <c r="B5" s="22">
        <f>IF(Stats!$N4 &lt;&gt; 0, Stats!D26, 0)</f>
        <v>7.8620689655172406E-3</v>
      </c>
      <c r="C5" s="18">
        <f>IF(B5, RANK(B5,B$4:B$7,1) - COUNTIF(B$4:B$7,0),0)</f>
        <v>1</v>
      </c>
      <c r="D5" s="22">
        <f>IF(Stats!$N4 &lt;&gt; 0, Stats!H26, 0)</f>
        <v>1.0344827586206897E-3</v>
      </c>
      <c r="E5" s="18">
        <f>IF(D5, RANK(D5,D$4:D$7,1) - COUNTIF(D$4:D$7,0),0)</f>
        <v>1</v>
      </c>
      <c r="F5" s="22">
        <f>IF(Stats!$N4 &lt;&gt; 0, Stats!G26, 0)</f>
        <v>9.7241379310344829E-3</v>
      </c>
      <c r="G5" s="18">
        <f>IF(F5, RANK(F5,F$4:F$7,1) - COUNTIF(F$4:F$7,0),0)</f>
        <v>2</v>
      </c>
      <c r="H5" s="22">
        <f>IF(Stats!$N4 &lt;&gt; 0, Stats!E26, 0)</f>
        <v>3.7931034482758621E-3</v>
      </c>
      <c r="I5" s="18">
        <f>IF(H5, RANK(H5,H$4:H$7,1) - COUNTIF(H$4:H$7,0),0)</f>
        <v>2</v>
      </c>
      <c r="J5" s="20">
        <f>IF(Stats!$N4 &lt;&gt; 0, Stats!I26, 0)</f>
        <v>6.8965517241379305E-4</v>
      </c>
      <c r="K5" s="18">
        <f>IF(J5, RANK(J5,J$4:J$7,1) - COUNTIF(J$4:J$7,0),0)</f>
        <v>4</v>
      </c>
      <c r="L5" s="13">
        <f t="shared" si="0"/>
        <v>2</v>
      </c>
      <c r="M5" s="15" t="s">
        <v>13</v>
      </c>
      <c r="N5" s="25">
        <f t="shared" ref="N5:N16" si="1">SUM(B5,D5,F5,H5,J5)</f>
        <v>2.3103448275862068E-2</v>
      </c>
      <c r="O5" s="15" t="s">
        <v>13</v>
      </c>
      <c r="P5" s="610"/>
      <c r="Q5" s="613"/>
      <c r="R5" s="240">
        <v>2</v>
      </c>
      <c r="S5" s="231" t="str">
        <f>VLOOKUP(LARGE(B$4:B$7,$AC5),B$4:$O$7,12,FALSE)</f>
        <v>PS3</v>
      </c>
      <c r="T5" s="232">
        <f>VLOOKUP(LARGE(B$4:B$7,$AC5),B$4:$N$7,1,FALSE)</f>
        <v>9.007881896659577E-3</v>
      </c>
      <c r="U5" s="231" t="str">
        <f>VLOOKUP(LARGE(D$4:D$7,$AC5),D$4:$O$7,10,FALSE)</f>
        <v>PS1</v>
      </c>
      <c r="V5" s="232">
        <f>VLOOKUP(LARGE(D$4:D$7,$AC5),D$4:$N$7,1,FALSE)</f>
        <v>1.434445825762647E-3</v>
      </c>
      <c r="W5" s="231" t="str">
        <f>VLOOKUP(LARGE(F$4:F$7,$AC5),F$4:$O$7,8,FALSE)</f>
        <v>PS2</v>
      </c>
      <c r="X5" s="232">
        <f>VLOOKUP(LARGE(F$4:F$7,$AC5),F$4:$N$7,1,FALSE)</f>
        <v>9.7241379310344829E-3</v>
      </c>
      <c r="Y5" s="231" t="str">
        <f>VLOOKUP(LARGE(H$4:H$7,$AC5),H$4:$O$7,6,FALSE)</f>
        <v>PS2</v>
      </c>
      <c r="Z5" s="232">
        <f>VLOOKUP(LARGE(H$4:H$7,$AC5),H$4:$N$7,1,FALSE)</f>
        <v>3.7931034482758621E-3</v>
      </c>
      <c r="AA5" s="231" t="str">
        <f>VLOOKUP(LARGE(J$4:J$7,$AC5),J$4:$O$7,4,FALSE)</f>
        <v>PS3</v>
      </c>
      <c r="AB5" s="232">
        <f>VLOOKUP(LARGE(J$4:J$7,$AC5),J$4:$N$7,1,FALSE)</f>
        <v>2.5021894157387716E-4</v>
      </c>
      <c r="AC5" s="233">
        <f>3-COUNTIF($N$4:$N$7,0)</f>
        <v>3</v>
      </c>
      <c r="AD5" s="241">
        <f t="shared" ref="AD5:AD13" si="2">SUM(T5,V5,X5,Z5,AB5)</f>
        <v>2.4209788043306448E-2</v>
      </c>
      <c r="AE5" s="27"/>
      <c r="AF5" s="27"/>
    </row>
    <row r="6" spans="1:32" x14ac:dyDescent="0.25">
      <c r="A6" s="211" t="str">
        <f>Stats!A5</f>
        <v>PS3</v>
      </c>
      <c r="B6" s="22">
        <f>IF(Stats!$N5 &lt;&gt; 0, Stats!D27, 0)</f>
        <v>9.007881896659577E-3</v>
      </c>
      <c r="C6" s="18">
        <f>IF(B6, RANK(B6,B$4:B$7,1) - COUNTIF(B$4:B$7,0),0)</f>
        <v>2</v>
      </c>
      <c r="D6" s="22">
        <f>IF(Stats!$N5 &lt;&gt; 0, Stats!H27, 0)</f>
        <v>2.8775178280995872E-3</v>
      </c>
      <c r="E6" s="18">
        <f>IF(D6, RANK(D6,D$4:D$7,1) - COUNTIF(D$4:D$7,0),0)</f>
        <v>4</v>
      </c>
      <c r="F6" s="22">
        <f>IF(Stats!$N5 &lt;&gt; 0, Stats!G27, 0)</f>
        <v>1.0759414487676717E-2</v>
      </c>
      <c r="G6" s="18">
        <f>IF(F6, RANK(F6,F$4:F$7,1) - COUNTIF(F$4:F$7,0),0)</f>
        <v>3</v>
      </c>
      <c r="H6" s="22">
        <f>IF(Stats!$N5 &lt;&gt; 0, Stats!E27, 0)</f>
        <v>3.1277367696734642E-3</v>
      </c>
      <c r="I6" s="18">
        <f>IF(H6, RANK(H6,H$4:H$7,1) - COUNTIF(H$4:H$7,0),0)</f>
        <v>1</v>
      </c>
      <c r="J6" s="20">
        <f>IF(Stats!$N5 &lt;&gt; 0, Stats!I27, 0)</f>
        <v>2.5021894157387716E-4</v>
      </c>
      <c r="K6" s="18">
        <f>IF(J6, RANK(J6,J$4:J$7,1) - COUNTIF(J$4:J$7,0),0)</f>
        <v>2</v>
      </c>
      <c r="L6" s="13">
        <f t="shared" si="0"/>
        <v>2.4</v>
      </c>
      <c r="M6" s="15" t="s">
        <v>14</v>
      </c>
      <c r="N6" s="25">
        <f t="shared" si="1"/>
        <v>2.6022769923683221E-2</v>
      </c>
      <c r="O6" s="15" t="s">
        <v>14</v>
      </c>
      <c r="P6" s="610"/>
      <c r="Q6" s="613"/>
      <c r="R6" s="240">
        <v>3</v>
      </c>
      <c r="S6" s="231" t="str">
        <f>VLOOKUP(LARGE(B$4:B$7,$AC6),B$4:$O$7,12,FALSE)</f>
        <v>PS1</v>
      </c>
      <c r="T6" s="232">
        <f>VLOOKUP(LARGE(B$4:B$7,$AC6),B$4:$N$7,1,FALSE)</f>
        <v>1.0136750502056039E-2</v>
      </c>
      <c r="U6" s="231" t="str">
        <f>VLOOKUP(LARGE(D$4:D$7,$AC6),D$4:$O$7,10,FALSE)</f>
        <v>PSRC</v>
      </c>
      <c r="V6" s="232">
        <f>VLOOKUP(LARGE(D$4:D$7,$AC6),D$4:$N$7,1,FALSE)</f>
        <v>2.6163333956269858E-3</v>
      </c>
      <c r="W6" s="231" t="str">
        <f>VLOOKUP(LARGE(F$4:F$7,$AC6),F$4:$O$7,8,FALSE)</f>
        <v>PS3</v>
      </c>
      <c r="X6" s="232">
        <f>VLOOKUP(LARGE(F$4:F$7,$AC6),F$4:$N$7,1,FALSE)</f>
        <v>1.0759414487676717E-2</v>
      </c>
      <c r="Y6" s="231" t="str">
        <f>VLOOKUP(LARGE(H$4:H$7,$AC6),H$4:$O$7,6,FALSE)</f>
        <v>PS1</v>
      </c>
      <c r="Z6" s="232">
        <f>VLOOKUP(LARGE(H$4:H$7,$AC6),H$4:$N$7,1,FALSE)</f>
        <v>6.4071913550731571E-3</v>
      </c>
      <c r="AA6" s="231" t="str">
        <f>VLOOKUP(LARGE(J$4:J$7,$AC6),J$4:$O$7,4,FALSE)</f>
        <v>PSRC</v>
      </c>
      <c r="AB6" s="232">
        <f>VLOOKUP(LARGE(J$4:J$7,$AC6),J$4:$N$7,1,FALSE)</f>
        <v>3.7376191366099795E-4</v>
      </c>
      <c r="AC6" s="233">
        <f>2-COUNTIF($N$4:$N$7,0)</f>
        <v>2</v>
      </c>
      <c r="AD6" s="241">
        <f t="shared" si="2"/>
        <v>3.02934516540939E-2</v>
      </c>
      <c r="AE6" s="27"/>
      <c r="AF6" s="27"/>
    </row>
    <row r="7" spans="1:32" ht="15.75" thickBot="1" x14ac:dyDescent="0.3">
      <c r="A7" s="211" t="str">
        <f>Stats!A6</f>
        <v>PSRC</v>
      </c>
      <c r="B7" s="22">
        <f>IF(Stats!$N6 &lt;&gt; 0, Stats!D28, 0)</f>
        <v>1.6445524201083909E-2</v>
      </c>
      <c r="C7" s="18">
        <f>IF(B7, RANK(B7,B$4:B$7,1) - COUNTIF(B$4:B$7,0),0)</f>
        <v>4</v>
      </c>
      <c r="D7" s="22">
        <f>IF(Stats!$N6 &lt;&gt; 0, Stats!H28, 0)</f>
        <v>2.6163333956269858E-3</v>
      </c>
      <c r="E7" s="18">
        <f>IF(D7, RANK(D7,D$4:D$7,1) - COUNTIF(D$4:D$7,0),0)</f>
        <v>3</v>
      </c>
      <c r="F7" s="22">
        <f>IF(Stats!$N6 &lt;&gt; 0, Stats!G28, 0)</f>
        <v>2.0183143337693887E-2</v>
      </c>
      <c r="G7" s="18">
        <f>IF(F7, RANK(F7,F$4:F$7,1) - COUNTIF(F$4:F$7,0),0)</f>
        <v>4</v>
      </c>
      <c r="H7" s="22">
        <f>IF(Stats!$N6 &lt;&gt; 0, Stats!E28, 0)</f>
        <v>1.3829190805456923E-2</v>
      </c>
      <c r="I7" s="18">
        <f>IF(H7, RANK(H7,H$4:H$7,1) - COUNTIF(H$4:H$7,0),0)</f>
        <v>4</v>
      </c>
      <c r="J7" s="20">
        <f>IF(Stats!$N6 &lt;&gt; 0, Stats!I28, 0)</f>
        <v>3.7376191366099795E-4</v>
      </c>
      <c r="K7" s="18">
        <f>IF(J7, RANK(J7,J$4:J$7,1) - COUNTIF(J$4:J$7,0),0)</f>
        <v>3</v>
      </c>
      <c r="L7" s="13">
        <f t="shared" si="0"/>
        <v>3.6</v>
      </c>
      <c r="M7" s="15" t="s">
        <v>20616</v>
      </c>
      <c r="N7" s="25">
        <f t="shared" si="1"/>
        <v>5.3447953653522701E-2</v>
      </c>
      <c r="O7" s="15" t="s">
        <v>20616</v>
      </c>
      <c r="P7" s="610"/>
      <c r="Q7" s="614"/>
      <c r="R7" s="242">
        <v>4</v>
      </c>
      <c r="S7" s="243" t="str">
        <f>VLOOKUP(LARGE(B$4:B$7,$AC7),B$4:$O$7,12,FALSE)</f>
        <v>PSRC</v>
      </c>
      <c r="T7" s="244">
        <f>VLOOKUP(LARGE(B$4:B$7,$AC7),B$4:$N$7,1,FALSE)</f>
        <v>1.6445524201083909E-2</v>
      </c>
      <c r="U7" s="243" t="str">
        <f>VLOOKUP(LARGE(D$4:D$7,$AC7),D$4:$O$7,10,FALSE)</f>
        <v>PS3</v>
      </c>
      <c r="V7" s="244">
        <f>VLOOKUP(LARGE(D$4:D$7,$AC7),D$4:$N$7,1,FALSE)</f>
        <v>2.8775178280995872E-3</v>
      </c>
      <c r="W7" s="243" t="str">
        <f>VLOOKUP(LARGE(F$4:F$7,$AC7),F$4:$O$7,8,FALSE)</f>
        <v>PSRC</v>
      </c>
      <c r="X7" s="244">
        <f>VLOOKUP(LARGE(F$4:F$7,$AC7),F$4:$N$7,1,FALSE)</f>
        <v>2.0183143337693887E-2</v>
      </c>
      <c r="Y7" s="243" t="str">
        <f>VLOOKUP(LARGE(H$4:H$7,$AC7),H$4:$O$7,6,FALSE)</f>
        <v>PSRC</v>
      </c>
      <c r="Z7" s="244">
        <f>VLOOKUP(LARGE(H$4:H$7,$AC7),H$4:$N$7,1,FALSE)</f>
        <v>1.3829190805456923E-2</v>
      </c>
      <c r="AA7" s="243" t="str">
        <f>VLOOKUP(LARGE(J$4:J$7,$AC7),J$4:$O$7,4,FALSE)</f>
        <v>PS2</v>
      </c>
      <c r="AB7" s="244">
        <f>VLOOKUP(LARGE(J$4:J$7,$AC7),J$4:$N$7,1,FALSE)</f>
        <v>6.8965517241379305E-4</v>
      </c>
      <c r="AC7" s="245">
        <f>1-COUNTIF($N$4:$N$7,0)</f>
        <v>1</v>
      </c>
      <c r="AD7" s="246">
        <f t="shared" si="2"/>
        <v>5.4025031344748106E-2</v>
      </c>
      <c r="AE7" s="27"/>
      <c r="AF7" s="27"/>
    </row>
    <row r="8" spans="1:32" ht="15" customHeight="1" x14ac:dyDescent="0.25">
      <c r="A8" s="210" t="str">
        <f>Stats!A8</f>
        <v>PD1</v>
      </c>
      <c r="B8" s="21">
        <f>IF(Stats!$N8 &lt;&gt; 0, Stats!D30, 0)</f>
        <v>5.1929538743508809E-3</v>
      </c>
      <c r="C8" s="17">
        <f t="shared" ref="C8:C13" si="3">IF(B8, RANK(B8,B$8:B$13,1) - COUNTIF(B$8:B$13,0),0)</f>
        <v>1</v>
      </c>
      <c r="D8" s="21">
        <f>IF(Stats!$N8 &lt;&gt; 0, Stats!H30, 0)</f>
        <v>1.4255167498218105E-3</v>
      </c>
      <c r="E8" s="17">
        <f t="shared" ref="E8:E13" si="4">IF(D8, RANK(D8,D$8:D$13,1) - COUNTIF(D$8:D$13,0),0)</f>
        <v>2</v>
      </c>
      <c r="F8" s="21">
        <f>IF(Stats!$N8 &lt;&gt; 0, Stats!G30, 0)</f>
        <v>3.1565013746054373E-3</v>
      </c>
      <c r="G8" s="17">
        <f t="shared" ref="G8:G13" si="5">IF(F8, RANK(F8,F$8:F$13,1) - COUNTIF(F$8:F$13,0),0)</f>
        <v>2</v>
      </c>
      <c r="H8" s="21">
        <f>IF(Stats!$N8 &lt;&gt; 0, Stats!E30, 0)</f>
        <v>2.7492108746563488E-3</v>
      </c>
      <c r="I8" s="17">
        <f t="shared" ref="I8:I13" si="6">IF(H8, RANK(H8,H$8:H$13,1) - COUNTIF(H$8:H$13,0),0)</f>
        <v>1</v>
      </c>
      <c r="J8" s="19">
        <f>IF(Stats!$N8 &lt;&gt; 0, Stats!I30, 0)</f>
        <v>0</v>
      </c>
      <c r="K8" s="17">
        <f t="shared" ref="K8:K13" si="7">IF(J8, RANK(J8,J$8:J$13,1) - COUNTIF(J$8:J$13,0),0)</f>
        <v>0</v>
      </c>
      <c r="L8" s="12">
        <f t="shared" si="0"/>
        <v>1.2</v>
      </c>
      <c r="M8" s="15" t="s">
        <v>24</v>
      </c>
      <c r="N8" s="24">
        <f t="shared" si="1"/>
        <v>1.2524182873434478E-2</v>
      </c>
      <c r="O8" s="15" t="s">
        <v>24</v>
      </c>
      <c r="P8" s="610"/>
      <c r="Q8" s="612" t="s">
        <v>88</v>
      </c>
      <c r="R8" s="235">
        <v>1</v>
      </c>
      <c r="S8" s="236" t="str">
        <f t="shared" ref="S8:S13" si="8">VLOOKUP(LARGE(B$8:B$13,$AC8),B$8:O$13,12,FALSE)</f>
        <v>PD1</v>
      </c>
      <c r="T8" s="237">
        <f>VLOOKUP(LARGE(B$8:B$13,$AC8),B$8:O$13,1,FALSE)</f>
        <v>5.1929538743508809E-3</v>
      </c>
      <c r="U8" s="236" t="str">
        <f t="shared" ref="U8:U13" si="9">VLOOKUP(LARGE(D$8:D$13,$AC8),D$8:Q$13,10,FALSE)</f>
        <v>PD3</v>
      </c>
      <c r="V8" s="237">
        <f>VLOOKUP(LARGE(D$8:D$13,$AC8),D$8:Q$13,1,FALSE)</f>
        <v>9.2293493308721734E-4</v>
      </c>
      <c r="W8" s="236" t="str">
        <f t="shared" ref="W8:W13" si="10">VLOOKUP(LARGE(F$8:F$13,$AC8),F$8:S$13,8,FALSE)</f>
        <v>PD2</v>
      </c>
      <c r="X8" s="237">
        <f>VLOOKUP(LARGE(F$8:F$13,$AC8),F$8:S$13,1,FALSE)</f>
        <v>2.6910026910026909E-3</v>
      </c>
      <c r="Y8" s="236" t="str">
        <f t="shared" ref="Y8:Y13" si="11">VLOOKUP(LARGE(H$8:H$13,$AC8),H$8:U$13,6,FALSE)</f>
        <v>PD1</v>
      </c>
      <c r="Z8" s="237">
        <f>VLOOKUP(LARGE(H$8:H$13,$AC8),H$8:U$13,1,FALSE)</f>
        <v>2.7492108746563488E-3</v>
      </c>
      <c r="AA8" s="236" t="str">
        <f t="shared" ref="AA8:AA13" si="12">VLOOKUP(LARGE(J$8:J$13,$AC8),J$8:W$13,4,FALSE)</f>
        <v>PD1</v>
      </c>
      <c r="AB8" s="237">
        <f>VLOOKUP(LARGE(J$8:J$13,$AC8),J$8:W$13,1,FALSE)</f>
        <v>0</v>
      </c>
      <c r="AC8" s="238">
        <f>6-COUNTIF($N$8:$N$13,0)</f>
        <v>3</v>
      </c>
      <c r="AD8" s="239">
        <f>SUM(T8,V8,X8,Z8,AB8)</f>
        <v>1.1556102373097139E-2</v>
      </c>
    </row>
    <row r="9" spans="1:32" x14ac:dyDescent="0.25">
      <c r="A9" s="211" t="str">
        <f>Stats!A9</f>
        <v>PD2</v>
      </c>
      <c r="B9" s="22">
        <f>IF(Stats!$N9 &lt;&gt; 0, Stats!D31, 0)</f>
        <v>5.6160056160056157E-3</v>
      </c>
      <c r="C9" s="18">
        <f t="shared" si="3"/>
        <v>3</v>
      </c>
      <c r="D9" s="22">
        <f>IF(Stats!$N9 &lt;&gt; 0, Stats!H31, 0)</f>
        <v>1.7550017550017551E-3</v>
      </c>
      <c r="E9" s="18">
        <f t="shared" si="4"/>
        <v>3</v>
      </c>
      <c r="F9" s="22">
        <f>IF(Stats!$N9 &lt;&gt; 0, Stats!G31, 0)</f>
        <v>2.6910026910026909E-3</v>
      </c>
      <c r="G9" s="18">
        <f t="shared" si="5"/>
        <v>1</v>
      </c>
      <c r="H9" s="22">
        <f>IF(Stats!$N9 &lt;&gt; 0, Stats!E31, 0)</f>
        <v>3.2760032760032762E-3</v>
      </c>
      <c r="I9" s="18">
        <f t="shared" si="6"/>
        <v>2</v>
      </c>
      <c r="J9" s="20">
        <f>IF(Stats!$N9 &lt;&gt; 0, Stats!I31, 0)</f>
        <v>1.053001053001053E-3</v>
      </c>
      <c r="K9" s="18">
        <f t="shared" si="7"/>
        <v>1</v>
      </c>
      <c r="L9" s="13">
        <f t="shared" si="0"/>
        <v>2</v>
      </c>
      <c r="M9" s="15" t="s">
        <v>25</v>
      </c>
      <c r="N9" s="25">
        <f t="shared" si="1"/>
        <v>1.4391014391014392E-2</v>
      </c>
      <c r="O9" s="15" t="s">
        <v>25</v>
      </c>
      <c r="P9" s="610"/>
      <c r="Q9" s="613"/>
      <c r="R9" s="240">
        <v>2</v>
      </c>
      <c r="S9" s="231" t="str">
        <f t="shared" si="8"/>
        <v>PD3</v>
      </c>
      <c r="T9" s="232">
        <f t="shared" ref="T9:AB13" si="13">VLOOKUP(LARGE(B$8:B$13,$AC9),B$8:O$13,1,FALSE)</f>
        <v>5.3068758652514997E-3</v>
      </c>
      <c r="U9" s="231" t="str">
        <f t="shared" si="9"/>
        <v>PD1</v>
      </c>
      <c r="V9" s="232">
        <f t="shared" si="13"/>
        <v>1.4255167498218105E-3</v>
      </c>
      <c r="W9" s="231" t="str">
        <f t="shared" si="10"/>
        <v>PD1</v>
      </c>
      <c r="X9" s="232">
        <f t="shared" si="13"/>
        <v>3.1565013746054373E-3</v>
      </c>
      <c r="Y9" s="231" t="str">
        <f t="shared" si="11"/>
        <v>PD2</v>
      </c>
      <c r="Z9" s="232">
        <f t="shared" si="13"/>
        <v>3.2760032760032762E-3</v>
      </c>
      <c r="AA9" s="231" t="str">
        <f t="shared" si="12"/>
        <v>PD1</v>
      </c>
      <c r="AB9" s="232">
        <f t="shared" si="13"/>
        <v>0</v>
      </c>
      <c r="AC9" s="233">
        <f>5-COUNTIF($N$8:$N$13,0)</f>
        <v>2</v>
      </c>
      <c r="AD9" s="241">
        <f t="shared" si="2"/>
        <v>1.3164897265682023E-2</v>
      </c>
    </row>
    <row r="10" spans="1:32" x14ac:dyDescent="0.25">
      <c r="A10" s="211" t="str">
        <f>Stats!A10</f>
        <v>PD3</v>
      </c>
      <c r="B10" s="22">
        <f>IF(Stats!$N10 &lt;&gt; 0, Stats!D32, 0)</f>
        <v>5.3068758652514997E-3</v>
      </c>
      <c r="C10" s="18">
        <f t="shared" si="3"/>
        <v>2</v>
      </c>
      <c r="D10" s="22">
        <f>IF(Stats!$N10 &lt;&gt; 0, Stats!H32, 0)</f>
        <v>9.2293493308721734E-4</v>
      </c>
      <c r="E10" s="18">
        <f t="shared" si="4"/>
        <v>1</v>
      </c>
      <c r="F10" s="22">
        <f>IF(Stats!$N10 &lt;&gt; 0, Stats!G32, 0)</f>
        <v>4.2301184433164128E-3</v>
      </c>
      <c r="G10" s="18">
        <f t="shared" si="5"/>
        <v>3</v>
      </c>
      <c r="H10" s="22">
        <f>IF(Stats!$N10 &lt;&gt; 0, Stats!E32, 0)</f>
        <v>3.4610059990770651E-3</v>
      </c>
      <c r="I10" s="18">
        <f t="shared" si="6"/>
        <v>3</v>
      </c>
      <c r="J10" s="20">
        <f>IF(Stats!$N10 &lt;&gt; 0, Stats!I32, 0)</f>
        <v>0</v>
      </c>
      <c r="K10" s="18">
        <f t="shared" si="7"/>
        <v>0</v>
      </c>
      <c r="L10" s="13">
        <f t="shared" si="0"/>
        <v>1.8</v>
      </c>
      <c r="M10" s="15" t="s">
        <v>26</v>
      </c>
      <c r="N10" s="25">
        <f t="shared" si="1"/>
        <v>1.3920935240732195E-2</v>
      </c>
      <c r="O10" s="15" t="s">
        <v>26</v>
      </c>
      <c r="P10" s="610"/>
      <c r="Q10" s="613"/>
      <c r="R10" s="240">
        <v>3</v>
      </c>
      <c r="S10" s="231" t="str">
        <f t="shared" si="8"/>
        <v>PD2</v>
      </c>
      <c r="T10" s="232">
        <f t="shared" si="13"/>
        <v>5.6160056160056157E-3</v>
      </c>
      <c r="U10" s="231" t="str">
        <f t="shared" si="9"/>
        <v>PD2</v>
      </c>
      <c r="V10" s="232">
        <f t="shared" si="13"/>
        <v>1.7550017550017551E-3</v>
      </c>
      <c r="W10" s="231" t="str">
        <f t="shared" si="10"/>
        <v>PD3</v>
      </c>
      <c r="X10" s="232">
        <f t="shared" si="13"/>
        <v>4.2301184433164128E-3</v>
      </c>
      <c r="Y10" s="231" t="str">
        <f t="shared" si="11"/>
        <v>PD3</v>
      </c>
      <c r="Z10" s="232">
        <f t="shared" si="13"/>
        <v>3.4610059990770651E-3</v>
      </c>
      <c r="AA10" s="231" t="str">
        <f t="shared" si="12"/>
        <v>PD2</v>
      </c>
      <c r="AB10" s="232">
        <f t="shared" si="13"/>
        <v>1.053001053001053E-3</v>
      </c>
      <c r="AC10" s="233">
        <f>4-COUNTIF($N$8:$N$13,0)</f>
        <v>1</v>
      </c>
      <c r="AD10" s="241">
        <f t="shared" si="2"/>
        <v>1.6115132866401902E-2</v>
      </c>
    </row>
    <row r="11" spans="1:32" x14ac:dyDescent="0.25">
      <c r="A11" s="211" t="s">
        <v>20572</v>
      </c>
      <c r="B11" s="22">
        <f>IF(Stats!$N11 &lt;&gt; 0, Stats!D33, 0)</f>
        <v>0</v>
      </c>
      <c r="C11" s="18">
        <f t="shared" si="3"/>
        <v>0</v>
      </c>
      <c r="D11" s="22">
        <f>IF(Stats!$N11 &lt;&gt; 0, Stats!H33, 0)</f>
        <v>0</v>
      </c>
      <c r="E11" s="18">
        <f t="shared" si="4"/>
        <v>0</v>
      </c>
      <c r="F11" s="22">
        <f>IF(Stats!$N11 &lt;&gt; 0, Stats!G33, 0)</f>
        <v>0</v>
      </c>
      <c r="G11" s="18">
        <f t="shared" si="5"/>
        <v>0</v>
      </c>
      <c r="H11" s="22">
        <f>IF(Stats!$N11 &lt;&gt; 0, Stats!E33, 0)</f>
        <v>0</v>
      </c>
      <c r="I11" s="18">
        <f t="shared" si="6"/>
        <v>0</v>
      </c>
      <c r="J11" s="20">
        <f>IF(Stats!$N11 &lt;&gt; 0, Stats!I33, 0)</f>
        <v>0</v>
      </c>
      <c r="K11" s="18">
        <f t="shared" si="7"/>
        <v>0</v>
      </c>
      <c r="L11" s="13">
        <f t="shared" si="0"/>
        <v>0</v>
      </c>
      <c r="M11" s="15" t="s">
        <v>20572</v>
      </c>
      <c r="N11" s="25">
        <f t="shared" si="1"/>
        <v>0</v>
      </c>
      <c r="O11" s="15" t="s">
        <v>20572</v>
      </c>
      <c r="P11" s="610"/>
      <c r="Q11" s="613"/>
      <c r="R11" s="240">
        <v>4</v>
      </c>
      <c r="S11" s="231" t="e">
        <f t="shared" si="8"/>
        <v>#NUM!</v>
      </c>
      <c r="T11" s="232" t="e">
        <f t="shared" si="13"/>
        <v>#NUM!</v>
      </c>
      <c r="U11" s="231" t="e">
        <f t="shared" si="9"/>
        <v>#NUM!</v>
      </c>
      <c r="V11" s="232" t="e">
        <f t="shared" si="13"/>
        <v>#NUM!</v>
      </c>
      <c r="W11" s="231" t="e">
        <f t="shared" si="10"/>
        <v>#NUM!</v>
      </c>
      <c r="X11" s="232" t="e">
        <f t="shared" si="13"/>
        <v>#NUM!</v>
      </c>
      <c r="Y11" s="231" t="e">
        <f t="shared" si="11"/>
        <v>#NUM!</v>
      </c>
      <c r="Z11" s="232" t="e">
        <f t="shared" si="13"/>
        <v>#NUM!</v>
      </c>
      <c r="AA11" s="231" t="e">
        <f t="shared" si="12"/>
        <v>#NUM!</v>
      </c>
      <c r="AB11" s="232" t="e">
        <f t="shared" si="13"/>
        <v>#NUM!</v>
      </c>
      <c r="AC11" s="233">
        <f>3-COUNTIF($N$8:$N$13,0)</f>
        <v>0</v>
      </c>
      <c r="AD11" s="241" t="e">
        <f t="shared" si="2"/>
        <v>#NUM!</v>
      </c>
    </row>
    <row r="12" spans="1:32" x14ac:dyDescent="0.25">
      <c r="A12" s="211" t="str">
        <f>Stats!A12</f>
        <v>M5</v>
      </c>
      <c r="B12" s="22">
        <f>IF(Stats!$N12 &lt;&gt; 0, Stats!D34, 0)</f>
        <v>0</v>
      </c>
      <c r="C12" s="18">
        <f t="shared" si="3"/>
        <v>0</v>
      </c>
      <c r="D12" s="22">
        <f>IF(Stats!$N12 &lt;&gt; 0, Stats!H34, 0)</f>
        <v>0</v>
      </c>
      <c r="E12" s="18">
        <f t="shared" si="4"/>
        <v>0</v>
      </c>
      <c r="F12" s="22">
        <f>IF(Stats!$N12 &lt;&gt; 0, Stats!G34, 0)</f>
        <v>0</v>
      </c>
      <c r="G12" s="18">
        <f t="shared" si="5"/>
        <v>0</v>
      </c>
      <c r="H12" s="22">
        <f>IF(Stats!$N12 &lt;&gt; 0, Stats!E34, 0)</f>
        <v>0</v>
      </c>
      <c r="I12" s="18">
        <f t="shared" si="6"/>
        <v>0</v>
      </c>
      <c r="J12" s="20">
        <f>IF(Stats!$N12 &lt;&gt; 0, Stats!I34, 0)</f>
        <v>0</v>
      </c>
      <c r="K12" s="18">
        <f t="shared" si="7"/>
        <v>0</v>
      </c>
      <c r="L12" s="13">
        <f t="shared" si="0"/>
        <v>0</v>
      </c>
      <c r="M12" s="15" t="s">
        <v>20573</v>
      </c>
      <c r="N12" s="25">
        <f t="shared" si="1"/>
        <v>0</v>
      </c>
      <c r="O12" s="15" t="s">
        <v>20573</v>
      </c>
      <c r="P12" s="610"/>
      <c r="Q12" s="613"/>
      <c r="R12" s="240">
        <v>5</v>
      </c>
      <c r="S12" s="231" t="e">
        <f t="shared" si="8"/>
        <v>#NUM!</v>
      </c>
      <c r="T12" s="232" t="e">
        <f t="shared" si="13"/>
        <v>#NUM!</v>
      </c>
      <c r="U12" s="231" t="e">
        <f t="shared" si="9"/>
        <v>#NUM!</v>
      </c>
      <c r="V12" s="232" t="e">
        <f t="shared" si="13"/>
        <v>#NUM!</v>
      </c>
      <c r="W12" s="231" t="e">
        <f t="shared" si="10"/>
        <v>#NUM!</v>
      </c>
      <c r="X12" s="232" t="e">
        <f t="shared" si="13"/>
        <v>#NUM!</v>
      </c>
      <c r="Y12" s="231" t="e">
        <f t="shared" si="11"/>
        <v>#NUM!</v>
      </c>
      <c r="Z12" s="232" t="e">
        <f t="shared" si="13"/>
        <v>#NUM!</v>
      </c>
      <c r="AA12" s="231" t="e">
        <f t="shared" si="12"/>
        <v>#NUM!</v>
      </c>
      <c r="AB12" s="232" t="e">
        <f t="shared" si="13"/>
        <v>#NUM!</v>
      </c>
      <c r="AC12" s="233">
        <f>2-COUNTIF($N$8:$N$13,0)</f>
        <v>-1</v>
      </c>
      <c r="AD12" s="241" t="e">
        <f>SUM(T12,V12,X12,Z12,AB12)</f>
        <v>#NUM!</v>
      </c>
    </row>
    <row r="13" spans="1:32" ht="15.75" thickBot="1" x14ac:dyDescent="0.3">
      <c r="A13" s="211" t="str">
        <f>Stats!A13</f>
        <v>M6</v>
      </c>
      <c r="B13" s="22">
        <f>IF(Stats!$N13 &lt;&gt; 0, Stats!D35, 0)</f>
        <v>0</v>
      </c>
      <c r="C13" s="18">
        <f t="shared" si="3"/>
        <v>0</v>
      </c>
      <c r="D13" s="22">
        <f>IF(Stats!$N13 &lt;&gt; 0, Stats!H35, 0)</f>
        <v>0</v>
      </c>
      <c r="E13" s="18">
        <f t="shared" si="4"/>
        <v>0</v>
      </c>
      <c r="F13" s="22">
        <f>IF(Stats!$N13 &lt;&gt; 0, Stats!G35, 0)</f>
        <v>0</v>
      </c>
      <c r="G13" s="18">
        <f t="shared" si="5"/>
        <v>0</v>
      </c>
      <c r="H13" s="22">
        <f>IF(Stats!$N13 &lt;&gt; 0, Stats!E35, 0)</f>
        <v>0</v>
      </c>
      <c r="I13" s="18">
        <f t="shared" si="6"/>
        <v>0</v>
      </c>
      <c r="J13" s="20">
        <f>IF(Stats!$N13 &lt;&gt; 0, Stats!I35, 0)</f>
        <v>0</v>
      </c>
      <c r="K13" s="18">
        <f t="shared" si="7"/>
        <v>0</v>
      </c>
      <c r="L13" s="252">
        <f t="shared" si="0"/>
        <v>0</v>
      </c>
      <c r="M13" s="15" t="s">
        <v>20574</v>
      </c>
      <c r="N13" s="25">
        <f t="shared" si="1"/>
        <v>0</v>
      </c>
      <c r="O13" s="15" t="s">
        <v>20574</v>
      </c>
      <c r="P13" s="610"/>
      <c r="Q13" s="614"/>
      <c r="R13" s="242">
        <v>6</v>
      </c>
      <c r="S13" s="243" t="e">
        <f t="shared" si="8"/>
        <v>#NUM!</v>
      </c>
      <c r="T13" s="244" t="e">
        <f t="shared" si="13"/>
        <v>#NUM!</v>
      </c>
      <c r="U13" s="243" t="e">
        <f t="shared" si="9"/>
        <v>#NUM!</v>
      </c>
      <c r="V13" s="244" t="e">
        <f t="shared" si="13"/>
        <v>#NUM!</v>
      </c>
      <c r="W13" s="243" t="e">
        <f t="shared" si="10"/>
        <v>#NUM!</v>
      </c>
      <c r="X13" s="244" t="e">
        <f t="shared" si="13"/>
        <v>#NUM!</v>
      </c>
      <c r="Y13" s="243" t="e">
        <f t="shared" si="11"/>
        <v>#NUM!</v>
      </c>
      <c r="Z13" s="244" t="e">
        <f t="shared" si="13"/>
        <v>#NUM!</v>
      </c>
      <c r="AA13" s="243" t="e">
        <f t="shared" si="12"/>
        <v>#NUM!</v>
      </c>
      <c r="AB13" s="244" t="e">
        <f t="shared" si="13"/>
        <v>#NUM!</v>
      </c>
      <c r="AC13" s="245">
        <f>1-COUNTIF($N$8:$N$13,0)</f>
        <v>-2</v>
      </c>
      <c r="AD13" s="246" t="e">
        <f t="shared" si="2"/>
        <v>#NUM!</v>
      </c>
    </row>
    <row r="14" spans="1:32" ht="15" customHeight="1" x14ac:dyDescent="0.25">
      <c r="A14" s="210" t="str">
        <f>Stats!A16</f>
        <v>SAI 1</v>
      </c>
      <c r="B14" s="21" t="str">
        <f>IF(Stats!$N16 &lt;&gt; 0, Stats!D37, 0)</f>
        <v>NO SORT MSG</v>
      </c>
      <c r="C14" s="17" t="e">
        <f>IF(B14, RANK(B14,B$14:B$16,1) - COUNTIF(B$14:B$16,0),0)</f>
        <v>#VALUE!</v>
      </c>
      <c r="D14" s="21" t="str">
        <f>IF(Stats!$N16 &lt;&gt; 0, Stats!H37, 0)</f>
        <v>OVER SIZED</v>
      </c>
      <c r="E14" s="17" t="e">
        <f>IF(D14, RANK(D14,D$14:D$16,1) - COUNTIF(D$14:D$16,0),0)</f>
        <v>#VALUE!</v>
      </c>
      <c r="F14" s="21" t="str">
        <f>IF(Stats!$N16 &lt;&gt; 0, Stats!G37, 0)</f>
        <v>Lost in Tracking</v>
      </c>
      <c r="G14" s="17" t="e">
        <f>IF(F14, RANK(F14,F$14:F$16,1) - COUNTIF(F$14:F$16,0),0)</f>
        <v>#VALUE!</v>
      </c>
      <c r="H14" s="21" t="str">
        <f>IF(Stats!$N16 &lt;&gt; 0, Stats!E37, 0)</f>
        <v>SPACING ERROR</v>
      </c>
      <c r="I14" s="17" t="e">
        <f>IF(H14, RANK(H14,H$14:H$16,1) - COUNTIF(H$14:H$16,0),0)</f>
        <v>#VALUE!</v>
      </c>
      <c r="J14" s="19" t="str">
        <f>IF(Stats!$N16 &lt;&gt; 0, Stats!I37, 0)</f>
        <v>Diverter Failed</v>
      </c>
      <c r="K14" s="17" t="e">
        <f>IF(J14, RANK(J14,J$14:J$16,1) - COUNTIF(J$14:J$16,0),0)</f>
        <v>#VALUE!</v>
      </c>
      <c r="L14" s="13" t="e">
        <f t="shared" si="0"/>
        <v>#VALUE!</v>
      </c>
      <c r="M14" s="15" t="s">
        <v>20584</v>
      </c>
      <c r="N14" s="24">
        <f t="shared" si="1"/>
        <v>0</v>
      </c>
      <c r="O14" s="15" t="s">
        <v>63</v>
      </c>
      <c r="P14" s="610"/>
      <c r="Q14" s="612" t="s">
        <v>89</v>
      </c>
      <c r="R14" s="235">
        <v>1</v>
      </c>
      <c r="S14" s="236" t="e">
        <f>VLOOKUP(LARGE(C$14:C$16,$AC14),C$14:$P$16,11,FALSE)</f>
        <v>#VALUE!</v>
      </c>
      <c r="T14" s="236" t="e">
        <f>VLOOKUP(LARGE(D$14:D$16,$AC14),D$14:$P$16,11,FALSE)</f>
        <v>#NUM!</v>
      </c>
      <c r="U14" s="236" t="e">
        <f>VLOOKUP(LARGE(E$14:E$16,$AC14),E$14:$P$16,9,FALSE)</f>
        <v>#VALUE!</v>
      </c>
      <c r="V14" s="236" t="e">
        <f>VLOOKUP(LARGE(F$14:F$16,$AC14),F$14:$P$16,9,FALSE)</f>
        <v>#NUM!</v>
      </c>
      <c r="W14" s="236" t="e">
        <f>VLOOKUP(LARGE(G$14:G$16,$AC14),G$14:$P$16,7,FALSE)</f>
        <v>#VALUE!</v>
      </c>
      <c r="X14" s="236" t="e">
        <f>VLOOKUP(LARGE(H$14:H$16,$AC14),H$14:$P$16,7,FALSE)</f>
        <v>#NUM!</v>
      </c>
      <c r="Y14" s="236" t="e">
        <f>VLOOKUP(LARGE(I$14:I$16,$AC14),I$14:$P$16,5,FALSE)</f>
        <v>#VALUE!</v>
      </c>
      <c r="Z14" s="236" t="e">
        <f>VLOOKUP(LARGE(J$14:J$16,$AC14),J$14:$P$16,5,FALSE)</f>
        <v>#NUM!</v>
      </c>
      <c r="AA14" s="236" t="e">
        <f>VLOOKUP(LARGE(K$14:K$16,$AC14),K$14:$P$16,3,FALSE)</f>
        <v>#VALUE!</v>
      </c>
      <c r="AB14" s="236"/>
      <c r="AC14" s="247">
        <v>8</v>
      </c>
      <c r="AD14" s="248"/>
    </row>
    <row r="15" spans="1:32" x14ac:dyDescent="0.25">
      <c r="A15" s="211" t="str">
        <f>Stats!A17</f>
        <v>SAI 2</v>
      </c>
      <c r="B15" s="22">
        <f>IF(Stats!$N17 &lt;&gt; 0, Stats!D38, 0)</f>
        <v>2.570327002713123E-3</v>
      </c>
      <c r="C15" s="18">
        <f>IF(B15, RANK(B15,B$14:B$16,1) - COUNTIF(B$14:B$16,0),0)</f>
        <v>1</v>
      </c>
      <c r="D15" s="22">
        <f>IF(Stats!$N17 &lt;&gt; 0, Stats!H38, 0)</f>
        <v>1.1709267456804227E-2</v>
      </c>
      <c r="E15" s="18">
        <f>IF(D15, RANK(D15,D$14:D$16,1) - COUNTIF(D$14:D$16,0),0)</f>
        <v>1</v>
      </c>
      <c r="F15" s="22">
        <f>IF(Stats!$N17 &lt;&gt; 0, Stats!G38, 0)</f>
        <v>4.8479223190061399E-2</v>
      </c>
      <c r="G15" s="18">
        <f>IF(F15, RANK(F15,F$14:F$16,1) - COUNTIF(F$14:F$16,0),0)</f>
        <v>1</v>
      </c>
      <c r="H15" s="22">
        <f>IF(Stats!$N17 &lt;&gt; 0, Stats!E38, 0)</f>
        <v>3.2843067256889905E-3</v>
      </c>
      <c r="I15" s="18">
        <f>IF(H15, RANK(H15,H$14:H$16,1) - COUNTIF(H$14:H$16,0),0)</f>
        <v>1</v>
      </c>
      <c r="J15" s="20">
        <f>IF(Stats!$N17 &lt;&gt; 0, Stats!I38, 0)</f>
        <v>4.3552763101527914E-3</v>
      </c>
      <c r="K15" s="18">
        <f>IF(J15, RANK(J15,J$14:J$16,1) - COUNTIF(J$14:J$16,0),0)</f>
        <v>1</v>
      </c>
      <c r="L15" s="13">
        <f t="shared" si="0"/>
        <v>1</v>
      </c>
      <c r="M15" s="15" t="s">
        <v>20585</v>
      </c>
      <c r="N15" s="25">
        <f t="shared" si="1"/>
        <v>7.039840068542054E-2</v>
      </c>
      <c r="O15" s="15" t="s">
        <v>64</v>
      </c>
      <c r="P15" s="610"/>
      <c r="Q15" s="613"/>
      <c r="R15" s="240">
        <v>2</v>
      </c>
      <c r="S15" s="231" t="e">
        <f>VLOOKUP(LARGE(C$14:C$16,$AC15),C$14:$P$16,11,FALSE)</f>
        <v>#VALUE!</v>
      </c>
      <c r="T15" s="231"/>
      <c r="U15" s="231" t="e">
        <f>VLOOKUP(LARGE(E$14:E$16,$AC15),E$14:$P$16,9,FALSE)</f>
        <v>#VALUE!</v>
      </c>
      <c r="V15" s="231"/>
      <c r="W15" s="231" t="e">
        <f>VLOOKUP(LARGE(G$14:G$16,$AC15),G$14:$P$16,7,FALSE)</f>
        <v>#VALUE!</v>
      </c>
      <c r="X15" s="231"/>
      <c r="Y15" s="231" t="e">
        <f>VLOOKUP(LARGE(I$14:I$16,$AC15),I$14:$P$16,5,FALSE)</f>
        <v>#VALUE!</v>
      </c>
      <c r="Z15" s="231"/>
      <c r="AA15" s="231" t="e">
        <f>VLOOKUP(LARGE(K$14:K$16,$AC15),K$14:$P$16,3,FALSE)</f>
        <v>#VALUE!</v>
      </c>
      <c r="AB15" s="231"/>
      <c r="AC15" s="234">
        <v>7</v>
      </c>
      <c r="AD15" s="249"/>
    </row>
    <row r="16" spans="1:32" s="218" customFormat="1" ht="24.75" customHeight="1" thickBot="1" x14ac:dyDescent="0.3">
      <c r="A16" s="212" t="str">
        <f>Stats!A20</f>
        <v>TT</v>
      </c>
      <c r="B16" s="213">
        <f>IF(Stats!$N20 &lt;&gt; 0, Stats!D40, 0)</f>
        <v>0</v>
      </c>
      <c r="C16" s="214">
        <f>IF(B16, RANK(B16,B$14:B$16,1) - COUNTIF(B$14:B$16,0),0)</f>
        <v>0</v>
      </c>
      <c r="D16" s="213">
        <f>IF(Stats!$N20 &lt;&gt; 0, Stats!H40, 0)</f>
        <v>0</v>
      </c>
      <c r="E16" s="214">
        <f>IF(D16, RANK(D16,D$14:D$16,1) - COUNTIF(D$14:D$16,0),0)</f>
        <v>0</v>
      </c>
      <c r="F16" s="213">
        <f>IF(Stats!$N20 &lt;&gt; 0, Stats!G40, 0)</f>
        <v>0</v>
      </c>
      <c r="G16" s="214">
        <f>IF(F16, RANK(F16,F$14:F$16,1) - COUNTIF(F$14:F$16,0),0)</f>
        <v>0</v>
      </c>
      <c r="H16" s="213">
        <f>IF(Stats!$N20 &lt;&gt; 0, Stats!E40, 0)</f>
        <v>0</v>
      </c>
      <c r="I16" s="214">
        <f>IF(H16, RANK(H16,H$14:H$16,1) - COUNTIF(H$14:H$16,0),0)</f>
        <v>0</v>
      </c>
      <c r="J16" s="215">
        <f>IF(Stats!$N20 &lt;&gt; 0, Stats!I40, 0)</f>
        <v>0</v>
      </c>
      <c r="K16" s="214">
        <f>IF(J16, RANK(J16,J$14:J$16,1) - COUNTIF(J$14:J$16,0),0)</f>
        <v>0</v>
      </c>
      <c r="L16" s="216">
        <f t="shared" si="0"/>
        <v>0</v>
      </c>
      <c r="M16" s="217" t="s">
        <v>20639</v>
      </c>
      <c r="N16" s="26">
        <f t="shared" si="1"/>
        <v>0</v>
      </c>
      <c r="O16" s="217" t="s">
        <v>67</v>
      </c>
      <c r="P16" s="611"/>
      <c r="Q16" s="614"/>
      <c r="R16" s="242">
        <v>5</v>
      </c>
      <c r="S16" s="243" t="e">
        <f>VLOOKUP(LARGE(C$14:C$16,$AC16),C$14:$P$16,11,FALSE)</f>
        <v>#VALUE!</v>
      </c>
      <c r="T16" s="243"/>
      <c r="U16" s="243" t="e">
        <f>VLOOKUP(LARGE(E$14:E$16,$AC16),E$14:$P$16,9,FALSE)</f>
        <v>#VALUE!</v>
      </c>
      <c r="V16" s="243"/>
      <c r="W16" s="243" t="e">
        <f>VLOOKUP(LARGE(G$14:G$16,$AC16),G$14:$P$16,7,FALSE)</f>
        <v>#VALUE!</v>
      </c>
      <c r="X16" s="243"/>
      <c r="Y16" s="243" t="e">
        <f>VLOOKUP(LARGE(I$14:I$16,$AC16),I$14:$P$16,5,FALSE)</f>
        <v>#VALUE!</v>
      </c>
      <c r="Z16" s="243"/>
      <c r="AA16" s="243" t="e">
        <f>VLOOKUP(LARGE(K$14:K$16,$AC16),K$14:$P$16,3,FALSE)</f>
        <v>#VALUE!</v>
      </c>
      <c r="AB16" s="243"/>
      <c r="AC16" s="250">
        <v>4</v>
      </c>
      <c r="AD16" s="251"/>
    </row>
  </sheetData>
  <sheetProtection algorithmName="SHA-512" hashValue="DwhTWGVbiwBOOTeDjDq8Gp4Ssp68gyl3Z3Oqvf0rRInQM8QFfds8mcS7ySWeTmY/I/eZVbbx7LmirTtnMe/DVA==" saltValue="kfpB1RZ68SS/gxZA5jQUVg==" spinCount="100000" sheet="1" objects="1" scenarios="1" formatCells="0" selectLockedCells="1" selectUnlockedCells="1"/>
  <mergeCells count="5">
    <mergeCell ref="A1:AD2"/>
    <mergeCell ref="P3:P16"/>
    <mergeCell ref="Q14:Q16"/>
    <mergeCell ref="Q8:Q13"/>
    <mergeCell ref="Q4:Q7"/>
  </mergeCells>
  <conditionalFormatting sqref="L4:L7">
    <cfRule type="expression" dxfId="32" priority="621">
      <formula>AND(L4&lt;&gt;0,L4&lt;=SMALL(IF(L$4:L$7&lt;&gt;0,L$4:L$7),1))</formula>
    </cfRule>
    <cfRule type="top10" dxfId="31" priority="622" rank="1"/>
  </conditionalFormatting>
  <conditionalFormatting sqref="N4:N7">
    <cfRule type="expression" dxfId="30" priority="623">
      <formula>AND(N4&lt;&gt;0,N4&lt;=SMALL(IF(N$4:N$7&lt;&gt;0,N$4:N$7),1))</formula>
    </cfRule>
    <cfRule type="top10" dxfId="29" priority="624" rank="1"/>
  </conditionalFormatting>
  <conditionalFormatting sqref="L8:L13">
    <cfRule type="expression" dxfId="28" priority="625">
      <formula>AND(L8&lt;&gt;0,L8&lt;=SMALL(IF(L$8:L$13&lt;&gt;0,L$8:L$13),1))</formula>
    </cfRule>
    <cfRule type="top10" dxfId="27" priority="626" rank="1"/>
  </conditionalFormatting>
  <conditionalFormatting sqref="N8:N13">
    <cfRule type="expression" dxfId="26" priority="629">
      <formula>AND(N8&lt;&gt;0,N8&lt;=SMALL(IF(N$8:N$13&lt;&gt;0,N$8:N$13),1))</formula>
    </cfRule>
    <cfRule type="top10" dxfId="25" priority="630" rank="1"/>
  </conditionalFormatting>
  <conditionalFormatting sqref="L14:L16">
    <cfRule type="expression" dxfId="24" priority="637">
      <formula>AND(L14&lt;&gt;0,L14&lt;=SMALL(IF(L$14:L$16&lt;&gt;0,L$14:L$16),1))</formula>
    </cfRule>
    <cfRule type="top10" dxfId="23" priority="638" rank="1"/>
  </conditionalFormatting>
  <conditionalFormatting sqref="N14:N16">
    <cfRule type="expression" dxfId="22" priority="639">
      <formula>AND(N14&lt;&gt;0,N14&lt;=SMALL(IF(N$14:N$16&lt;&gt;0,N$14:N$16),1))</formula>
    </cfRule>
    <cfRule type="top10" dxfId="21" priority="640" rank="1"/>
  </conditionalFormatting>
  <conditionalFormatting sqref="AD4:AD7">
    <cfRule type="expression" dxfId="20" priority="3">
      <formula>AND(AD4&lt;&gt;0,AD4&lt;=SMALL(IF(AD$4:AD$7&lt;&gt;0,AD$4:AD$7),1))</formula>
    </cfRule>
    <cfRule type="top10" dxfId="19" priority="4" rank="1"/>
  </conditionalFormatting>
  <conditionalFormatting sqref="AD8:AD13">
    <cfRule type="expression" dxfId="18" priority="1">
      <formula>AND(AD8&lt;&gt;0,AD8&lt;=SMALL(IF(AD$4:AD$7&lt;&gt;0,AD$4:AD$7),1))</formula>
    </cfRule>
    <cfRule type="top10" dxfId="17" priority="2" rank="1"/>
  </conditionalFormatting>
  <pageMargins left="0.7" right="0.7" top="0.75" bottom="0.75" header="0.3" footer="0.3"/>
  <pageSetup orientation="portrait" r:id="rId1"/>
  <ignoredErrors>
    <ignoredError sqref="D17:L17" formula="1"/>
    <ignoredError sqref="B4:N4 B5:N6 B8:N10 B15:L15 B16:L16 B13:L13 B11:L11 N11 B12:L12 N12 N13 B14:L14 N14 N15 N16 B7:L7 N7" calculatedColumn="1"/>
  </ignoredErrors>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Report</vt:lpstr>
      <vt:lpstr>Sort Call Log</vt:lpstr>
      <vt:lpstr>Stats</vt:lpstr>
      <vt:lpstr>StatsInstructions</vt:lpstr>
      <vt:lpstr>Troubleshooting Guide</vt:lpstr>
      <vt:lpstr>Phone Contacts</vt:lpstr>
      <vt:lpstr>Mech Schedule 4.4.21</vt:lpstr>
      <vt:lpstr>SorterRank</vt:lpstr>
      <vt:lpstr>'Mech Schedule 4.4.21'!Print_Area</vt:lpstr>
      <vt:lpstr>'Troubleshooting Guide'!Print_Titles</vt:lpstr>
    </vt:vector>
  </TitlesOfParts>
  <Company>UPS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Lieberman Alexander (VJX3ZRC)</dc:creator>
  <cp:lastModifiedBy>Hagen Thomas (KNH9RLM)</cp:lastModifiedBy>
  <cp:lastPrinted>2019-12-28T04:20:22Z</cp:lastPrinted>
  <dcterms:created xsi:type="dcterms:W3CDTF">2018-06-27T02:08:44Z</dcterms:created>
  <dcterms:modified xsi:type="dcterms:W3CDTF">2021-12-29T23:13:12Z</dcterms:modified>
</cp:coreProperties>
</file>