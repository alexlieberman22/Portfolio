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mc:AlternateContent xmlns:mc="http://schemas.openxmlformats.org/markup-compatibility/2006">
    <mc:Choice Requires="x15">
      <x15ac:absPath xmlns:x15ac="http://schemas.microsoft.com/office/spreadsheetml/2010/11/ac" url="Y:\District PE\05 Employees\06 Lieberman, Alex\Excel things\"/>
    </mc:Choice>
  </mc:AlternateContent>
  <xr:revisionPtr revIDLastSave="0" documentId="13_ncr:1_{158413C5-D4FA-4AFE-9F7E-65F325180115}" xr6:coauthVersionLast="46" xr6:coauthVersionMax="46" xr10:uidLastSave="{00000000-0000-0000-0000-000000000000}"/>
  <bookViews>
    <workbookView xWindow="29670" yWindow="615" windowWidth="25170" windowHeight="15045" tabRatio="739" activeTab="3" xr2:uid="{00000000-000D-0000-FFFF-FFFF00000000}"/>
  </bookViews>
  <sheets>
    <sheet name="Report" sheetId="5" r:id="rId1"/>
    <sheet name="Dates" sheetId="56" r:id="rId2"/>
    <sheet name="Stats" sheetId="3" r:id="rId3"/>
    <sheet name="StatsInstructions" sheetId="7" r:id="rId4"/>
    <sheet name="Pass" sheetId="19" state="veryHidden" r:id="rId5"/>
    <sheet name="CheckSheet" sheetId="17" state="veryHidden" r:id="rId6"/>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4" i="3" l="1"/>
  <c r="C7" i="3"/>
  <c r="M42" i="3" l="1"/>
  <c r="L42" i="3"/>
  <c r="I42" i="3"/>
  <c r="H42" i="3"/>
  <c r="G42" i="3"/>
  <c r="F42" i="3"/>
  <c r="E42" i="3"/>
  <c r="D42" i="3"/>
  <c r="C42" i="3"/>
  <c r="M40" i="3"/>
  <c r="L40" i="3"/>
  <c r="I39" i="3"/>
  <c r="H39" i="3"/>
  <c r="G39" i="3"/>
  <c r="F39" i="3"/>
  <c r="E39" i="3"/>
  <c r="D39" i="3"/>
  <c r="C39" i="3"/>
  <c r="B39" i="3"/>
  <c r="I38" i="3"/>
  <c r="H38" i="3"/>
  <c r="G38" i="3"/>
  <c r="F38" i="3"/>
  <c r="E38" i="3"/>
  <c r="D38" i="3"/>
  <c r="C38" i="3"/>
  <c r="B38" i="3"/>
  <c r="N35" i="3"/>
  <c r="M35" i="3"/>
  <c r="L35" i="3"/>
  <c r="I35" i="3"/>
  <c r="H35" i="3"/>
  <c r="G35" i="3"/>
  <c r="F35" i="3"/>
  <c r="E35" i="3"/>
  <c r="D35" i="3"/>
  <c r="C35" i="3"/>
  <c r="B35" i="3"/>
  <c r="N34" i="3"/>
  <c r="M34" i="3"/>
  <c r="L34" i="3"/>
  <c r="I34" i="3"/>
  <c r="H34" i="3"/>
  <c r="G34" i="3"/>
  <c r="F34" i="3"/>
  <c r="E34" i="3"/>
  <c r="D34" i="3"/>
  <c r="C34" i="3"/>
  <c r="B34" i="3"/>
  <c r="N33" i="3"/>
  <c r="M33" i="3"/>
  <c r="L33" i="3"/>
  <c r="I33" i="3"/>
  <c r="H33" i="3"/>
  <c r="G33" i="3"/>
  <c r="F33" i="3"/>
  <c r="E33" i="3"/>
  <c r="D33" i="3"/>
  <c r="C33" i="3"/>
  <c r="B33" i="3"/>
  <c r="N32" i="3"/>
  <c r="M32" i="3"/>
  <c r="L32" i="3"/>
  <c r="I32" i="3"/>
  <c r="H32" i="3"/>
  <c r="G32" i="3"/>
  <c r="F32" i="3"/>
  <c r="E32" i="3"/>
  <c r="D32" i="3"/>
  <c r="C32" i="3"/>
  <c r="B32" i="3"/>
  <c r="N31" i="3"/>
  <c r="M31" i="3"/>
  <c r="L31" i="3"/>
  <c r="I31" i="3"/>
  <c r="H31" i="3"/>
  <c r="G31" i="3"/>
  <c r="F31" i="3"/>
  <c r="E31" i="3"/>
  <c r="D31" i="3"/>
  <c r="C31" i="3"/>
  <c r="B31" i="3"/>
  <c r="J28" i="3"/>
  <c r="N27" i="3"/>
  <c r="M27" i="3"/>
  <c r="L27" i="3"/>
  <c r="J27" i="3"/>
  <c r="I27" i="3"/>
  <c r="H27" i="3"/>
  <c r="G27" i="3"/>
  <c r="F27" i="3"/>
  <c r="E27" i="3"/>
  <c r="D27" i="3"/>
  <c r="C27" i="3"/>
  <c r="B27" i="3"/>
  <c r="N26" i="3"/>
  <c r="M26" i="3"/>
  <c r="L26" i="3"/>
  <c r="J26" i="3"/>
  <c r="I26" i="3"/>
  <c r="H26" i="3"/>
  <c r="G26" i="3"/>
  <c r="F26" i="3"/>
  <c r="E26" i="3"/>
  <c r="D26" i="3"/>
  <c r="C26" i="3"/>
  <c r="B26" i="3"/>
  <c r="N25" i="3"/>
  <c r="M25" i="3"/>
  <c r="L25" i="3"/>
  <c r="J25" i="3"/>
  <c r="I25" i="3"/>
  <c r="H25" i="3"/>
  <c r="G25" i="3"/>
  <c r="F25" i="3"/>
  <c r="E25" i="3"/>
  <c r="D25" i="3"/>
  <c r="C25" i="3"/>
  <c r="B25" i="3"/>
  <c r="K18" i="3"/>
  <c r="J18" i="3"/>
  <c r="N42" i="3"/>
  <c r="D40" i="3" l="1"/>
  <c r="N40" i="3"/>
  <c r="B42" i="3"/>
  <c r="E40" i="3"/>
  <c r="F40" i="3"/>
  <c r="G40" i="3"/>
  <c r="B40" i="3"/>
  <c r="H40" i="3"/>
  <c r="I40" i="3"/>
  <c r="C40" i="3"/>
  <c r="N14" i="3" l="1"/>
  <c r="M14" i="3"/>
  <c r="L14" i="3"/>
  <c r="J14" i="3"/>
  <c r="I14" i="3"/>
  <c r="H14" i="3"/>
  <c r="G14" i="3"/>
  <c r="F14" i="3"/>
  <c r="E14" i="3"/>
  <c r="D14" i="3"/>
  <c r="B14" i="3"/>
  <c r="N7" i="3"/>
  <c r="M7" i="3"/>
  <c r="L7" i="3"/>
  <c r="K7" i="3"/>
  <c r="K21" i="3" s="1"/>
  <c r="J7" i="3"/>
  <c r="I7" i="3"/>
  <c r="H7" i="3"/>
  <c r="G7" i="3"/>
  <c r="F7" i="3"/>
  <c r="E7" i="3"/>
  <c r="D7" i="3"/>
  <c r="B7" i="3"/>
  <c r="N22" i="3" l="1"/>
  <c r="J21" i="3"/>
  <c r="N36" i="3"/>
  <c r="F36" i="3"/>
  <c r="M36" i="3"/>
  <c r="E36" i="3"/>
  <c r="L36" i="3"/>
  <c r="D36" i="3"/>
  <c r="B36" i="3"/>
  <c r="I36" i="3"/>
  <c r="C36" i="3"/>
  <c r="H36" i="3"/>
  <c r="G36" i="3"/>
  <c r="J29" i="3"/>
  <c r="O35" i="3"/>
  <c r="O34" i="3"/>
  <c r="O33" i="3"/>
  <c r="O32" i="3"/>
  <c r="O31" i="3"/>
  <c r="O30" i="3"/>
  <c r="O29" i="3"/>
  <c r="O28" i="3"/>
  <c r="O27" i="3"/>
  <c r="O26" i="3"/>
  <c r="O25" i="3"/>
  <c r="N43" i="3" l="1"/>
  <c r="M14" i="5" s="1"/>
  <c r="C43" i="3"/>
  <c r="G43" i="3"/>
  <c r="I43" i="3"/>
  <c r="E43" i="3"/>
  <c r="M43" i="3"/>
  <c r="B43" i="3"/>
  <c r="H43" i="3"/>
  <c r="F43" i="3"/>
  <c r="L43" i="3"/>
  <c r="D43" i="3"/>
  <c r="C22" i="5"/>
  <c r="C23" i="5"/>
  <c r="C24" i="5"/>
  <c r="C25" i="5"/>
  <c r="C26" i="5"/>
  <c r="U6" i="5"/>
  <c r="U11" i="5" l="1"/>
  <c r="U12" i="5"/>
  <c r="U8" i="5"/>
  <c r="U9" i="5"/>
  <c r="U10" i="5"/>
  <c r="U7" i="5"/>
  <c r="P12" i="5"/>
  <c r="P10" i="5"/>
  <c r="P9" i="5"/>
  <c r="P8" i="5"/>
  <c r="P7" i="5"/>
  <c r="P6" i="5"/>
  <c r="N11" i="5"/>
  <c r="N12" i="5"/>
  <c r="N10" i="5"/>
  <c r="N9" i="5"/>
  <c r="N8" i="5"/>
  <c r="N7" i="5"/>
  <c r="N6" i="5"/>
  <c r="T10" i="5" l="1"/>
  <c r="T11" i="5"/>
  <c r="T7" i="5"/>
  <c r="T12" i="5"/>
  <c r="O6" i="5"/>
  <c r="O36" i="3"/>
  <c r="O8" i="5"/>
  <c r="O13" i="5"/>
  <c r="O10" i="5"/>
  <c r="O7" i="5"/>
  <c r="O9" i="5"/>
  <c r="T8" i="5"/>
  <c r="O12" i="5"/>
  <c r="T14" i="5"/>
  <c r="T6" i="5"/>
  <c r="T13" i="5"/>
  <c r="T9" i="5"/>
  <c r="M13" i="5"/>
  <c r="M11" i="5"/>
  <c r="M12" i="5"/>
  <c r="M10" i="5"/>
  <c r="M9" i="5"/>
  <c r="M8" i="5"/>
  <c r="M7" i="5"/>
  <c r="M6" i="5"/>
  <c r="C5" i="7" l="1"/>
  <c r="H11" i="5" l="1"/>
  <c r="G11" i="5"/>
  <c r="G9" i="5"/>
  <c r="E23" i="5"/>
  <c r="E24" i="5"/>
  <c r="E25" i="5"/>
  <c r="E26" i="5"/>
  <c r="C27" i="5"/>
  <c r="E27" i="5" s="1"/>
  <c r="C28" i="5"/>
  <c r="E28" i="5" s="1"/>
  <c r="C29" i="5"/>
  <c r="E29" i="5" s="1"/>
  <c r="C30" i="5"/>
  <c r="E30" i="5" s="1"/>
  <c r="C31" i="5"/>
  <c r="E31" i="5" s="1"/>
  <c r="E22" i="5"/>
  <c r="O33" i="17"/>
  <c r="O28" i="17"/>
  <c r="O16" i="17"/>
  <c r="O3" i="17"/>
  <c r="O1" i="17"/>
  <c r="S17" i="5" l="1"/>
  <c r="S19" i="5"/>
  <c r="S18" i="5"/>
  <c r="N19" i="5"/>
  <c r="N18" i="5"/>
  <c r="N17" i="5"/>
  <c r="F19" i="5"/>
  <c r="F18" i="5"/>
  <c r="J17" i="5"/>
  <c r="J18" i="5"/>
  <c r="J19" i="5"/>
  <c r="F17" i="5"/>
  <c r="D18" i="5"/>
  <c r="D17" i="5"/>
  <c r="D19" i="5"/>
  <c r="A19" i="5" l="1"/>
  <c r="A18" i="5"/>
  <c r="A17"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6" refreshedVersion="0" background="1">
    <textPr prompt="0" sourceFile="D:\">
      <textFields>
        <textField/>
      </textFields>
    </textPr>
  </connection>
  <connection id="2" xr16:uid="{00000000-0015-0000-FFFF-FFFF01000000}" name="Connection1" type="6" refreshedVersion="0" background="1">
    <textPr prompt="0" sourceFile="D:\">
      <textFields>
        <textField/>
      </textFields>
    </textPr>
  </connection>
  <connection id="3" xr16:uid="{00000000-0015-0000-FFFF-FFFF02000000}" name="Connection10" type="6" refreshedVersion="0" background="1">
    <textPr prompt="0" sourceFile="D:\">
      <textFields>
        <textField/>
      </textFields>
    </textPr>
  </connection>
  <connection id="4" xr16:uid="{00000000-0015-0000-FFFF-FFFF03000000}" name="Connection100" type="6" refreshedVersion="0" background="1">
    <textPr prompt="0" sourceFile="D:\">
      <textFields>
        <textField/>
      </textFields>
    </textPr>
  </connection>
  <connection id="5" xr16:uid="{00000000-0015-0000-FFFF-FFFF04000000}" name="Connection101" type="6" refreshedVersion="0" background="1">
    <textPr prompt="0" sourceFile="D:\">
      <textFields>
        <textField/>
      </textFields>
    </textPr>
  </connection>
  <connection id="6" xr16:uid="{00000000-0015-0000-FFFF-FFFF05000000}" name="Connection102" type="6" refreshedVersion="0" background="1">
    <textPr prompt="0" sourceFile="D:\">
      <textFields>
        <textField/>
      </textFields>
    </textPr>
  </connection>
  <connection id="7" xr16:uid="{00000000-0015-0000-FFFF-FFFF06000000}" name="Connection103" type="6" refreshedVersion="0" background="1">
    <textPr prompt="0" sourceFile="D:\">
      <textFields>
        <textField/>
      </textFields>
    </textPr>
  </connection>
  <connection id="8" xr16:uid="{00000000-0015-0000-FFFF-FFFF07000000}" name="Connection104" type="6" refreshedVersion="0" background="1">
    <textPr prompt="0" sourceFile="D:\">
      <textFields>
        <textField/>
      </textFields>
    </textPr>
  </connection>
  <connection id="9" xr16:uid="{00000000-0015-0000-FFFF-FFFF08000000}" name="Connection105" type="6" refreshedVersion="0" background="1">
    <textPr prompt="0" sourceFile="D:\">
      <textFields>
        <textField/>
      </textFields>
    </textPr>
  </connection>
  <connection id="10" xr16:uid="{8F22306D-B0FC-4C63-9A69-440A221155C3}" name="Connection106" type="6" refreshedVersion="0" background="1">
    <textPr prompt="0" sourceFile="D:\">
      <textFields>
        <textField/>
      </textFields>
    </textPr>
  </connection>
  <connection id="11" xr16:uid="{2BE144A7-7C52-4626-B62C-A374F64E7613}" name="Connection107" type="6" refreshedVersion="0" background="1">
    <textPr prompt="0" sourceFile="D:\">
      <textFields>
        <textField/>
      </textFields>
    </textPr>
  </connection>
  <connection id="12" xr16:uid="{E0E55787-74CF-4439-B64A-9184603E1AC1}" name="Connection108" type="6" refreshedVersion="0" background="1">
    <textPr prompt="0" sourceFile="D:\">
      <textFields>
        <textField/>
      </textFields>
    </textPr>
  </connection>
  <connection id="13" xr16:uid="{D32B5F7F-E19A-4AB9-85B3-FE946C70791F}" name="Connection109" type="6" refreshedVersion="0" background="1">
    <textPr prompt="0" sourceFile="D:\">
      <textFields>
        <textField/>
      </textFields>
    </textPr>
  </connection>
  <connection id="14" xr16:uid="{00000000-0015-0000-FFFF-FFFF09000000}" name="Connection11" type="6" refreshedVersion="0" background="1">
    <textPr prompt="0" sourceFile="D:\">
      <textFields>
        <textField/>
      </textFields>
    </textPr>
  </connection>
  <connection id="15" xr16:uid="{A92D1E1A-55BD-4A14-ABD4-79EC583E9FB0}" name="Connection110" type="6" refreshedVersion="0" background="1">
    <textPr prompt="0" sourceFile="D:\">
      <textFields>
        <textField/>
      </textFields>
    </textPr>
  </connection>
  <connection id="16" xr16:uid="{5D95AD49-B540-4504-884D-FE80383CCFE1}" name="Connection111" type="6" refreshedVersion="0" background="1">
    <textPr prompt="0" sourceFile="D:\">
      <textFields>
        <textField/>
      </textFields>
    </textPr>
  </connection>
  <connection id="17" xr16:uid="{E16FC097-EFF1-4661-84FD-EAF9F144BB4D}" name="Connection112" type="6" refreshedVersion="0" background="1">
    <textPr prompt="0" sourceFile="D:\">
      <textFields>
        <textField/>
      </textFields>
    </textPr>
  </connection>
  <connection id="18" xr16:uid="{EB6EEAD3-AC8D-4ADE-8DDB-53755A818262}" name="Connection113" type="6" refreshedVersion="0" background="1">
    <textPr prompt="0" sourceFile="D:\">
      <textFields>
        <textField/>
      </textFields>
    </textPr>
  </connection>
  <connection id="19" xr16:uid="{AB294ECE-B27F-4247-8615-9D3A32416972}" name="Connection114" type="6" refreshedVersion="0" background="1">
    <textPr prompt="0" sourceFile="D:\">
      <textFields>
        <textField/>
      </textFields>
    </textPr>
  </connection>
  <connection id="20" xr16:uid="{78B976DF-BF3B-4FEA-81B8-8F33DE7D56E9}" name="Connection115" type="6" refreshedVersion="0" background="1">
    <textPr prompt="0" sourceFile="D:\">
      <textFields>
        <textField/>
      </textFields>
    </textPr>
  </connection>
  <connection id="21" xr16:uid="{CD7D70BB-67A8-46C5-83D7-472BE93CB328}" name="Connection116" type="6" refreshedVersion="0" background="1">
    <textPr prompt="0" sourceFile="D:\">
      <textFields>
        <textField/>
      </textFields>
    </textPr>
  </connection>
  <connection id="22" xr16:uid="{C891F258-1EE5-499F-871B-1BD9BE82CF95}" name="Connection117" type="6" refreshedVersion="0" background="1">
    <textPr prompt="0" sourceFile="D:\">
      <textFields>
        <textField/>
      </textFields>
    </textPr>
  </connection>
  <connection id="23" xr16:uid="{736C671D-CCA1-4F8C-A6C7-9ADB2B0834A9}" name="Connection118" type="6" refreshedVersion="0" background="1">
    <textPr prompt="0" sourceFile="D:\">
      <textFields>
        <textField/>
      </textFields>
    </textPr>
  </connection>
  <connection id="24" xr16:uid="{168AAFA4-0114-4658-9E4A-7124F9A3DF12}" name="Connection119" type="6" refreshedVersion="0" background="1">
    <textPr prompt="0" sourceFile="D:\">
      <textFields>
        <textField/>
      </textFields>
    </textPr>
  </connection>
  <connection id="25" xr16:uid="{00000000-0015-0000-FFFF-FFFF0A000000}" name="Connection12" type="6" refreshedVersion="0" background="1">
    <textPr prompt="0" sourceFile="D:\">
      <textFields>
        <textField/>
      </textFields>
    </textPr>
  </connection>
  <connection id="26" xr16:uid="{29434D69-9245-4ADB-97E2-FDA8937A54EB}" name="Connection120" type="6" refreshedVersion="0" background="1">
    <textPr prompt="0" sourceFile="D:\">
      <textFields>
        <textField/>
      </textFields>
    </textPr>
  </connection>
  <connection id="27" xr16:uid="{00000000-0015-0000-FFFF-FFFF0B000000}" name="Connection13" type="6" refreshedVersion="0" background="1">
    <textPr prompt="0" sourceFile="D:\">
      <textFields>
        <textField/>
      </textFields>
    </textPr>
  </connection>
  <connection id="28" xr16:uid="{00000000-0015-0000-FFFF-FFFF0C000000}" name="Connection14" type="6" refreshedVersion="0" background="1">
    <textPr prompt="0" sourceFile="D:\">
      <textFields>
        <textField/>
      </textFields>
    </textPr>
  </connection>
  <connection id="29" xr16:uid="{00000000-0015-0000-FFFF-FFFF0D000000}" name="Connection15" type="6" refreshedVersion="0" background="1">
    <textPr prompt="0" sourceFile="D:\">
      <textFields>
        <textField/>
      </textFields>
    </textPr>
  </connection>
  <connection id="30" xr16:uid="{00000000-0015-0000-FFFF-FFFF0E000000}" name="Connection16" type="6" refreshedVersion="0" background="1">
    <textPr prompt="0" sourceFile="D:\">
      <textFields>
        <textField/>
      </textFields>
    </textPr>
  </connection>
  <connection id="31" xr16:uid="{00000000-0015-0000-FFFF-FFFF0F000000}" name="Connection17" type="6" refreshedVersion="0" background="1">
    <textPr prompt="0" sourceFile="D:\">
      <textFields>
        <textField/>
      </textFields>
    </textPr>
  </connection>
  <connection id="32" xr16:uid="{00000000-0015-0000-FFFF-FFFF10000000}" name="Connection18" type="6" refreshedVersion="0" background="1">
    <textPr prompt="0" sourceFile="D:\">
      <textFields>
        <textField/>
      </textFields>
    </textPr>
  </connection>
  <connection id="33" xr16:uid="{00000000-0015-0000-FFFF-FFFF11000000}" name="Connection19" type="6" refreshedVersion="0" background="1">
    <textPr prompt="0" sourceFile="D:\">
      <textFields>
        <textField/>
      </textFields>
    </textPr>
  </connection>
  <connection id="34" xr16:uid="{00000000-0015-0000-FFFF-FFFF12000000}" name="Connection2" type="6" refreshedVersion="0" background="1">
    <textPr prompt="0" sourceFile="D:\">
      <textFields>
        <textField/>
      </textFields>
    </textPr>
  </connection>
  <connection id="35" xr16:uid="{00000000-0015-0000-FFFF-FFFF13000000}" name="Connection20" type="6" refreshedVersion="0" background="1">
    <textPr prompt="0" sourceFile="D:\">
      <textFields>
        <textField/>
      </textFields>
    </textPr>
  </connection>
  <connection id="36" xr16:uid="{00000000-0015-0000-FFFF-FFFF14000000}" name="Connection21" type="6" refreshedVersion="0" background="1">
    <textPr prompt="0" sourceFile="D:\">
      <textFields>
        <textField/>
      </textFields>
    </textPr>
  </connection>
  <connection id="37" xr16:uid="{00000000-0015-0000-FFFF-FFFF15000000}" name="Connection22" type="6" refreshedVersion="0" background="1">
    <textPr prompt="0" sourceFile="D:\">
      <textFields>
        <textField/>
      </textFields>
    </textPr>
  </connection>
  <connection id="38" xr16:uid="{00000000-0015-0000-FFFF-FFFF16000000}" name="Connection23" type="4" refreshedVersion="0" background="1">
    <webPr url="http://10.17.104.55/reporting_bigs_out/viewdb.php?k1=year&amp;cop1=%3D&amp;filter1=2020&amp;k2=month&amp;cop2=%3D&amp;filter2=6&amp;k3=day&amp;cop3=%3D&amp;filter3=17&amp;k4=&amp;cop4=%3D&amp;filter4=&amp;andor=AND&amp;limit=100&amp;what=list&amp;btnSearch=search&amp;view=data&amp;db=bigs_out_reporting&amp;table=metric_scanned_cnt_sorter&amp;ordby=sortid&amp;ascdesc=desc" htmlTables="1" htmlFormat="all"/>
  </connection>
  <connection id="39" xr16:uid="{00000000-0015-0000-FFFF-FFFF17000000}" name="Connection24" type="4" refreshedVersion="0" background="1">
    <webPr url="http://10.17.104.53/reporting_bigs_pri/viewdb.php?k1=year&amp;cop1=%3D&amp;filter1=2020&amp;k2=month&amp;cop2=%3D&amp;filter2=6&amp;k3=day&amp;cop3=%3D&amp;filter3=17&amp;what=list&amp;btnSearch=search&amp;k4=&amp;cop4=%3D&amp;btnSearch=search&amp;view=data&amp;db=bigs_pri_reporting&amp;table=metric_scanned_cnt_sorter" htmlTables="1" htmlFormat="all"/>
  </connection>
  <connection id="40" xr16:uid="{00000000-0015-0000-FFFF-FFFF18000000}" name="Connection25" type="6" refreshedVersion="0" background="1">
    <textPr prompt="0" sourceFile="D:\">
      <textFields>
        <textField/>
      </textFields>
    </textPr>
  </connection>
  <connection id="41" xr16:uid="{00000000-0015-0000-FFFF-FFFF19000000}" name="Connection26" type="6" refreshedVersion="0" background="1">
    <textPr prompt="0" sourceFile="D:\">
      <textFields>
        <textField/>
      </textFields>
    </textPr>
  </connection>
  <connection id="42" xr16:uid="{00000000-0015-0000-FFFF-FFFF1A000000}" name="Connection27" type="6" refreshedVersion="0" background="1">
    <textPr prompt="0" sourceFile="D:\">
      <textFields>
        <textField/>
      </textFields>
    </textPr>
  </connection>
  <connection id="43" xr16:uid="{00000000-0015-0000-FFFF-FFFF1B000000}" name="Connection28" type="6" refreshedVersion="0" background="1">
    <textPr prompt="0" sourceFile="D:\">
      <textFields>
        <textField/>
      </textFields>
    </textPr>
  </connection>
  <connection id="44" xr16:uid="{00000000-0015-0000-FFFF-FFFF1C000000}" name="Connection29" type="6" refreshedVersion="0" background="1">
    <textPr prompt="0" sourceFile="D:\">
      <textFields>
        <textField/>
      </textFields>
    </textPr>
  </connection>
  <connection id="45" xr16:uid="{00000000-0015-0000-FFFF-FFFF1D000000}" name="Connection3" type="6" refreshedVersion="0" background="1">
    <textPr prompt="0" sourceFile="D:\">
      <textFields>
        <textField/>
      </textFields>
    </textPr>
  </connection>
  <connection id="46" xr16:uid="{00000000-0015-0000-FFFF-FFFF1E000000}" name="Connection30" type="6" refreshedVersion="0" background="1">
    <textPr prompt="0" sourceFile="D:\">
      <textFields>
        <textField/>
      </textFields>
    </textPr>
  </connection>
  <connection id="47" xr16:uid="{00000000-0015-0000-FFFF-FFFF1F000000}" name="Connection31" type="6" refreshedVersion="0" background="1">
    <textPr prompt="0" sourceFile="D:\">
      <textFields>
        <textField/>
      </textFields>
    </textPr>
  </connection>
  <connection id="48" xr16:uid="{00000000-0015-0000-FFFF-FFFF20000000}" name="Connection32" type="6" refreshedVersion="0" background="1">
    <textPr prompt="0" sourceFile="D:\">
      <textFields>
        <textField/>
      </textFields>
    </textPr>
  </connection>
  <connection id="49" xr16:uid="{00000000-0015-0000-FFFF-FFFF21000000}" name="Connection33" type="6" refreshedVersion="0" background="1">
    <textPr prompt="0" sourceFile="D:\">
      <textFields>
        <textField/>
      </textFields>
    </textPr>
  </connection>
  <connection id="50" xr16:uid="{00000000-0015-0000-FFFF-FFFF22000000}" name="Connection34" type="6" refreshedVersion="0" background="1">
    <textPr prompt="0" sourceFile="D:\">
      <textFields>
        <textField/>
      </textFields>
    </textPr>
  </connection>
  <connection id="51" xr16:uid="{00000000-0015-0000-FFFF-FFFF23000000}" name="Connection35" type="6" refreshedVersion="0" background="1">
    <textPr prompt="0" sourceFile="D:\">
      <textFields>
        <textField/>
      </textFields>
    </textPr>
  </connection>
  <connection id="52" xr16:uid="{00000000-0015-0000-FFFF-FFFF24000000}" name="Connection36" type="6" refreshedVersion="0" background="1">
    <textPr prompt="0" sourceFile="D:\">
      <textFields>
        <textField/>
      </textFields>
    </textPr>
  </connection>
  <connection id="53" xr16:uid="{00000000-0015-0000-FFFF-FFFF25000000}" name="Connection37" type="6" refreshedVersion="0" background="1">
    <textPr prompt="0" sourceFile="D:\">
      <textFields>
        <textField/>
      </textFields>
    </textPr>
  </connection>
  <connection id="54" xr16:uid="{00000000-0015-0000-FFFF-FFFF26000000}" name="Connection38" type="6" refreshedVersion="0" background="1">
    <textPr prompt="0" sourceFile="D:\">
      <textFields>
        <textField/>
      </textFields>
    </textPr>
  </connection>
  <connection id="55" xr16:uid="{00000000-0015-0000-FFFF-FFFF27000000}" name="Connection39" type="6" refreshedVersion="0" background="1">
    <textPr prompt="0" sourceFile="D:\">
      <textFields>
        <textField/>
      </textFields>
    </textPr>
  </connection>
  <connection id="56" xr16:uid="{00000000-0015-0000-FFFF-FFFF28000000}" name="Connection4" type="6" refreshedVersion="0" background="1">
    <textPr prompt="0" sourceFile="D:\">
      <textFields>
        <textField/>
      </textFields>
    </textPr>
  </connection>
  <connection id="57" xr16:uid="{00000000-0015-0000-FFFF-FFFF29000000}" name="Connection40" type="6" refreshedVersion="0" background="1">
    <textPr prompt="0" sourceFile="D:\">
      <textFields>
        <textField/>
      </textFields>
    </textPr>
  </connection>
  <connection id="58" xr16:uid="{00000000-0015-0000-FFFF-FFFF2A000000}" name="Connection41" type="6" refreshedVersion="0" background="1">
    <textPr prompt="0" sourceFile="D:\">
      <textFields>
        <textField/>
      </textFields>
    </textPr>
  </connection>
  <connection id="59" xr16:uid="{00000000-0015-0000-FFFF-FFFF2B000000}" name="Connection42" type="6" refreshedVersion="0" background="1">
    <textPr prompt="0" sourceFile="D:\">
      <textFields>
        <textField/>
      </textFields>
    </textPr>
  </connection>
  <connection id="60" xr16:uid="{00000000-0015-0000-FFFF-FFFF2C000000}" name="Connection43" type="6" refreshedVersion="0" background="1">
    <textPr prompt="0" sourceFile="D:\">
      <textFields>
        <textField/>
      </textFields>
    </textPr>
  </connection>
  <connection id="61" xr16:uid="{00000000-0015-0000-FFFF-FFFF2D000000}" name="Connection44" type="6" refreshedVersion="0" background="1">
    <textPr prompt="0" sourceFile="D:\">
      <textFields>
        <textField/>
      </textFields>
    </textPr>
  </connection>
  <connection id="62" xr16:uid="{00000000-0015-0000-FFFF-FFFF2E000000}" name="Connection45" type="6" refreshedVersion="0" background="1">
    <textPr prompt="0" sourceFile="D:\">
      <textFields>
        <textField/>
      </textFields>
    </textPr>
  </connection>
  <connection id="63" xr16:uid="{00000000-0015-0000-FFFF-FFFF2F000000}" name="Connection46" type="6" refreshedVersion="0" background="1">
    <textPr prompt="0" sourceFile="D:\">
      <textFields>
        <textField/>
      </textFields>
    </textPr>
  </connection>
  <connection id="64" xr16:uid="{00000000-0015-0000-FFFF-FFFF30000000}" name="Connection47" type="6" refreshedVersion="0" background="1">
    <textPr prompt="0" sourceFile="D:\">
      <textFields>
        <textField/>
      </textFields>
    </textPr>
  </connection>
  <connection id="65" xr16:uid="{00000000-0015-0000-FFFF-FFFF31000000}" name="Connection48" type="6" refreshedVersion="0" background="1">
    <textPr prompt="0" sourceFile="D:\">
      <textFields>
        <textField/>
      </textFields>
    </textPr>
  </connection>
  <connection id="66" xr16:uid="{00000000-0015-0000-FFFF-FFFF32000000}" name="Connection49" type="6" refreshedVersion="0" background="1">
    <textPr prompt="0" sourceFile="D:\">
      <textFields>
        <textField/>
      </textFields>
    </textPr>
  </connection>
  <connection id="67" xr16:uid="{00000000-0015-0000-FFFF-FFFF33000000}" name="Connection5" type="6" refreshedVersion="0" background="1">
    <textPr prompt="0" sourceFile="D:\">
      <textFields>
        <textField/>
      </textFields>
    </textPr>
  </connection>
  <connection id="68" xr16:uid="{00000000-0015-0000-FFFF-FFFF34000000}" name="Connection50" type="6" refreshedVersion="0" background="1">
    <textPr prompt="0" sourceFile="D:\">
      <textFields>
        <textField/>
      </textFields>
    </textPr>
  </connection>
  <connection id="69" xr16:uid="{00000000-0015-0000-FFFF-FFFF35000000}" name="Connection51" type="6" refreshedVersion="0" background="1">
    <textPr prompt="0" sourceFile="D:\">
      <textFields>
        <textField/>
      </textFields>
    </textPr>
  </connection>
  <connection id="70" xr16:uid="{00000000-0015-0000-FFFF-FFFF36000000}" name="Connection52" type="6" refreshedVersion="0" background="1">
    <textPr prompt="0" sourceFile="D:\">
      <textFields>
        <textField/>
      </textFields>
    </textPr>
  </connection>
  <connection id="71" xr16:uid="{00000000-0015-0000-FFFF-FFFF37000000}" name="Connection53" type="6" refreshedVersion="0" background="1">
    <textPr prompt="0" sourceFile="D:\">
      <textFields>
        <textField/>
      </textFields>
    </textPr>
  </connection>
  <connection id="72" xr16:uid="{00000000-0015-0000-FFFF-FFFF38000000}" name="Connection54" type="6" refreshedVersion="0" background="1">
    <textPr prompt="0" sourceFile="D:\">
      <textFields>
        <textField/>
      </textFields>
    </textPr>
  </connection>
  <connection id="73" xr16:uid="{00000000-0015-0000-FFFF-FFFF39000000}" name="Connection55" type="6" refreshedVersion="0" background="1">
    <textPr prompt="0" sourceFile="D:\">
      <textFields>
        <textField/>
      </textFields>
    </textPr>
  </connection>
  <connection id="74" xr16:uid="{00000000-0015-0000-FFFF-FFFF3A000000}" name="Connection56" type="6" refreshedVersion="0" background="1">
    <textPr prompt="0" sourceFile="D:\">
      <textFields>
        <textField/>
      </textFields>
    </textPr>
  </connection>
  <connection id="75" xr16:uid="{00000000-0015-0000-FFFF-FFFF3B000000}" name="Connection57" type="6" refreshedVersion="0" background="1">
    <textPr prompt="0" sourceFile="D:\">
      <textFields>
        <textField/>
      </textFields>
    </textPr>
  </connection>
  <connection id="76" xr16:uid="{00000000-0015-0000-FFFF-FFFF3C000000}" name="Connection58" type="6" refreshedVersion="0" background="1">
    <textPr prompt="0" sourceFile="D:\">
      <textFields>
        <textField/>
      </textFields>
    </textPr>
  </connection>
  <connection id="77" xr16:uid="{00000000-0015-0000-FFFF-FFFF3D000000}" name="Connection59" type="6" refreshedVersion="0" background="1">
    <textPr prompt="0" sourceFile="D:\">
      <textFields>
        <textField/>
      </textFields>
    </textPr>
  </connection>
  <connection id="78" xr16:uid="{00000000-0015-0000-FFFF-FFFF3E000000}" name="Connection6" type="6" refreshedVersion="0" background="1">
    <textPr prompt="0" sourceFile="D:\">
      <textFields>
        <textField/>
      </textFields>
    </textPr>
  </connection>
  <connection id="79" xr16:uid="{00000000-0015-0000-FFFF-FFFF3F000000}" name="Connection60" type="6" refreshedVersion="0" background="1">
    <textPr prompt="0" sourceFile="D:\">
      <textFields>
        <textField/>
      </textFields>
    </textPr>
  </connection>
  <connection id="80" xr16:uid="{00000000-0015-0000-FFFF-FFFF40000000}" name="Connection61" type="6" refreshedVersion="0" background="1">
    <textPr prompt="0" sourceFile="D:\">
      <textFields>
        <textField/>
      </textFields>
    </textPr>
  </connection>
  <connection id="81" xr16:uid="{00000000-0015-0000-FFFF-FFFF41000000}" name="Connection62" type="6" refreshedVersion="0" background="1">
    <textPr prompt="0" sourceFile="D:\">
      <textFields>
        <textField/>
      </textFields>
    </textPr>
  </connection>
  <connection id="82" xr16:uid="{00000000-0015-0000-FFFF-FFFF42000000}" name="Connection63" type="6" refreshedVersion="0" background="1">
    <textPr prompt="0" sourceFile="D:\">
      <textFields>
        <textField/>
      </textFields>
    </textPr>
  </connection>
  <connection id="83" xr16:uid="{00000000-0015-0000-FFFF-FFFF43000000}" name="Connection64" type="6" refreshedVersion="0" background="1">
    <textPr prompt="0" sourceFile="D:\">
      <textFields>
        <textField/>
      </textFields>
    </textPr>
  </connection>
  <connection id="84" xr16:uid="{00000000-0015-0000-FFFF-FFFF44000000}" name="Connection65" type="6" refreshedVersion="0" background="1">
    <textPr prompt="0" sourceFile="D:\">
      <textFields>
        <textField/>
      </textFields>
    </textPr>
  </connection>
  <connection id="85" xr16:uid="{00000000-0015-0000-FFFF-FFFF45000000}" name="Connection66" type="6" refreshedVersion="0" background="1">
    <textPr prompt="0" sourceFile="D:\">
      <textFields>
        <textField/>
      </textFields>
    </textPr>
  </connection>
  <connection id="86" xr16:uid="{00000000-0015-0000-FFFF-FFFF46000000}" name="Connection67" type="6" refreshedVersion="0" background="1">
    <textPr prompt="0" sourceFile="D:\">
      <textFields>
        <textField/>
      </textFields>
    </textPr>
  </connection>
  <connection id="87" xr16:uid="{00000000-0015-0000-FFFF-FFFF47000000}" name="Connection68" type="6" refreshedVersion="0" background="1">
    <textPr prompt="0" sourceFile="D:\">
      <textFields>
        <textField/>
      </textFields>
    </textPr>
  </connection>
  <connection id="88" xr16:uid="{00000000-0015-0000-FFFF-FFFF48000000}" name="Connection69" type="6" refreshedVersion="0" background="1">
    <textPr prompt="0" sourceFile="D:\">
      <textFields>
        <textField/>
      </textFields>
    </textPr>
  </connection>
  <connection id="89" xr16:uid="{00000000-0015-0000-FFFF-FFFF49000000}" name="Connection7" type="6" refreshedVersion="0" background="1">
    <textPr prompt="0" sourceFile="D:\">
      <textFields>
        <textField/>
      </textFields>
    </textPr>
  </connection>
  <connection id="90" xr16:uid="{00000000-0015-0000-FFFF-FFFF4A000000}" name="Connection70" type="6" refreshedVersion="0" background="1">
    <textPr prompt="0" sourceFile="D:\">
      <textFields>
        <textField/>
      </textFields>
    </textPr>
  </connection>
  <connection id="91" xr16:uid="{00000000-0015-0000-FFFF-FFFF4B000000}" name="Connection71" type="6" refreshedVersion="0" background="1">
    <textPr prompt="0" sourceFile="D:\">
      <textFields>
        <textField/>
      </textFields>
    </textPr>
  </connection>
  <connection id="92" xr16:uid="{00000000-0015-0000-FFFF-FFFF4C000000}" name="Connection72" type="6" refreshedVersion="0" background="1">
    <textPr prompt="0" sourceFile="D:\">
      <textFields>
        <textField/>
      </textFields>
    </textPr>
  </connection>
  <connection id="93" xr16:uid="{00000000-0015-0000-FFFF-FFFF4D000000}" name="Connection73" type="6" refreshedVersion="0" background="1">
    <textPr prompt="0" sourceFile="D:\">
      <textFields>
        <textField/>
      </textFields>
    </textPr>
  </connection>
  <connection id="94" xr16:uid="{00000000-0015-0000-FFFF-FFFF4E000000}" name="Connection74" type="6" refreshedVersion="0" background="1">
    <textPr prompt="0" sourceFile="D:\">
      <textFields>
        <textField/>
      </textFields>
    </textPr>
  </connection>
  <connection id="95" xr16:uid="{00000000-0015-0000-FFFF-FFFF4F000000}" name="Connection75" type="6" refreshedVersion="0" background="1">
    <textPr prompt="0" sourceFile="D:\">
      <textFields>
        <textField/>
      </textFields>
    </textPr>
  </connection>
  <connection id="96" xr16:uid="{00000000-0015-0000-FFFF-FFFF50000000}" name="Connection76" type="6" refreshedVersion="0" background="1">
    <textPr prompt="0" sourceFile="D:\">
      <textFields>
        <textField/>
      </textFields>
    </textPr>
  </connection>
  <connection id="97" xr16:uid="{00000000-0015-0000-FFFF-FFFF51000000}" name="Connection77" type="6" refreshedVersion="0" background="1">
    <textPr prompt="0" sourceFile="D:\">
      <textFields>
        <textField/>
      </textFields>
    </textPr>
  </connection>
  <connection id="98" xr16:uid="{00000000-0015-0000-FFFF-FFFF52000000}" name="Connection78" type="6" refreshedVersion="0" background="1">
    <textPr prompt="0" sourceFile="D:\">
      <textFields>
        <textField/>
      </textFields>
    </textPr>
  </connection>
  <connection id="99" xr16:uid="{00000000-0015-0000-FFFF-FFFF53000000}" name="Connection79" type="6" refreshedVersion="0" background="1">
    <textPr prompt="0" sourceFile="D:\">
      <textFields>
        <textField/>
      </textFields>
    </textPr>
  </connection>
  <connection id="100" xr16:uid="{00000000-0015-0000-FFFF-FFFF54000000}" name="Connection8" type="6" refreshedVersion="0" background="1">
    <textPr prompt="0" sourceFile="D:\">
      <textFields>
        <textField/>
      </textFields>
    </textPr>
  </connection>
  <connection id="101" xr16:uid="{00000000-0015-0000-FFFF-FFFF55000000}" name="Connection80" type="6" refreshedVersion="0" background="1">
    <textPr prompt="0" sourceFile="D:\">
      <textFields>
        <textField/>
      </textFields>
    </textPr>
  </connection>
  <connection id="102" xr16:uid="{00000000-0015-0000-FFFF-FFFF56000000}" name="Connection81" type="6" refreshedVersion="0" background="1">
    <textPr prompt="0" sourceFile="D:\">
      <textFields>
        <textField/>
      </textFields>
    </textPr>
  </connection>
  <connection id="103" xr16:uid="{00000000-0015-0000-FFFF-FFFF57000000}" name="Connection82" type="6" refreshedVersion="0" background="1">
    <textPr prompt="0" sourceFile="D:\">
      <textFields>
        <textField/>
      </textFields>
    </textPr>
  </connection>
  <connection id="104" xr16:uid="{00000000-0015-0000-FFFF-FFFF58000000}" name="Connection83" type="6" refreshedVersion="0" background="1">
    <textPr prompt="0" sourceFile="D:\">
      <textFields>
        <textField/>
      </textFields>
    </textPr>
  </connection>
  <connection id="105" xr16:uid="{00000000-0015-0000-FFFF-FFFF59000000}" name="Connection84" type="6" refreshedVersion="0" background="1">
    <textPr prompt="0" sourceFile="D:\">
      <textFields>
        <textField/>
      </textFields>
    </textPr>
  </connection>
  <connection id="106" xr16:uid="{00000000-0015-0000-FFFF-FFFF5A000000}" name="Connection85" type="6" refreshedVersion="0" background="1">
    <textPr prompt="0" sourceFile="D:\">
      <textFields>
        <textField/>
      </textFields>
    </textPr>
  </connection>
  <connection id="107" xr16:uid="{00000000-0015-0000-FFFF-FFFF5B000000}" name="Connection86" type="6" refreshedVersion="0" background="1">
    <textPr prompt="0" sourceFile="D:\">
      <textFields>
        <textField/>
      </textFields>
    </textPr>
  </connection>
  <connection id="108" xr16:uid="{00000000-0015-0000-FFFF-FFFF5C000000}" name="Connection87" type="6" refreshedVersion="0" background="1">
    <textPr prompt="0" sourceFile="D:\">
      <textFields>
        <textField/>
      </textFields>
    </textPr>
  </connection>
  <connection id="109" xr16:uid="{00000000-0015-0000-FFFF-FFFF5D000000}" name="Connection88" type="6" refreshedVersion="0" background="1">
    <textPr prompt="0" sourceFile="D:\">
      <textFields>
        <textField/>
      </textFields>
    </textPr>
  </connection>
  <connection id="110" xr16:uid="{00000000-0015-0000-FFFF-FFFF5E000000}" name="Connection89" type="6" refreshedVersion="0" background="1">
    <textPr prompt="0" sourceFile="D:\">
      <textFields>
        <textField/>
      </textFields>
    </textPr>
  </connection>
  <connection id="111" xr16:uid="{00000000-0015-0000-FFFF-FFFF5F000000}" name="Connection9" type="6" refreshedVersion="0" background="1">
    <textPr prompt="0" sourceFile="D:\">
      <textFields>
        <textField/>
      </textFields>
    </textPr>
  </connection>
  <connection id="112" xr16:uid="{00000000-0015-0000-FFFF-FFFF60000000}" name="Connection90" type="6" refreshedVersion="0" background="1">
    <textPr prompt="0" sourceFile="D:\">
      <textFields>
        <textField/>
      </textFields>
    </textPr>
  </connection>
  <connection id="113" xr16:uid="{00000000-0015-0000-FFFF-FFFF61000000}" name="Connection91" type="6" refreshedVersion="0" background="1">
    <textPr prompt="0" sourceFile="D:\">
      <textFields>
        <textField/>
      </textFields>
    </textPr>
  </connection>
  <connection id="114" xr16:uid="{00000000-0015-0000-FFFF-FFFF62000000}" name="Connection92" type="6" refreshedVersion="0" background="1">
    <textPr prompt="0" sourceFile="D:\">
      <textFields>
        <textField/>
      </textFields>
    </textPr>
  </connection>
  <connection id="115" xr16:uid="{00000000-0015-0000-FFFF-FFFF63000000}" name="Connection93" type="6" refreshedVersion="0" background="1">
    <textPr prompt="0" sourceFile="D:\">
      <textFields>
        <textField/>
      </textFields>
    </textPr>
  </connection>
  <connection id="116" xr16:uid="{00000000-0015-0000-FFFF-FFFF64000000}" name="Connection94" type="6" refreshedVersion="0" background="1">
    <textPr prompt="0" sourceFile="D:\">
      <textFields>
        <textField/>
      </textFields>
    </textPr>
  </connection>
  <connection id="117" xr16:uid="{00000000-0015-0000-FFFF-FFFF65000000}" name="Connection95" type="6" refreshedVersion="0" background="1">
    <textPr prompt="0" sourceFile="D:\">
      <textFields>
        <textField/>
      </textFields>
    </textPr>
  </connection>
  <connection id="118" xr16:uid="{00000000-0015-0000-FFFF-FFFF66000000}" name="Connection96" type="6" refreshedVersion="0" background="1">
    <textPr prompt="0" sourceFile="D:\">
      <textFields>
        <textField/>
      </textFields>
    </textPr>
  </connection>
  <connection id="119" xr16:uid="{00000000-0015-0000-FFFF-FFFF67000000}" name="Connection97" type="6" refreshedVersion="0" background="1">
    <textPr prompt="0" sourceFile="D:\">
      <textFields>
        <textField/>
      </textFields>
    </textPr>
  </connection>
  <connection id="120" xr16:uid="{00000000-0015-0000-FFFF-FFFF68000000}" name="Connection98" type="6" refreshedVersion="0" background="1">
    <textPr prompt="0" sourceFile="D:\">
      <textFields>
        <textField/>
      </textFields>
    </textPr>
  </connection>
  <connection id="121" xr16:uid="{00000000-0015-0000-FFFF-FFFF69000000}" name="Connection99" type="6" refreshedVersion="0" background="1">
    <textPr prompt="0" sourceFile="D:\">
      <textFields>
        <textField/>
      </textFields>
    </textPr>
  </connection>
</connections>
</file>

<file path=xl/sharedStrings.xml><?xml version="1.0" encoding="utf-8"?>
<sst xmlns="http://schemas.openxmlformats.org/spreadsheetml/2006/main" count="389" uniqueCount="240">
  <si>
    <t>Sort:</t>
  </si>
  <si>
    <t>Date:</t>
  </si>
  <si>
    <t>Flow Control:</t>
  </si>
  <si>
    <t>Daily Operating Plan</t>
  </si>
  <si>
    <t>Staffing</t>
  </si>
  <si>
    <t>Sorters Used</t>
  </si>
  <si>
    <t>Planned</t>
  </si>
  <si>
    <t>Actual</t>
  </si>
  <si>
    <t>Volume</t>
  </si>
  <si>
    <t>Sort S-Time</t>
  </si>
  <si>
    <t>UNL D-Time</t>
  </si>
  <si>
    <t>Sort D-Time</t>
  </si>
  <si>
    <t>PS1</t>
  </si>
  <si>
    <t>PS2</t>
  </si>
  <si>
    <t>PS3</t>
  </si>
  <si>
    <t>PS4</t>
  </si>
  <si>
    <t>PS5</t>
  </si>
  <si>
    <t>PS6</t>
  </si>
  <si>
    <t>PS7</t>
  </si>
  <si>
    <t>PS8</t>
  </si>
  <si>
    <t>PS9</t>
  </si>
  <si>
    <t>PS10</t>
  </si>
  <si>
    <t>PS11</t>
  </si>
  <si>
    <t>PS12</t>
  </si>
  <si>
    <t>PD1</t>
  </si>
  <si>
    <t>PD2</t>
  </si>
  <si>
    <t>PD3</t>
  </si>
  <si>
    <t>PD4</t>
  </si>
  <si>
    <t>PD5</t>
  </si>
  <si>
    <t>PD6</t>
  </si>
  <si>
    <t>PD7</t>
  </si>
  <si>
    <t>PD8</t>
  </si>
  <si>
    <t>PD9</t>
  </si>
  <si>
    <t>PD10</t>
  </si>
  <si>
    <t>AF01</t>
  </si>
  <si>
    <t>Sort Call End Time</t>
  </si>
  <si>
    <t>Conveyor</t>
  </si>
  <si>
    <t>Problem</t>
  </si>
  <si>
    <t>Cause</t>
  </si>
  <si>
    <t>Remedy</t>
  </si>
  <si>
    <t>Mechanic</t>
  </si>
  <si>
    <t>Specialist</t>
  </si>
  <si>
    <t>Location</t>
  </si>
  <si>
    <t>Critical Repairs/Ongoing Issues (Repairs Needed After the Sort)</t>
  </si>
  <si>
    <t>Tenders</t>
  </si>
  <si>
    <t>Total</t>
  </si>
  <si>
    <t>OTE</t>
  </si>
  <si>
    <t>To DA</t>
  </si>
  <si>
    <t>No Read</t>
  </si>
  <si>
    <t>Spacing Error</t>
  </si>
  <si>
    <t>Chute Full</t>
  </si>
  <si>
    <t>Total Downtime</t>
  </si>
  <si>
    <t>%</t>
  </si>
  <si>
    <t>Counts</t>
  </si>
  <si>
    <t>Lost Tracking</t>
  </si>
  <si>
    <t>Chute Full Packages</t>
  </si>
  <si>
    <t>Lost in Tracking</t>
  </si>
  <si>
    <t>Total Induct Packages</t>
  </si>
  <si>
    <t>Post-sort stats</t>
  </si>
  <si>
    <r>
      <t>Do not edit</t>
    </r>
    <r>
      <rPr>
        <sz val="14"/>
        <color indexed="22"/>
        <rFont val="Calibri"/>
        <family val="2"/>
      </rPr>
      <t xml:space="preserve"> </t>
    </r>
    <r>
      <rPr>
        <b/>
        <sz val="14"/>
        <rFont val="Calibri"/>
        <family val="2"/>
      </rPr>
      <t>GREY CELLS</t>
    </r>
  </si>
  <si>
    <t>Diverter Failed</t>
  </si>
  <si>
    <t>No PLC ID</t>
  </si>
  <si>
    <t>Take Away Not Running</t>
  </si>
  <si>
    <t>SLS P3</t>
  </si>
  <si>
    <t>SLS P4</t>
  </si>
  <si>
    <t>SLS P5</t>
  </si>
  <si>
    <t>SLS P6</t>
  </si>
  <si>
    <t>SLS S1</t>
  </si>
  <si>
    <t>SLS S2</t>
  </si>
  <si>
    <t>SLS S4</t>
  </si>
  <si>
    <t>SLS S5</t>
  </si>
  <si>
    <t>Brkdwn?</t>
  </si>
  <si>
    <t>N/A</t>
  </si>
  <si>
    <t>Total Scanned Packages</t>
  </si>
  <si>
    <t>Total Sorted Packages</t>
  </si>
  <si>
    <t>Take Away Not Running %</t>
  </si>
  <si>
    <t>PS Statistics</t>
  </si>
  <si>
    <t>Total Sorted %</t>
  </si>
  <si>
    <t>Total Induct %</t>
  </si>
  <si>
    <t>Bad Induct</t>
  </si>
  <si>
    <t>Bad Induct %</t>
  </si>
  <si>
    <t>Work Order #</t>
  </si>
  <si>
    <t>Detailed Information On Issues That Affect The Sort. State the Problem, Cause, Remedy and Service Affected.</t>
  </si>
  <si>
    <t>Reported By</t>
  </si>
  <si>
    <t>Lowest No Read Performance</t>
  </si>
  <si>
    <t>Lowest No PLC ID Performance</t>
  </si>
  <si>
    <t>Lowest Lost in Tracking Performance</t>
  </si>
  <si>
    <t>Lowest Spacing Error Performance</t>
  </si>
  <si>
    <t>Lowest Diverter Failed Performance</t>
  </si>
  <si>
    <t>Lowest Overall Performance</t>
  </si>
  <si>
    <t>All cells verified as correct</t>
  </si>
  <si>
    <t>Selected Sort:</t>
  </si>
  <si>
    <t>All PS cells verified as correct</t>
  </si>
  <si>
    <t>All PD cells verified as correct</t>
  </si>
  <si>
    <t>All SLS Primaries verified as correct</t>
  </si>
  <si>
    <t>All SLS secondaries verified as correct</t>
  </si>
  <si>
    <t>Dispatched? Y/N</t>
  </si>
  <si>
    <t>Dispatched To</t>
  </si>
  <si>
    <t>Sort Call Start Time</t>
  </si>
  <si>
    <t>BaSE:</t>
  </si>
  <si>
    <t>Building Mnemonic:</t>
  </si>
  <si>
    <t>Building Name:</t>
  </si>
  <si>
    <t>UTLKE</t>
  </si>
  <si>
    <t>Utah Regional Hub</t>
  </si>
  <si>
    <t>Workbook Password:</t>
  </si>
  <si>
    <t>Trending Server Bigs URL:</t>
  </si>
  <si>
    <t>Trending Server Smalls URL:</t>
  </si>
  <si>
    <t>Trending Bigs Username:</t>
  </si>
  <si>
    <t>Trending Bigs Password:</t>
  </si>
  <si>
    <t>Trending Smalls Username:</t>
  </si>
  <si>
    <t>Trending Smalls Password:</t>
  </si>
  <si>
    <t>Variable</t>
  </si>
  <si>
    <t>Value:</t>
  </si>
  <si>
    <t>Example:</t>
  </si>
  <si>
    <t>http://XX.XX.XX.XX/trending_bigs/</t>
  </si>
  <si>
    <t>http://XX.XX.XX.XX/trending_ss/</t>
  </si>
  <si>
    <t>Note: The last "/" on the URL is required.</t>
  </si>
  <si>
    <t>Sorters Used Verified</t>
  </si>
  <si>
    <t>Check Sheet: 1 = Cell Verified  0 = Cell Unverified/Incorrect</t>
  </si>
  <si>
    <t>Date</t>
  </si>
  <si>
    <t>Start Time</t>
  </si>
  <si>
    <t>End Time</t>
  </si>
  <si>
    <t>Duration</t>
  </si>
  <si>
    <t>Reported by</t>
  </si>
  <si>
    <t>Material</t>
  </si>
  <si>
    <t>Light Curtain</t>
  </si>
  <si>
    <t>Matrix Modules</t>
  </si>
  <si>
    <t>Bottom Mirror</t>
  </si>
  <si>
    <t>Comments</t>
  </si>
  <si>
    <t>Leaker Tracker Drop Down Lists</t>
  </si>
  <si>
    <t>PS01</t>
  </si>
  <si>
    <t>PS02</t>
  </si>
  <si>
    <t>PS03</t>
  </si>
  <si>
    <t>PS04</t>
  </si>
  <si>
    <t>PS05</t>
  </si>
  <si>
    <t>PS06</t>
  </si>
  <si>
    <t>PS07</t>
  </si>
  <si>
    <t>PS08</t>
  </si>
  <si>
    <t>PS09</t>
  </si>
  <si>
    <t>PD01</t>
  </si>
  <si>
    <t>PD02</t>
  </si>
  <si>
    <t>PD03</t>
  </si>
  <si>
    <t>PD04</t>
  </si>
  <si>
    <t>PD05</t>
  </si>
  <si>
    <t>PD06</t>
  </si>
  <si>
    <t>PD07</t>
  </si>
  <si>
    <t>PD08</t>
  </si>
  <si>
    <t>PD09</t>
  </si>
  <si>
    <t>PF1</t>
  </si>
  <si>
    <t>PF2</t>
  </si>
  <si>
    <t>PF3</t>
  </si>
  <si>
    <t>PF4</t>
  </si>
  <si>
    <t>DAF1</t>
  </si>
  <si>
    <t>SSF1</t>
  </si>
  <si>
    <t>SSF2</t>
  </si>
  <si>
    <t>Operations</t>
  </si>
  <si>
    <t>BaSE</t>
  </si>
  <si>
    <t>Paint</t>
  </si>
  <si>
    <t>Oil</t>
  </si>
  <si>
    <t>Other</t>
  </si>
  <si>
    <t>OK</t>
  </si>
  <si>
    <t>Cleaned</t>
  </si>
  <si>
    <t>Painted</t>
  </si>
  <si>
    <t>Replaced</t>
  </si>
  <si>
    <t>Detergent</t>
  </si>
  <si>
    <t>PE Drive Network Location:</t>
  </si>
  <si>
    <t>\\svrpXXXXXXXX\pe$\</t>
  </si>
  <si>
    <t>Instructions</t>
  </si>
  <si>
    <r>
      <t xml:space="preserve">This sheet contains all the customization options for the workbook. This will allow you to customize according to your building. </t>
    </r>
    <r>
      <rPr>
        <b/>
        <sz val="11"/>
        <color rgb="FFFF0000"/>
        <rFont val="Calibri"/>
        <family val="2"/>
        <scheme val="minor"/>
      </rPr>
      <t xml:space="preserve">Please note the following items:
</t>
    </r>
    <r>
      <rPr>
        <b/>
        <sz val="11"/>
        <color theme="1"/>
        <rFont val="Calibri"/>
        <family val="2"/>
        <scheme val="minor"/>
      </rPr>
      <t xml:space="preserve">- </t>
    </r>
    <r>
      <rPr>
        <sz val="11"/>
        <color theme="1"/>
        <rFont val="Calibri"/>
        <family val="2"/>
        <scheme val="minor"/>
      </rPr>
      <t>The Workbook Password field above has the text colored white just as a way to help hide the password in cell B3. That is why it is not visible without clicking on it. When you click on cell B3, you will see the value of the password in the editing bar at the top of the sheet.
- Examples are provided in the column labeled examples. Do not copy them exactly, they will not work. They are meant as formatting guides only and your building will be different.
- The table to the right with the Leaker Tracker Drop Down Lists can be edited/added to to change the values that appear in the dropdown menus for the Leaker Tracker Report Form. The form for reporting leakers is found on the front report page by clicking the button in the top right corner of the form.
- As of this iteration, the smalls stats retrieval does not currently function. The above values for it are there for placeholders currently.</t>
    </r>
  </si>
  <si>
    <t>M4</t>
  </si>
  <si>
    <t>M5</t>
  </si>
  <si>
    <t>M6</t>
  </si>
  <si>
    <t>Administration Password:</t>
  </si>
  <si>
    <t>user</t>
  </si>
  <si>
    <t>COORA</t>
  </si>
  <si>
    <t>Colorado Aurora Hub</t>
  </si>
  <si>
    <t>COORA UPS</t>
  </si>
  <si>
    <t>http://10.29.136.44/trending_bigs/</t>
  </si>
  <si>
    <t>http://10.29.136.44/trending_ss/</t>
  </si>
  <si>
    <t>trendingCOORA</t>
  </si>
  <si>
    <t>\\svrp00055684\users\</t>
  </si>
  <si>
    <t>SAI 1</t>
  </si>
  <si>
    <t>SAI 2</t>
  </si>
  <si>
    <t>Tilt Tray</t>
  </si>
  <si>
    <t>Machine Performance Index</t>
  </si>
  <si>
    <t>BaSE MPI</t>
  </si>
  <si>
    <t>Side by Side</t>
  </si>
  <si>
    <t>NO SORT MSG</t>
  </si>
  <si>
    <t>SPACING ERROR</t>
  </si>
  <si>
    <t>LANE NOT AVAIL</t>
  </si>
  <si>
    <t>OVER SIZED</t>
  </si>
  <si>
    <t>Total Recirc</t>
  </si>
  <si>
    <t>Max Rev Rejects</t>
  </si>
  <si>
    <t>No Tracking Number</t>
  </si>
  <si>
    <t>Plan Derate</t>
  </si>
  <si>
    <t>Bag Close Derates</t>
  </si>
  <si>
    <t>Bag Closes</t>
  </si>
  <si>
    <t>No Decode</t>
  </si>
  <si>
    <t>Machine Derate</t>
  </si>
  <si>
    <t>Net Sorted</t>
  </si>
  <si>
    <t>Machine Performance</t>
  </si>
  <si>
    <t>Building Total</t>
  </si>
  <si>
    <t>Total Diverted Packages</t>
  </si>
  <si>
    <t>PS/PD MPI</t>
  </si>
  <si>
    <t>Building MPI</t>
  </si>
  <si>
    <t>Tilt Tray Total Recirc</t>
  </si>
  <si>
    <t>SAI OTE</t>
  </si>
  <si>
    <t>SAI Lane Not Available</t>
  </si>
  <si>
    <t>SAI Spacing Error</t>
  </si>
  <si>
    <t>SAI Side by Side</t>
  </si>
  <si>
    <t>SAI Oversized</t>
  </si>
  <si>
    <t>SAI Lost Tracking</t>
  </si>
  <si>
    <t>SAI MPI</t>
  </si>
  <si>
    <t>PD &amp; METRO Statistics</t>
  </si>
  <si>
    <t>Small Sort Statistics</t>
  </si>
  <si>
    <t xml:space="preserve">Daily Dash </t>
  </si>
  <si>
    <t>Sort Plan Loaded</t>
  </si>
  <si>
    <t>TT Pretrip</t>
  </si>
  <si>
    <t>Test Packages</t>
  </si>
  <si>
    <t>Tilt Tray MPI</t>
  </si>
  <si>
    <t>PSRC</t>
  </si>
  <si>
    <t>To DA %</t>
  </si>
  <si>
    <r>
      <t xml:space="preserve">Do not edit </t>
    </r>
    <r>
      <rPr>
        <b/>
        <sz val="14"/>
        <color theme="1"/>
        <rFont val="Calibri"/>
        <family val="2"/>
        <scheme val="minor"/>
      </rPr>
      <t>GREY CELLS</t>
    </r>
  </si>
  <si>
    <t>OTE %</t>
  </si>
  <si>
    <t>No Read %</t>
  </si>
  <si>
    <t>Spacing Error %</t>
  </si>
  <si>
    <t>Chute Full Packages %</t>
  </si>
  <si>
    <t>Lost in Tracking %</t>
  </si>
  <si>
    <t>No PLC ID %</t>
  </si>
  <si>
    <t>Diverter Failed %</t>
  </si>
  <si>
    <t>Belts Purged</t>
  </si>
  <si>
    <t>Top 3 Lowest Performance Ranked Sorters</t>
  </si>
  <si>
    <t>Sort Calls</t>
  </si>
  <si>
    <t>Start Date</t>
  </si>
  <si>
    <t>TT</t>
  </si>
  <si>
    <t>UPSCOORAstats</t>
  </si>
  <si>
    <t>x</t>
  </si>
  <si>
    <r>
      <rPr>
        <b/>
        <sz val="14"/>
        <color theme="1"/>
        <rFont val="Calibri"/>
        <family val="2"/>
        <scheme val="minor"/>
      </rPr>
      <t>10 Sec</t>
    </r>
    <r>
      <rPr>
        <sz val="14"/>
        <color theme="1"/>
        <rFont val="Calibri"/>
        <family val="2"/>
        <scheme val="minor"/>
      </rPr>
      <t xml:space="preserve"> Per Date</t>
    </r>
  </si>
  <si>
    <t>Pre/Sun</t>
  </si>
  <si>
    <t>Scanned volume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</si>
</sst>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25" x14ac:knownFonts="1">
    <font>
      <sz val="11"/>
      <color theme="1"/>
      <name val="Calibri"/>
      <family val="2"/>
      <scheme val="minor"/>
    </font>
    <font>
      <sz val="14"/>
      <color indexed="22"/>
      <name val="Calibri"/>
      <family val="2"/>
    </font>
    <font>
      <b/>
      <sz val="14"/>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1"/>
      <color theme="1" tint="4.9989318521683403E-2"/>
      <name val="Calibri"/>
      <family val="2"/>
      <scheme val="minor"/>
    </font>
    <font>
      <b/>
      <sz val="12"/>
      <color theme="1"/>
      <name val="Calibri"/>
      <family val="2"/>
      <scheme val="minor"/>
    </font>
    <font>
      <sz val="12"/>
      <color theme="1"/>
      <name val="Calibri"/>
      <family val="2"/>
      <scheme val="minor"/>
    </font>
    <font>
      <b/>
      <sz val="14"/>
      <color theme="1"/>
      <name val="Calibri"/>
      <family val="2"/>
      <scheme val="minor"/>
    </font>
    <font>
      <b/>
      <sz val="18"/>
      <color theme="1"/>
      <name val="Calibri"/>
      <family val="2"/>
      <scheme val="minor"/>
    </font>
    <font>
      <sz val="14"/>
      <color theme="1"/>
      <name val="Calibri"/>
      <family val="2"/>
      <scheme val="minor"/>
    </font>
    <font>
      <b/>
      <sz val="11"/>
      <color rgb="FFFF0000"/>
      <name val="Calibri"/>
      <family val="2"/>
      <scheme val="minor"/>
    </font>
    <font>
      <b/>
      <u/>
      <sz val="11"/>
      <color theme="1"/>
      <name val="Calibri"/>
      <family val="2"/>
      <scheme val="minor"/>
    </font>
    <font>
      <b/>
      <sz val="14"/>
      <color indexed="10"/>
      <name val="Calibri"/>
      <family val="2"/>
      <scheme val="minor"/>
    </font>
    <font>
      <b/>
      <sz val="14"/>
      <color indexed="17"/>
      <name val="Calibri"/>
      <family val="2"/>
      <scheme val="minor"/>
    </font>
    <font>
      <b/>
      <sz val="16"/>
      <color theme="1"/>
      <name val="Calibri"/>
      <family val="2"/>
      <scheme val="minor"/>
    </font>
    <font>
      <sz val="11"/>
      <color rgb="FFFF0000"/>
      <name val="Calibri"/>
      <family val="2"/>
      <scheme val="minor"/>
    </font>
    <font>
      <b/>
      <sz val="28"/>
      <color theme="1"/>
      <name val="Calibri"/>
      <family val="2"/>
      <scheme val="minor"/>
    </font>
    <font>
      <sz val="11"/>
      <name val="Calibri"/>
      <family val="2"/>
      <scheme val="minor"/>
    </font>
    <font>
      <sz val="11"/>
      <color theme="0" tint="-4.9989318521683403E-2"/>
      <name val="Calibri"/>
      <family val="2"/>
      <scheme val="minor"/>
    </font>
    <font>
      <sz val="11"/>
      <color rgb="FFFF0000"/>
      <name val="Calibri"/>
      <family val="2"/>
    </font>
    <font>
      <b/>
      <sz val="11"/>
      <color rgb="FFFF0000"/>
      <name val="Calibri"/>
      <family val="2"/>
    </font>
    <font>
      <sz val="11"/>
      <color rgb="FF000000"/>
      <name val="Calibri"/>
      <family val="2"/>
    </font>
    <font>
      <b/>
      <sz val="12"/>
      <color rgb="FF000000"/>
      <name val="Calibri"/>
      <family val="2"/>
    </font>
  </fonts>
  <fills count="20">
    <fill>
      <patternFill patternType="none"/>
    </fill>
    <fill>
      <patternFill patternType="gray125"/>
    </fill>
    <fill>
      <patternFill patternType="solid">
        <fgColor theme="7" tint="0.79998168889431442"/>
        <bgColor indexed="65"/>
      </patternFill>
    </fill>
    <fill>
      <patternFill patternType="solid">
        <fgColor theme="4" tint="0.59999389629810485"/>
        <bgColor indexed="65"/>
      </patternFill>
    </fill>
    <fill>
      <patternFill patternType="solid">
        <fgColor theme="6" tint="0.59999389629810485"/>
        <bgColor indexed="65"/>
      </patternFill>
    </fill>
    <fill>
      <patternFill patternType="solid">
        <fgColor theme="7" tint="0.79998168889431442"/>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rgb="FFF6ECE2"/>
        <bgColor indexed="64"/>
      </patternFill>
    </fill>
    <fill>
      <patternFill patternType="solid">
        <fgColor theme="0"/>
        <bgColor indexed="64"/>
      </patternFill>
    </fill>
    <fill>
      <patternFill patternType="solid">
        <fgColor rgb="FFBDD7EE"/>
        <bgColor indexed="64"/>
      </patternFill>
    </fill>
    <fill>
      <patternFill patternType="solid">
        <fgColor theme="0" tint="-0.14999847407452621"/>
        <bgColor theme="0" tint="-0.14999847407452621"/>
      </patternFill>
    </fill>
    <fill>
      <patternFill patternType="solid">
        <fgColor theme="6"/>
        <bgColor theme="6"/>
      </patternFill>
    </fill>
    <fill>
      <patternFill patternType="solid">
        <fgColor theme="0" tint="-0.249977111117893"/>
        <bgColor indexed="64"/>
      </patternFill>
    </fill>
    <fill>
      <patternFill patternType="solid">
        <fgColor theme="0" tint="-0.499984740745262"/>
        <bgColor indexed="64"/>
      </patternFill>
    </fill>
    <fill>
      <patternFill patternType="solid">
        <fgColor theme="1"/>
        <bgColor indexed="64"/>
      </patternFill>
    </fill>
    <fill>
      <patternFill patternType="solid">
        <fgColor theme="6" tint="0.79998168889431442"/>
        <bgColor indexed="64"/>
      </patternFill>
    </fill>
    <fill>
      <patternFill patternType="solid">
        <fgColor theme="9" tint="0.59999389629810485"/>
        <bgColor indexed="64"/>
      </patternFill>
    </fill>
  </fills>
  <borders count="64">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top/>
      <bottom/>
      <diagonal/>
    </border>
    <border>
      <left style="medium">
        <color indexed="64"/>
      </left>
      <right style="thin">
        <color indexed="64"/>
      </right>
      <top style="medium">
        <color indexed="64"/>
      </top>
      <bottom/>
      <diagonal/>
    </border>
    <border>
      <left/>
      <right/>
      <top style="medium">
        <color indexed="64"/>
      </top>
      <bottom/>
      <diagonal/>
    </border>
    <border>
      <left/>
      <right/>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theme="1"/>
      </left>
      <right style="medium">
        <color theme="1"/>
      </right>
      <top style="medium">
        <color theme="1"/>
      </top>
      <bottom style="thin">
        <color theme="1"/>
      </bottom>
      <diagonal/>
    </border>
    <border>
      <left style="medium">
        <color theme="1"/>
      </left>
      <right style="medium">
        <color theme="1"/>
      </right>
      <top style="medium">
        <color theme="1"/>
      </top>
      <bottom style="medium">
        <color theme="1"/>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medium">
        <color theme="1"/>
      </left>
      <right style="medium">
        <color indexed="64"/>
      </right>
      <top style="medium">
        <color theme="1"/>
      </top>
      <bottom style="medium">
        <color indexed="64"/>
      </bottom>
      <diagonal/>
    </border>
    <border>
      <left style="medium">
        <color indexed="64"/>
      </left>
      <right style="medium">
        <color theme="1"/>
      </right>
      <top style="medium">
        <color indexed="64"/>
      </top>
      <bottom style="medium">
        <color indexed="64"/>
      </bottom>
      <diagonal/>
    </border>
    <border>
      <left style="medium">
        <color theme="1"/>
      </left>
      <right style="medium">
        <color theme="1"/>
      </right>
      <top style="medium">
        <color indexed="64"/>
      </top>
      <bottom style="medium">
        <color indexed="64"/>
      </bottom>
      <diagonal/>
    </border>
    <border>
      <left style="medium">
        <color theme="1"/>
      </left>
      <right style="medium">
        <color indexed="64"/>
      </right>
      <top style="medium">
        <color indexed="64"/>
      </top>
      <bottom style="medium">
        <color indexed="64"/>
      </bottom>
      <diagonal/>
    </border>
    <border>
      <left style="medium">
        <color theme="1"/>
      </left>
      <right style="medium">
        <color theme="1"/>
      </right>
      <top/>
      <bottom style="thin">
        <color theme="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s>
  <cellStyleXfs count="7">
    <xf numFmtId="0" fontId="0" fillId="0" borderId="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4" fillId="0" borderId="0" applyNumberFormat="0" applyFill="0" applyBorder="0" applyAlignment="0" applyProtection="0"/>
    <xf numFmtId="9" fontId="3" fillId="0" borderId="0" applyFont="0" applyFill="0" applyBorder="0" applyAlignment="0" applyProtection="0"/>
    <xf numFmtId="0" fontId="3" fillId="5" borderId="0">
      <alignment horizontal="center" vertical="center"/>
    </xf>
  </cellStyleXfs>
  <cellXfs count="342">
    <xf numFmtId="0" fontId="0" fillId="0" borderId="0" xfId="0"/>
    <xf numFmtId="10" fontId="0" fillId="0" borderId="0" xfId="0" applyNumberFormat="1"/>
    <xf numFmtId="0" fontId="5" fillId="0" borderId="0" xfId="0" applyFont="1"/>
    <xf numFmtId="0" fontId="5" fillId="6" borderId="1" xfId="0" applyFont="1" applyFill="1" applyBorder="1"/>
    <xf numFmtId="0" fontId="5" fillId="0" borderId="2" xfId="0" applyFont="1" applyFill="1" applyBorder="1"/>
    <xf numFmtId="0" fontId="5" fillId="0" borderId="3" xfId="0" applyFont="1" applyFill="1" applyBorder="1"/>
    <xf numFmtId="0" fontId="5" fillId="0" borderId="4" xfId="0" applyFont="1" applyFill="1" applyBorder="1"/>
    <xf numFmtId="0" fontId="0" fillId="0" borderId="0" xfId="0" applyAlignment="1">
      <alignment wrapText="1"/>
    </xf>
    <xf numFmtId="0" fontId="5" fillId="6" borderId="1" xfId="0"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vertical="center" wrapText="1"/>
    </xf>
    <xf numFmtId="0" fontId="5" fillId="7" borderId="1" xfId="0" applyFont="1" applyFill="1" applyBorder="1" applyProtection="1"/>
    <xf numFmtId="0" fontId="5" fillId="6" borderId="1" xfId="0" applyFont="1" applyFill="1" applyBorder="1" applyAlignment="1" applyProtection="1">
      <alignment horizontal="center" vertical="center" wrapText="1"/>
    </xf>
    <xf numFmtId="10" fontId="5" fillId="6" borderId="1" xfId="0" applyNumberFormat="1" applyFont="1" applyFill="1" applyBorder="1" applyAlignment="1" applyProtection="1">
      <alignment horizontal="center" vertical="center" wrapText="1"/>
    </xf>
    <xf numFmtId="3" fontId="0" fillId="0" borderId="4" xfId="0" applyNumberFormat="1" applyBorder="1" applyAlignment="1" applyProtection="1">
      <alignment horizontal="center"/>
      <protection locked="0"/>
    </xf>
    <xf numFmtId="3" fontId="0" fillId="6" borderId="4" xfId="0" applyNumberFormat="1" applyFill="1" applyBorder="1" applyAlignment="1">
      <alignment horizontal="center"/>
    </xf>
    <xf numFmtId="3" fontId="0" fillId="6" borderId="2" xfId="0" applyNumberFormat="1" applyFill="1" applyBorder="1" applyAlignment="1">
      <alignment horizontal="center"/>
    </xf>
    <xf numFmtId="3" fontId="0" fillId="6" borderId="3" xfId="0" applyNumberFormat="1" applyFill="1" applyBorder="1" applyAlignment="1">
      <alignment horizontal="center"/>
    </xf>
    <xf numFmtId="3" fontId="5" fillId="6" borderId="1" xfId="0" applyNumberFormat="1" applyFont="1" applyFill="1" applyBorder="1" applyAlignment="1">
      <alignment horizontal="center"/>
    </xf>
    <xf numFmtId="3" fontId="0" fillId="6" borderId="6" xfId="0" applyNumberFormat="1" applyFill="1" applyBorder="1" applyAlignment="1">
      <alignment horizontal="center"/>
    </xf>
    <xf numFmtId="3" fontId="0" fillId="7" borderId="4" xfId="0" applyNumberFormat="1" applyFill="1" applyBorder="1" applyAlignment="1">
      <alignment horizontal="center"/>
    </xf>
    <xf numFmtId="3" fontId="5" fillId="7" borderId="1" xfId="0" applyNumberFormat="1" applyFont="1" applyFill="1" applyBorder="1" applyAlignment="1">
      <alignment horizontal="center"/>
    </xf>
    <xf numFmtId="3" fontId="5" fillId="7" borderId="1" xfId="0" applyNumberFormat="1" applyFont="1" applyFill="1" applyBorder="1" applyAlignment="1" applyProtection="1">
      <alignment horizontal="center"/>
    </xf>
    <xf numFmtId="0" fontId="5" fillId="6" borderId="5" xfId="0" applyFont="1" applyFill="1" applyBorder="1" applyAlignment="1">
      <alignment horizontal="center" vertical="center" wrapText="1"/>
    </xf>
    <xf numFmtId="0" fontId="0" fillId="0" borderId="16" xfId="0" applyBorder="1"/>
    <xf numFmtId="0" fontId="0" fillId="0" borderId="17" xfId="0" applyBorder="1"/>
    <xf numFmtId="0" fontId="0" fillId="0" borderId="17" xfId="0" applyBorder="1" applyAlignment="1">
      <alignment wrapText="1"/>
    </xf>
    <xf numFmtId="0" fontId="5" fillId="0" borderId="0" xfId="0" applyFont="1" applyAlignment="1" applyProtection="1">
      <alignment horizontal="center" vertical="center"/>
    </xf>
    <xf numFmtId="0" fontId="0" fillId="0" borderId="0" xfId="0" applyAlignment="1" applyProtection="1">
      <alignment horizontal="center" vertical="center"/>
    </xf>
    <xf numFmtId="0" fontId="5" fillId="0" borderId="0" xfId="0" applyFont="1" applyAlignment="1" applyProtection="1">
      <alignment horizontal="center" vertical="center" wrapText="1"/>
    </xf>
    <xf numFmtId="0" fontId="0" fillId="0" borderId="0" xfId="0" applyBorder="1" applyAlignment="1">
      <alignment horizontal="center" vertical="center" wrapText="1"/>
    </xf>
    <xf numFmtId="0" fontId="0" fillId="0" borderId="0" xfId="0" applyBorder="1"/>
    <xf numFmtId="0" fontId="0" fillId="0" borderId="0" xfId="0" applyBorder="1" applyAlignment="1">
      <alignment wrapText="1"/>
    </xf>
    <xf numFmtId="0" fontId="5" fillId="0" borderId="0" xfId="0" applyNumberFormat="1" applyFont="1" applyAlignment="1" applyProtection="1">
      <alignment horizontal="center" vertical="center" wrapText="1"/>
    </xf>
    <xf numFmtId="21" fontId="0" fillId="0" borderId="0" xfId="0" applyNumberFormat="1" applyAlignment="1" applyProtection="1">
      <alignment horizontal="center" vertical="center"/>
    </xf>
    <xf numFmtId="0" fontId="7" fillId="8" borderId="1" xfId="3" applyFont="1" applyFill="1" applyBorder="1" applyAlignment="1" applyProtection="1">
      <alignment horizontal="center" vertical="center" wrapText="1"/>
    </xf>
    <xf numFmtId="20" fontId="7" fillId="8" borderId="1" xfId="3" applyNumberFormat="1" applyFont="1" applyFill="1" applyBorder="1" applyAlignment="1" applyProtection="1">
      <alignment horizontal="center" vertical="center" wrapText="1"/>
    </xf>
    <xf numFmtId="164" fontId="0" fillId="10" borderId="1" xfId="0" applyNumberFormat="1" applyFont="1" applyFill="1" applyBorder="1" applyAlignment="1" applyProtection="1">
      <alignment horizontal="center" vertical="center" wrapText="1"/>
      <protection locked="0"/>
    </xf>
    <xf numFmtId="164" fontId="0" fillId="10" borderId="1" xfId="0" applyNumberFormat="1" applyFill="1" applyBorder="1" applyAlignment="1" applyProtection="1">
      <alignment horizontal="center" vertical="center" wrapText="1"/>
      <protection locked="0"/>
    </xf>
    <xf numFmtId="20" fontId="0" fillId="10" borderId="1" xfId="0" applyNumberFormat="1" applyFill="1" applyBorder="1" applyAlignment="1" applyProtection="1">
      <alignment horizontal="center" vertical="center" wrapText="1"/>
      <protection locked="0"/>
    </xf>
    <xf numFmtId="0" fontId="5" fillId="11" borderId="1" xfId="0" applyFont="1" applyFill="1" applyBorder="1" applyAlignment="1" applyProtection="1">
      <alignment horizontal="center" vertical="center" wrapText="1"/>
      <protection locked="0"/>
    </xf>
    <xf numFmtId="0" fontId="0" fillId="10" borderId="1" xfId="0" applyFill="1" applyBorder="1" applyAlignment="1" applyProtection="1">
      <alignment horizontal="center" vertical="center" wrapText="1"/>
      <protection locked="0"/>
    </xf>
    <xf numFmtId="0" fontId="4" fillId="0" borderId="0" xfId="4"/>
    <xf numFmtId="0" fontId="0" fillId="0" borderId="0" xfId="0" applyBorder="1" applyAlignment="1">
      <alignment horizontal="right" vertical="center" wrapText="1"/>
    </xf>
    <xf numFmtId="14" fontId="0" fillId="0" borderId="0" xfId="0" applyNumberFormat="1" applyBorder="1" applyAlignment="1">
      <alignment horizontal="center" vertical="center"/>
    </xf>
    <xf numFmtId="0" fontId="0" fillId="0" borderId="0" xfId="0" applyBorder="1" applyAlignment="1">
      <alignment horizontal="center" vertical="center"/>
    </xf>
    <xf numFmtId="19" fontId="4" fillId="0" borderId="0" xfId="4" applyNumberFormat="1" applyAlignment="1" applyProtection="1">
      <alignment horizontal="center" vertical="center"/>
    </xf>
    <xf numFmtId="0" fontId="0" fillId="0" borderId="0" xfId="0" applyBorder="1" applyAlignment="1">
      <alignment horizontal="center" vertical="center" wrapText="1"/>
    </xf>
    <xf numFmtId="0" fontId="0" fillId="0" borderId="12" xfId="0" applyBorder="1" applyAlignment="1">
      <alignment horizontal="center" vertical="center"/>
    </xf>
    <xf numFmtId="0" fontId="0" fillId="0" borderId="12" xfId="0" applyFont="1" applyBorder="1" applyAlignment="1">
      <alignment horizontal="center" vertical="center"/>
    </xf>
    <xf numFmtId="0" fontId="0" fillId="0" borderId="9" xfId="0" applyBorder="1" applyAlignment="1">
      <alignment vertical="center" wrapText="1"/>
    </xf>
    <xf numFmtId="0" fontId="0" fillId="0" borderId="29" xfId="0" applyBorder="1" applyAlignment="1">
      <alignment vertical="center" wrapText="1"/>
    </xf>
    <xf numFmtId="0" fontId="0" fillId="0" borderId="30" xfId="0" applyBorder="1" applyAlignment="1">
      <alignment vertical="center" wrapText="1"/>
    </xf>
    <xf numFmtId="0" fontId="0" fillId="0" borderId="31" xfId="0" applyBorder="1" applyAlignment="1">
      <alignment vertical="center" wrapText="1"/>
    </xf>
    <xf numFmtId="0" fontId="14" fillId="0" borderId="9" xfId="0" applyFont="1" applyBorder="1" applyAlignment="1" applyProtection="1">
      <alignment horizontal="center" vertical="center" wrapText="1"/>
      <protection locked="0"/>
    </xf>
    <xf numFmtId="0" fontId="15" fillId="0" borderId="29" xfId="0" applyFont="1" applyBorder="1" applyAlignment="1" applyProtection="1">
      <alignment horizontal="center" vertical="center" wrapText="1"/>
      <protection locked="0"/>
    </xf>
    <xf numFmtId="0" fontId="6" fillId="13" borderId="41" xfId="0" applyFont="1" applyFill="1" applyBorder="1"/>
    <xf numFmtId="0" fontId="6" fillId="0" borderId="41" xfId="0" applyFont="1" applyBorder="1"/>
    <xf numFmtId="0" fontId="6" fillId="13" borderId="42" xfId="0" applyFont="1" applyFill="1" applyBorder="1"/>
    <xf numFmtId="0" fontId="6" fillId="0" borderId="42" xfId="0" applyFont="1" applyBorder="1"/>
    <xf numFmtId="0" fontId="6" fillId="14" borderId="0" xfId="0" applyFont="1" applyFill="1" applyBorder="1"/>
    <xf numFmtId="0" fontId="6" fillId="14" borderId="43" xfId="0" applyFont="1" applyFill="1" applyBorder="1"/>
    <xf numFmtId="3" fontId="0" fillId="0" borderId="0" xfId="0" applyNumberFormat="1" applyFill="1" applyBorder="1" applyAlignment="1" applyProtection="1">
      <alignment horizontal="center"/>
      <protection locked="0"/>
    </xf>
    <xf numFmtId="0" fontId="5" fillId="6" borderId="1" xfId="0" applyFont="1" applyFill="1" applyBorder="1" applyAlignment="1">
      <alignment horizontal="center" vertical="center"/>
    </xf>
    <xf numFmtId="3" fontId="5" fillId="6" borderId="1" xfId="0" applyNumberFormat="1" applyFont="1" applyFill="1" applyBorder="1" applyAlignment="1">
      <alignment horizontal="center" vertical="center"/>
    </xf>
    <xf numFmtId="0" fontId="0" fillId="0" borderId="0" xfId="0" applyBorder="1" applyAlignment="1">
      <alignment vertical="center" wrapText="1"/>
    </xf>
    <xf numFmtId="0" fontId="5" fillId="0" borderId="4" xfId="0" applyFont="1" applyFill="1" applyBorder="1" applyAlignment="1" applyProtection="1">
      <alignment horizontal="center" vertical="center"/>
    </xf>
    <xf numFmtId="10" fontId="0" fillId="15" borderId="4" xfId="0" applyNumberFormat="1" applyFill="1" applyBorder="1" applyAlignment="1" applyProtection="1">
      <alignment horizontal="center" vertical="center"/>
    </xf>
    <xf numFmtId="0" fontId="0" fillId="15" borderId="4" xfId="0" applyNumberFormat="1" applyFill="1" applyBorder="1" applyAlignment="1" applyProtection="1">
      <alignment horizontal="center" vertical="center"/>
    </xf>
    <xf numFmtId="0" fontId="5" fillId="0" borderId="2" xfId="0" applyFont="1" applyFill="1" applyBorder="1" applyAlignment="1" applyProtection="1">
      <alignment horizontal="center" vertical="center"/>
    </xf>
    <xf numFmtId="0" fontId="5" fillId="16" borderId="1" xfId="0" applyFont="1" applyFill="1" applyBorder="1" applyAlignment="1" applyProtection="1">
      <alignment horizontal="center" vertical="center"/>
    </xf>
    <xf numFmtId="10" fontId="5" fillId="16" borderId="1" xfId="5" applyNumberFormat="1" applyFont="1" applyFill="1" applyBorder="1" applyAlignment="1" applyProtection="1">
      <alignment horizontal="center" vertical="center"/>
    </xf>
    <xf numFmtId="0" fontId="5" fillId="16" borderId="1" xfId="0" applyNumberFormat="1" applyFont="1" applyFill="1" applyBorder="1" applyAlignment="1" applyProtection="1">
      <alignment horizontal="center" vertical="center"/>
    </xf>
    <xf numFmtId="0" fontId="5" fillId="16" borderId="1" xfId="0" applyFont="1" applyFill="1" applyBorder="1" applyAlignment="1" applyProtection="1">
      <alignment horizontal="center" vertical="center" wrapText="1"/>
    </xf>
    <xf numFmtId="3" fontId="5" fillId="16" borderId="5" xfId="0" applyNumberFormat="1" applyFont="1" applyFill="1" applyBorder="1" applyAlignment="1">
      <alignment horizontal="center" vertical="center"/>
    </xf>
    <xf numFmtId="10" fontId="0" fillId="16" borderId="6" xfId="0" applyNumberFormat="1" applyFill="1" applyBorder="1" applyAlignment="1" applyProtection="1">
      <alignment horizontal="center" vertical="center"/>
    </xf>
    <xf numFmtId="10" fontId="5" fillId="16" borderId="1" xfId="0" applyNumberFormat="1" applyFont="1" applyFill="1" applyBorder="1" applyAlignment="1" applyProtection="1">
      <alignment horizontal="center" vertical="center"/>
    </xf>
    <xf numFmtId="10" fontId="5" fillId="16" borderId="6" xfId="0" applyNumberFormat="1" applyFont="1" applyFill="1" applyBorder="1" applyAlignment="1" applyProtection="1">
      <alignment horizontal="center" vertical="center"/>
    </xf>
    <xf numFmtId="3" fontId="5" fillId="6" borderId="16" xfId="0" applyNumberFormat="1" applyFont="1" applyFill="1" applyBorder="1" applyAlignment="1">
      <alignment horizontal="center" vertical="center"/>
    </xf>
    <xf numFmtId="3" fontId="5" fillId="6" borderId="1" xfId="0" applyNumberFormat="1" applyFont="1" applyFill="1" applyBorder="1" applyAlignment="1">
      <alignment horizontal="center" vertical="center" wrapText="1"/>
    </xf>
    <xf numFmtId="3" fontId="5" fillId="6" borderId="36" xfId="0" applyNumberFormat="1" applyFont="1" applyFill="1" applyBorder="1" applyAlignment="1">
      <alignment horizontal="center" vertical="center" wrapText="1"/>
    </xf>
    <xf numFmtId="3" fontId="5" fillId="6" borderId="36" xfId="0" applyNumberFormat="1" applyFont="1" applyFill="1" applyBorder="1" applyAlignment="1">
      <alignment horizontal="center" vertical="center"/>
    </xf>
    <xf numFmtId="3" fontId="5" fillId="16" borderId="1" xfId="0" applyNumberFormat="1" applyFont="1" applyFill="1" applyBorder="1" applyAlignment="1">
      <alignment horizontal="center" vertical="center"/>
    </xf>
    <xf numFmtId="3" fontId="5" fillId="16" borderId="16" xfId="0" applyNumberFormat="1" applyFont="1" applyFill="1" applyBorder="1" applyAlignment="1">
      <alignment horizontal="center" vertical="center"/>
    </xf>
    <xf numFmtId="3" fontId="5" fillId="16" borderId="6" xfId="0" applyNumberFormat="1" applyFont="1" applyFill="1" applyBorder="1" applyAlignment="1">
      <alignment horizontal="center" vertical="center"/>
    </xf>
    <xf numFmtId="0" fontId="5" fillId="6" borderId="1" xfId="0" applyFont="1" applyFill="1" applyBorder="1" applyAlignment="1" applyProtection="1">
      <alignment horizontal="center" vertical="center"/>
    </xf>
    <xf numFmtId="10" fontId="5" fillId="17" borderId="1" xfId="5" applyNumberFormat="1" applyFont="1" applyFill="1" applyBorder="1" applyAlignment="1" applyProtection="1">
      <alignment horizontal="center" vertical="center"/>
    </xf>
    <xf numFmtId="0" fontId="5" fillId="17" borderId="1" xfId="0" applyNumberFormat="1" applyFont="1" applyFill="1" applyBorder="1" applyAlignment="1" applyProtection="1">
      <alignment horizontal="center" vertical="center"/>
    </xf>
    <xf numFmtId="10" fontId="5" fillId="16" borderId="7" xfId="0" applyNumberFormat="1" applyFont="1" applyFill="1" applyBorder="1" applyAlignment="1" applyProtection="1">
      <alignment horizontal="center" vertical="center"/>
    </xf>
    <xf numFmtId="0" fontId="11" fillId="0" borderId="0" xfId="0" applyFont="1" applyBorder="1" applyAlignment="1" applyProtection="1">
      <alignment vertical="center" wrapText="1"/>
    </xf>
    <xf numFmtId="0" fontId="5" fillId="0" borderId="13" xfId="0" applyFont="1" applyFill="1" applyBorder="1" applyAlignment="1">
      <alignment horizontal="center" vertical="center"/>
    </xf>
    <xf numFmtId="0" fontId="5" fillId="0" borderId="14" xfId="0" applyFont="1" applyFill="1" applyBorder="1" applyAlignment="1">
      <alignment horizontal="center" vertical="center"/>
    </xf>
    <xf numFmtId="3" fontId="5" fillId="6" borderId="17" xfId="0" applyNumberFormat="1" applyFont="1" applyFill="1" applyBorder="1" applyAlignment="1" applyProtection="1">
      <alignment horizontal="center" vertical="center"/>
    </xf>
    <xf numFmtId="0" fontId="0" fillId="0" borderId="9" xfId="0" applyBorder="1" applyAlignment="1">
      <alignment horizontal="center" vertical="center" wrapText="1"/>
    </xf>
    <xf numFmtId="0" fontId="0" fillId="0" borderId="29" xfId="0" applyBorder="1" applyAlignment="1">
      <alignment horizontal="center" vertical="center" wrapText="1"/>
    </xf>
    <xf numFmtId="0" fontId="0" fillId="0" borderId="0" xfId="0" applyBorder="1" applyAlignment="1">
      <alignment horizontal="center" vertical="center" wrapText="1"/>
    </xf>
    <xf numFmtId="0" fontId="7" fillId="0" borderId="9" xfId="0" applyFont="1" applyBorder="1" applyAlignment="1">
      <alignment horizontal="right" vertical="center" wrapText="1"/>
    </xf>
    <xf numFmtId="0" fontId="5" fillId="11" borderId="39" xfId="0" applyFont="1" applyFill="1" applyBorder="1" applyAlignment="1" applyProtection="1">
      <alignment horizontal="center" vertical="center"/>
    </xf>
    <xf numFmtId="0" fontId="5" fillId="11" borderId="40" xfId="0" applyFont="1" applyFill="1" applyBorder="1" applyAlignment="1" applyProtection="1">
      <alignment horizontal="center" vertical="center"/>
    </xf>
    <xf numFmtId="0" fontId="5" fillId="11" borderId="9" xfId="0" applyFont="1" applyFill="1" applyBorder="1" applyAlignment="1" applyProtection="1">
      <alignment horizontal="center" vertical="center"/>
    </xf>
    <xf numFmtId="0" fontId="5" fillId="11" borderId="29" xfId="0" applyFont="1" applyFill="1" applyBorder="1" applyAlignment="1" applyProtection="1">
      <alignment horizontal="center" vertical="center"/>
    </xf>
    <xf numFmtId="0" fontId="5" fillId="3" borderId="18" xfId="2" applyFont="1" applyBorder="1" applyAlignment="1" applyProtection="1">
      <alignment horizontal="center" vertical="center"/>
    </xf>
    <xf numFmtId="0" fontId="5" fillId="9" borderId="20" xfId="0" applyFont="1" applyFill="1" applyBorder="1" applyAlignment="1" applyProtection="1">
      <alignment horizontal="center" vertical="center"/>
    </xf>
    <xf numFmtId="0" fontId="5" fillId="9" borderId="49" xfId="0" applyFont="1" applyFill="1" applyBorder="1" applyAlignment="1" applyProtection="1">
      <alignment horizontal="center" vertical="center"/>
    </xf>
    <xf numFmtId="0" fontId="5" fillId="0" borderId="18" xfId="0" applyFont="1" applyBorder="1" applyAlignment="1" applyProtection="1">
      <alignment horizontal="center" vertical="center"/>
    </xf>
    <xf numFmtId="0" fontId="5" fillId="3" borderId="19" xfId="2" applyFont="1" applyBorder="1" applyAlignment="1" applyProtection="1">
      <alignment horizontal="center" vertical="center"/>
    </xf>
    <xf numFmtId="0" fontId="5" fillId="3" borderId="20" xfId="2" applyFont="1" applyBorder="1" applyAlignment="1" applyProtection="1">
      <alignment horizontal="center" vertical="center"/>
    </xf>
    <xf numFmtId="0" fontId="5" fillId="3" borderId="21" xfId="2" applyFont="1" applyBorder="1" applyAlignment="1" applyProtection="1">
      <alignment horizontal="center" vertical="center"/>
    </xf>
    <xf numFmtId="0" fontId="5" fillId="3" borderId="21" xfId="2" applyFont="1" applyBorder="1" applyAlignment="1" applyProtection="1">
      <alignment horizontal="center" vertical="center" wrapText="1"/>
    </xf>
    <xf numFmtId="0" fontId="5" fillId="3" borderId="26" xfId="2" applyFont="1" applyBorder="1" applyAlignment="1" applyProtection="1">
      <alignment horizontal="center" vertical="center" wrapText="1"/>
    </xf>
    <xf numFmtId="0" fontId="5" fillId="0" borderId="18" xfId="0" applyFont="1" applyBorder="1" applyAlignment="1" applyProtection="1">
      <alignment horizontal="center" vertical="center"/>
      <protection locked="0"/>
    </xf>
    <xf numFmtId="0" fontId="5" fillId="3" borderId="19" xfId="2" applyFont="1" applyBorder="1" applyAlignment="1" applyProtection="1">
      <alignment horizontal="center" vertical="center"/>
      <protection locked="0"/>
    </xf>
    <xf numFmtId="0" fontId="5" fillId="3" borderId="20" xfId="2" applyFont="1" applyBorder="1" applyAlignment="1" applyProtection="1">
      <alignment horizontal="center" vertical="center"/>
      <protection locked="0"/>
    </xf>
    <xf numFmtId="0" fontId="5" fillId="3" borderId="21" xfId="2" applyFont="1" applyBorder="1" applyAlignment="1" applyProtection="1">
      <alignment horizontal="center" vertical="center"/>
      <protection locked="0"/>
    </xf>
    <xf numFmtId="10" fontId="3" fillId="5" borderId="50" xfId="6" applyNumberFormat="1" applyFont="1" applyBorder="1" applyProtection="1">
      <alignment horizontal="center" vertical="center"/>
    </xf>
    <xf numFmtId="3" fontId="3" fillId="5" borderId="23" xfId="6" applyNumberFormat="1" applyFont="1" applyBorder="1" applyProtection="1">
      <alignment horizontal="center" vertical="center"/>
    </xf>
    <xf numFmtId="10" fontId="3" fillId="5" borderId="21" xfId="6" applyNumberFormat="1" applyFont="1" applyBorder="1" applyProtection="1">
      <alignment horizontal="center" vertical="center"/>
    </xf>
    <xf numFmtId="10" fontId="3" fillId="5" borderId="50" xfId="2" applyNumberFormat="1" applyFont="1" applyFill="1" applyBorder="1" applyAlignment="1" applyProtection="1">
      <alignment horizontal="center" vertical="center"/>
    </xf>
    <xf numFmtId="0" fontId="3" fillId="3" borderId="22" xfId="2" applyFont="1" applyBorder="1" applyAlignment="1" applyProtection="1">
      <alignment horizontal="center" vertical="center"/>
      <protection locked="0"/>
    </xf>
    <xf numFmtId="0" fontId="3" fillId="0" borderId="0" xfId="0" applyFont="1" applyAlignment="1" applyProtection="1">
      <alignment horizontal="center" vertical="center"/>
    </xf>
    <xf numFmtId="10" fontId="3" fillId="5" borderId="50" xfId="5" applyNumberFormat="1" applyFont="1" applyFill="1" applyBorder="1" applyAlignment="1" applyProtection="1">
      <alignment horizontal="center" vertical="center"/>
    </xf>
    <xf numFmtId="0" fontId="3" fillId="3" borderId="21" xfId="2" applyFont="1" applyBorder="1" applyAlignment="1" applyProtection="1">
      <alignment horizontal="center" vertical="center"/>
      <protection locked="0"/>
    </xf>
    <xf numFmtId="0" fontId="5" fillId="3" borderId="24" xfId="2" applyFont="1" applyBorder="1" applyAlignment="1" applyProtection="1">
      <alignment horizontal="center" vertical="center"/>
      <protection locked="0"/>
    </xf>
    <xf numFmtId="0" fontId="3" fillId="0" borderId="25" xfId="0" applyFont="1" applyBorder="1" applyAlignment="1" applyProtection="1">
      <alignment horizontal="center" vertical="center"/>
      <protection locked="0"/>
    </xf>
    <xf numFmtId="0" fontId="3" fillId="9" borderId="21" xfId="0" applyFont="1" applyFill="1" applyBorder="1" applyAlignment="1" applyProtection="1">
      <alignment horizontal="center" vertical="center"/>
      <protection locked="0"/>
    </xf>
    <xf numFmtId="0" fontId="3" fillId="9" borderId="22" xfId="0" applyFont="1" applyFill="1" applyBorder="1" applyAlignment="1" applyProtection="1">
      <alignment horizontal="center" vertical="center"/>
      <protection locked="0"/>
    </xf>
    <xf numFmtId="0" fontId="5" fillId="3" borderId="18" xfId="2"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3" fillId="18" borderId="0" xfId="0" applyFont="1" applyFill="1" applyAlignment="1" applyProtection="1">
      <alignment horizontal="center" vertical="center"/>
    </xf>
    <xf numFmtId="0" fontId="5" fillId="18" borderId="9" xfId="2" applyFont="1" applyFill="1" applyBorder="1" applyAlignment="1" applyProtection="1">
      <alignment horizontal="center" vertical="center"/>
      <protection locked="0"/>
    </xf>
    <xf numFmtId="0" fontId="3" fillId="18" borderId="0" xfId="6" applyFont="1" applyFill="1" applyBorder="1" applyProtection="1">
      <alignment horizontal="center" vertical="center"/>
      <protection locked="0"/>
    </xf>
    <xf numFmtId="0" fontId="3" fillId="18" borderId="29" xfId="6" applyFont="1" applyFill="1" applyBorder="1" applyAlignment="1" applyProtection="1">
      <alignment horizontal="center" vertical="center"/>
      <protection locked="0"/>
    </xf>
    <xf numFmtId="3" fontId="5" fillId="6" borderId="0" xfId="0" applyNumberFormat="1" applyFont="1" applyFill="1" applyBorder="1" applyAlignment="1">
      <alignment horizontal="center" vertical="center"/>
    </xf>
    <xf numFmtId="3" fontId="5" fillId="6" borderId="0" xfId="0" applyNumberFormat="1" applyFont="1" applyFill="1" applyBorder="1" applyAlignment="1">
      <alignment horizontal="center" vertical="center" wrapText="1"/>
    </xf>
    <xf numFmtId="3" fontId="0" fillId="0" borderId="51" xfId="0" applyNumberFormat="1" applyFont="1" applyFill="1" applyBorder="1" applyAlignment="1" applyProtection="1">
      <alignment horizontal="center" vertical="center"/>
      <protection locked="0"/>
    </xf>
    <xf numFmtId="3" fontId="0" fillId="6" borderId="4" xfId="0" applyNumberFormat="1" applyFill="1" applyBorder="1" applyAlignment="1">
      <alignment horizontal="center" vertical="center"/>
    </xf>
    <xf numFmtId="3" fontId="0" fillId="0" borderId="4" xfId="0" applyNumberFormat="1" applyFill="1" applyBorder="1" applyAlignment="1" applyProtection="1">
      <alignment horizontal="center" vertical="center"/>
      <protection locked="0"/>
    </xf>
    <xf numFmtId="3" fontId="0" fillId="6" borderId="2" xfId="0" applyNumberFormat="1" applyFill="1" applyBorder="1" applyAlignment="1">
      <alignment horizontal="center" vertical="center"/>
    </xf>
    <xf numFmtId="3" fontId="0" fillId="0" borderId="52" xfId="0" applyNumberFormat="1" applyFont="1" applyFill="1" applyBorder="1" applyAlignment="1" applyProtection="1">
      <alignment horizontal="center" vertical="center"/>
      <protection locked="0"/>
    </xf>
    <xf numFmtId="3" fontId="5" fillId="6" borderId="7" xfId="0" applyNumberFormat="1" applyFont="1" applyFill="1" applyBorder="1" applyAlignment="1">
      <alignment horizontal="center" vertical="center"/>
    </xf>
    <xf numFmtId="0" fontId="5" fillId="0" borderId="4" xfId="0" applyFont="1" applyFill="1" applyBorder="1" applyAlignment="1">
      <alignment horizontal="center" vertical="center"/>
    </xf>
    <xf numFmtId="0" fontId="5" fillId="0" borderId="2" xfId="0" applyFont="1" applyFill="1" applyBorder="1" applyAlignment="1">
      <alignment horizontal="center" vertical="center"/>
    </xf>
    <xf numFmtId="3" fontId="0" fillId="0" borderId="53" xfId="0" applyNumberFormat="1" applyFont="1" applyFill="1" applyBorder="1" applyAlignment="1" applyProtection="1">
      <alignment horizontal="center" vertical="center"/>
      <protection locked="0"/>
    </xf>
    <xf numFmtId="3" fontId="0" fillId="0" borderId="54" xfId="0" applyNumberFormat="1" applyFont="1" applyFill="1" applyBorder="1" applyAlignment="1" applyProtection="1">
      <alignment horizontal="center" vertical="center"/>
      <protection locked="0"/>
    </xf>
    <xf numFmtId="3" fontId="0" fillId="0" borderId="55" xfId="0" applyNumberFormat="1" applyFont="1" applyFill="1" applyBorder="1" applyAlignment="1" applyProtection="1">
      <alignment horizontal="center" vertical="center"/>
      <protection locked="0"/>
    </xf>
    <xf numFmtId="3" fontId="0" fillId="0" borderId="2" xfId="0" applyNumberFormat="1" applyFill="1" applyBorder="1" applyAlignment="1" applyProtection="1">
      <alignment horizontal="center" vertical="center"/>
      <protection locked="0"/>
    </xf>
    <xf numFmtId="3" fontId="0" fillId="0" borderId="56" xfId="0" applyNumberFormat="1" applyFont="1" applyFill="1" applyBorder="1" applyAlignment="1" applyProtection="1">
      <alignment horizontal="center" vertical="center"/>
      <protection locked="0"/>
    </xf>
    <xf numFmtId="3" fontId="0" fillId="0" borderId="57" xfId="0" applyNumberFormat="1" applyFont="1" applyFill="1" applyBorder="1" applyAlignment="1" applyProtection="1">
      <alignment horizontal="center" vertical="center"/>
      <protection locked="0"/>
    </xf>
    <xf numFmtId="3" fontId="0" fillId="0" borderId="58" xfId="0" applyNumberFormat="1" applyFont="1" applyFill="1" applyBorder="1" applyAlignment="1" applyProtection="1">
      <alignment horizontal="center" vertical="center"/>
      <protection locked="0"/>
    </xf>
    <xf numFmtId="3" fontId="0" fillId="11" borderId="51" xfId="0" applyNumberFormat="1" applyFont="1" applyFill="1" applyBorder="1" applyAlignment="1" applyProtection="1">
      <alignment horizontal="center" vertical="center"/>
      <protection locked="0"/>
    </xf>
    <xf numFmtId="3" fontId="0" fillId="0" borderId="59" xfId="0" applyNumberFormat="1" applyFont="1" applyFill="1" applyBorder="1" applyAlignment="1" applyProtection="1">
      <alignment horizontal="center" vertical="center"/>
      <protection locked="0"/>
    </xf>
    <xf numFmtId="3" fontId="0" fillId="6" borderId="51" xfId="0" applyNumberFormat="1" applyFont="1" applyFill="1" applyBorder="1" applyAlignment="1" applyProtection="1">
      <alignment horizontal="center" vertical="center"/>
      <protection locked="0"/>
    </xf>
    <xf numFmtId="3" fontId="5" fillId="6" borderId="1" xfId="0" applyNumberFormat="1" applyFont="1" applyFill="1" applyBorder="1" applyAlignment="1" applyProtection="1">
      <alignment horizontal="center" vertical="center"/>
    </xf>
    <xf numFmtId="0" fontId="5" fillId="0" borderId="0" xfId="0" applyFont="1" applyFill="1" applyBorder="1" applyAlignment="1" applyProtection="1">
      <alignment horizontal="center" vertical="center"/>
    </xf>
    <xf numFmtId="0" fontId="17" fillId="0" borderId="0" xfId="0" applyFont="1" applyBorder="1" applyAlignment="1">
      <alignment vertical="center" wrapText="1"/>
    </xf>
    <xf numFmtId="0" fontId="0" fillId="0" borderId="29" xfId="0" applyBorder="1" applyAlignment="1">
      <alignment wrapText="1"/>
    </xf>
    <xf numFmtId="0" fontId="0" fillId="0" borderId="9" xfId="0" applyBorder="1" applyAlignment="1">
      <alignment wrapText="1"/>
    </xf>
    <xf numFmtId="0" fontId="11" fillId="0" borderId="0" xfId="0" applyFont="1" applyBorder="1" applyAlignment="1">
      <alignment vertical="center" wrapText="1"/>
    </xf>
    <xf numFmtId="3" fontId="5" fillId="0" borderId="0" xfId="0" applyNumberFormat="1" applyFont="1" applyFill="1" applyBorder="1" applyAlignment="1" applyProtection="1">
      <alignment horizontal="center" vertical="center"/>
    </xf>
    <xf numFmtId="3" fontId="5" fillId="17" borderId="1" xfId="0" applyNumberFormat="1" applyFont="1" applyFill="1" applyBorder="1" applyAlignment="1" applyProtection="1">
      <alignment horizontal="center" vertical="center"/>
    </xf>
    <xf numFmtId="0" fontId="5" fillId="0" borderId="0" xfId="0" applyFont="1" applyAlignment="1">
      <alignment horizontal="center" vertical="center"/>
    </xf>
    <xf numFmtId="0" fontId="3" fillId="9" borderId="23" xfId="0" applyFont="1" applyFill="1" applyBorder="1" applyAlignment="1" applyProtection="1">
      <alignment horizontal="center" vertical="center"/>
    </xf>
    <xf numFmtId="0" fontId="0" fillId="0" borderId="26" xfId="0" applyFont="1" applyBorder="1" applyAlignment="1" applyProtection="1">
      <alignment horizontal="center" vertical="center"/>
      <protection locked="0"/>
    </xf>
    <xf numFmtId="0" fontId="0" fillId="0" borderId="27" xfId="0" applyFont="1" applyBorder="1" applyAlignment="1" applyProtection="1">
      <alignment horizontal="center" vertical="center"/>
      <protection locked="0"/>
    </xf>
    <xf numFmtId="0" fontId="5" fillId="3" borderId="49" xfId="2" applyFont="1" applyBorder="1" applyAlignment="1" applyProtection="1">
      <alignment horizontal="center" vertical="center"/>
    </xf>
    <xf numFmtId="0" fontId="5" fillId="0" borderId="39" xfId="3" applyFont="1" applyFill="1" applyBorder="1" applyAlignment="1" applyProtection="1">
      <alignment vertical="center"/>
      <protection locked="0"/>
    </xf>
    <xf numFmtId="0" fontId="5" fillId="0" borderId="40" xfId="3" applyFont="1" applyFill="1" applyBorder="1" applyAlignment="1" applyProtection="1">
      <alignment vertical="center"/>
      <protection locked="0"/>
    </xf>
    <xf numFmtId="0" fontId="8" fillId="5" borderId="19" xfId="6" applyFont="1" applyBorder="1" applyProtection="1">
      <alignment horizontal="center" vertical="center"/>
      <protection locked="0"/>
    </xf>
    <xf numFmtId="3" fontId="8" fillId="5" borderId="22" xfId="6" applyNumberFormat="1" applyFont="1" applyBorder="1" applyProtection="1">
      <alignment horizontal="center" vertical="center"/>
      <protection locked="0"/>
    </xf>
    <xf numFmtId="3" fontId="8" fillId="5" borderId="23" xfId="6" applyNumberFormat="1" applyFont="1" applyBorder="1" applyAlignment="1" applyProtection="1">
      <alignment horizontal="center" vertical="center"/>
      <protection locked="0"/>
    </xf>
    <xf numFmtId="164" fontId="8" fillId="5" borderId="22" xfId="6" applyNumberFormat="1" applyFont="1" applyBorder="1" applyProtection="1">
      <alignment horizontal="center" vertical="center"/>
      <protection locked="0"/>
    </xf>
    <xf numFmtId="164" fontId="8" fillId="5" borderId="23" xfId="6" applyNumberFormat="1" applyFont="1" applyBorder="1" applyAlignment="1" applyProtection="1">
      <alignment horizontal="center" vertical="center"/>
      <protection locked="0"/>
    </xf>
    <xf numFmtId="0" fontId="8" fillId="5" borderId="20" xfId="6" applyFont="1" applyBorder="1" applyAlignment="1" applyProtection="1">
      <alignment horizontal="center" vertical="center"/>
      <protection locked="0"/>
    </xf>
    <xf numFmtId="0" fontId="8" fillId="5" borderId="22" xfId="6" applyFont="1" applyBorder="1" applyProtection="1">
      <alignment horizontal="center" vertical="center"/>
      <protection locked="0"/>
    </xf>
    <xf numFmtId="0" fontId="8" fillId="5" borderId="23" xfId="6" applyFont="1" applyBorder="1" applyAlignment="1" applyProtection="1">
      <alignment horizontal="center" vertical="center"/>
      <protection locked="0"/>
    </xf>
    <xf numFmtId="164" fontId="8" fillId="5" borderId="22" xfId="6" applyNumberFormat="1" applyFont="1" applyBorder="1" applyProtection="1">
      <alignment horizontal="center" vertical="center"/>
    </xf>
    <xf numFmtId="164" fontId="8" fillId="5" borderId="23" xfId="6" applyNumberFormat="1" applyFont="1" applyBorder="1" applyProtection="1">
      <alignment horizontal="center" vertical="center"/>
    </xf>
    <xf numFmtId="164" fontId="8" fillId="5" borderId="23" xfId="6" applyNumberFormat="1" applyFont="1" applyBorder="1" applyAlignment="1" applyProtection="1">
      <alignment horizontal="center" vertical="center"/>
    </xf>
    <xf numFmtId="164" fontId="8" fillId="5" borderId="27" xfId="6" applyNumberFormat="1" applyFont="1" applyBorder="1" applyProtection="1">
      <alignment horizontal="center" vertical="center"/>
    </xf>
    <xf numFmtId="164" fontId="8" fillId="5" borderId="28" xfId="6" applyNumberFormat="1" applyFont="1" applyBorder="1" applyProtection="1">
      <alignment horizontal="center" vertical="center"/>
    </xf>
    <xf numFmtId="20" fontId="3" fillId="5" borderId="32" xfId="6" applyNumberFormat="1" applyFont="1" applyBorder="1" applyAlignment="1" applyProtection="1">
      <alignment vertical="center"/>
      <protection locked="0"/>
    </xf>
    <xf numFmtId="0" fontId="3" fillId="5" borderId="28" xfId="6" applyNumberFormat="1" applyFont="1" applyBorder="1" applyAlignment="1" applyProtection="1">
      <alignment vertical="center"/>
      <protection locked="0"/>
    </xf>
    <xf numFmtId="0" fontId="0" fillId="3" borderId="50" xfId="2" applyFont="1" applyBorder="1" applyAlignment="1" applyProtection="1">
      <alignment horizontal="center" vertical="center"/>
      <protection locked="0"/>
    </xf>
    <xf numFmtId="0" fontId="0" fillId="3" borderId="22" xfId="2" applyFont="1" applyBorder="1" applyAlignment="1" applyProtection="1">
      <alignment horizontal="center" vertical="center"/>
      <protection locked="0"/>
    </xf>
    <xf numFmtId="0" fontId="0" fillId="3" borderId="63" xfId="2" applyFont="1" applyBorder="1" applyAlignment="1" applyProtection="1">
      <alignment horizontal="center" vertical="center"/>
      <protection locked="0"/>
    </xf>
    <xf numFmtId="0" fontId="0" fillId="3" borderId="62" xfId="2" applyFont="1" applyBorder="1" applyAlignment="1" applyProtection="1">
      <alignment horizontal="center" vertical="center"/>
      <protection locked="0"/>
    </xf>
    <xf numFmtId="0" fontId="0" fillId="12" borderId="61" xfId="2" applyFont="1" applyFill="1" applyBorder="1" applyAlignment="1" applyProtection="1">
      <alignment horizontal="center" vertical="center"/>
      <protection locked="0"/>
    </xf>
    <xf numFmtId="0" fontId="0" fillId="0" borderId="21" xfId="0" applyFont="1" applyBorder="1" applyAlignment="1" applyProtection="1">
      <alignment horizontal="center" vertical="center"/>
      <protection locked="0"/>
    </xf>
    <xf numFmtId="0" fontId="0" fillId="0" borderId="60" xfId="0" applyFont="1" applyBorder="1" applyAlignment="1" applyProtection="1">
      <alignment horizontal="center" vertical="center"/>
      <protection locked="0"/>
    </xf>
    <xf numFmtId="0" fontId="0" fillId="0" borderId="25" xfId="0" applyFont="1" applyBorder="1" applyAlignment="1" applyProtection="1">
      <alignment horizontal="center" vertical="center"/>
      <protection locked="0"/>
    </xf>
    <xf numFmtId="0" fontId="0" fillId="0" borderId="0" xfId="0" applyAlignment="1">
      <alignment horizontal="center" vertical="center" wrapText="1"/>
    </xf>
    <xf numFmtId="0" fontId="0" fillId="0" borderId="0" xfId="0" applyAlignment="1">
      <alignment horizontal="center"/>
    </xf>
    <xf numFmtId="14" fontId="19" fillId="19" borderId="22" xfId="0" applyNumberFormat="1" applyFont="1" applyFill="1" applyBorder="1" applyAlignment="1">
      <alignment horizontal="center"/>
    </xf>
    <xf numFmtId="0" fontId="0" fillId="0" borderId="0" xfId="0" applyAlignment="1">
      <alignment horizontal="left"/>
    </xf>
    <xf numFmtId="0" fontId="5" fillId="0" borderId="0" xfId="0" applyFont="1" applyAlignment="1">
      <alignment horizontal="center"/>
    </xf>
    <xf numFmtId="14" fontId="19" fillId="19" borderId="25" xfId="0" applyNumberFormat="1" applyFont="1" applyFill="1" applyBorder="1" applyAlignment="1">
      <alignment horizontal="center"/>
    </xf>
    <xf numFmtId="14" fontId="19" fillId="0" borderId="0" xfId="0" applyNumberFormat="1" applyFont="1" applyFill="1" applyBorder="1" applyAlignment="1">
      <alignment horizontal="center"/>
    </xf>
    <xf numFmtId="14" fontId="19" fillId="0" borderId="42" xfId="0" applyNumberFormat="1" applyFont="1" applyFill="1" applyBorder="1" applyAlignment="1">
      <alignment horizontal="center"/>
    </xf>
    <xf numFmtId="0" fontId="0" fillId="0" borderId="22" xfId="0" applyFont="1" applyBorder="1" applyAlignment="1" applyProtection="1">
      <alignment horizontal="center" vertical="center"/>
      <protection locked="0"/>
    </xf>
    <xf numFmtId="0" fontId="0" fillId="9" borderId="22" xfId="0" applyFont="1" applyFill="1" applyBorder="1" applyAlignment="1" applyProtection="1">
      <alignment horizontal="center" vertical="center"/>
      <protection locked="0"/>
    </xf>
    <xf numFmtId="0" fontId="20" fillId="0" borderId="0" xfId="0" applyFont="1"/>
    <xf numFmtId="0" fontId="0" fillId="10" borderId="1" xfId="0" applyFill="1" applyBorder="1" applyAlignment="1" applyProtection="1">
      <alignment horizontal="center" vertical="center" wrapText="1"/>
      <protection locked="0"/>
    </xf>
    <xf numFmtId="0" fontId="0" fillId="10" borderId="16" xfId="0" applyFill="1" applyBorder="1" applyAlignment="1" applyProtection="1">
      <alignment horizontal="center" vertical="center"/>
    </xf>
    <xf numFmtId="0" fontId="0" fillId="10" borderId="36" xfId="0" applyFill="1" applyBorder="1" applyAlignment="1" applyProtection="1">
      <alignment horizontal="center" vertical="center"/>
    </xf>
    <xf numFmtId="0" fontId="0" fillId="10" borderId="17" xfId="0" applyFill="1" applyBorder="1" applyAlignment="1" applyProtection="1">
      <alignment horizontal="center" vertical="center"/>
    </xf>
    <xf numFmtId="10" fontId="3" fillId="10" borderId="16" xfId="5" applyNumberFormat="1" applyFont="1" applyFill="1" applyBorder="1" applyAlignment="1" applyProtection="1">
      <alignment horizontal="center" vertical="center"/>
    </xf>
    <xf numFmtId="10" fontId="3" fillId="10" borderId="17" xfId="5" applyNumberFormat="1" applyFont="1" applyFill="1" applyBorder="1" applyAlignment="1" applyProtection="1">
      <alignment horizontal="center" vertical="center"/>
    </xf>
    <xf numFmtId="0" fontId="0" fillId="10" borderId="1" xfId="0" applyFill="1" applyBorder="1" applyAlignment="1" applyProtection="1">
      <alignment horizontal="center" vertical="center"/>
    </xf>
    <xf numFmtId="0" fontId="7" fillId="8" borderId="16" xfId="0" applyFont="1" applyFill="1" applyBorder="1" applyAlignment="1" applyProtection="1">
      <alignment horizontal="center" vertical="center"/>
    </xf>
    <xf numFmtId="0" fontId="7" fillId="8" borderId="36" xfId="0" applyFont="1" applyFill="1" applyBorder="1" applyAlignment="1" applyProtection="1">
      <alignment horizontal="center" vertical="center"/>
    </xf>
    <xf numFmtId="0" fontId="7" fillId="8" borderId="17" xfId="0" applyFont="1" applyFill="1" applyBorder="1" applyAlignment="1" applyProtection="1">
      <alignment horizontal="center" vertical="center"/>
    </xf>
    <xf numFmtId="0" fontId="7" fillId="8" borderId="1" xfId="2" applyFont="1" applyFill="1" applyBorder="1" applyAlignment="1" applyProtection="1">
      <alignment horizontal="center" vertical="center"/>
    </xf>
    <xf numFmtId="0" fontId="7" fillId="8" borderId="1" xfId="3" applyFont="1" applyFill="1" applyBorder="1" applyAlignment="1" applyProtection="1">
      <alignment horizontal="center" vertical="center"/>
    </xf>
    <xf numFmtId="0" fontId="5" fillId="8" borderId="16" xfId="3" applyFont="1" applyFill="1" applyBorder="1" applyAlignment="1" applyProtection="1">
      <alignment horizontal="center" vertical="center"/>
      <protection locked="0"/>
    </xf>
    <xf numFmtId="0" fontId="5" fillId="8" borderId="36" xfId="3" applyFont="1" applyFill="1" applyBorder="1" applyAlignment="1" applyProtection="1">
      <alignment horizontal="center" vertical="center"/>
      <protection locked="0"/>
    </xf>
    <xf numFmtId="19" fontId="0" fillId="10" borderId="1" xfId="0" applyNumberFormat="1" applyFill="1" applyBorder="1" applyAlignment="1" applyProtection="1">
      <alignment horizontal="center" vertical="center" wrapText="1"/>
      <protection locked="0"/>
    </xf>
    <xf numFmtId="10" fontId="5" fillId="5" borderId="38" xfId="2" applyNumberFormat="1" applyFont="1" applyFill="1" applyBorder="1" applyAlignment="1" applyProtection="1">
      <alignment horizontal="center" vertical="center"/>
    </xf>
    <xf numFmtId="10" fontId="5" fillId="5" borderId="33" xfId="2" applyNumberFormat="1" applyFont="1" applyFill="1" applyBorder="1" applyAlignment="1" applyProtection="1">
      <alignment horizontal="center" vertical="center"/>
    </xf>
    <xf numFmtId="0" fontId="5" fillId="0" borderId="30" xfId="2" applyFont="1" applyFill="1" applyBorder="1" applyAlignment="1" applyProtection="1">
      <alignment horizontal="center" vertical="center"/>
      <protection locked="0"/>
    </xf>
    <xf numFmtId="0" fontId="5" fillId="0" borderId="31" xfId="2" applyFont="1" applyFill="1" applyBorder="1" applyAlignment="1" applyProtection="1">
      <alignment horizontal="center" vertical="center"/>
      <protection locked="0"/>
    </xf>
    <xf numFmtId="0" fontId="7" fillId="8" borderId="1" xfId="3" applyFont="1" applyFill="1" applyBorder="1" applyAlignment="1" applyProtection="1">
      <alignment horizontal="center" vertical="center" wrapText="1"/>
    </xf>
    <xf numFmtId="0" fontId="5" fillId="3" borderId="14" xfId="2" applyFont="1" applyBorder="1" applyAlignment="1" applyProtection="1">
      <alignment horizontal="center" vertical="center"/>
    </xf>
    <xf numFmtId="0" fontId="5" fillId="3" borderId="35" xfId="2" applyFont="1" applyBorder="1" applyAlignment="1" applyProtection="1">
      <alignment horizontal="center" vertical="center"/>
    </xf>
    <xf numFmtId="10" fontId="9" fillId="5" borderId="38" xfId="2" applyNumberFormat="1" applyFont="1" applyFill="1" applyBorder="1" applyAlignment="1" applyProtection="1">
      <alignment horizontal="center" vertical="center"/>
    </xf>
    <xf numFmtId="10" fontId="9" fillId="5" borderId="33" xfId="2" applyNumberFormat="1" applyFont="1" applyFill="1" applyBorder="1" applyAlignment="1" applyProtection="1">
      <alignment horizontal="center" vertical="center"/>
    </xf>
    <xf numFmtId="0" fontId="5" fillId="9" borderId="16" xfId="6" applyFont="1" applyFill="1" applyBorder="1" applyAlignment="1" applyProtection="1">
      <alignment horizontal="center" vertical="center" wrapText="1"/>
    </xf>
    <xf numFmtId="0" fontId="5" fillId="9" borderId="17" xfId="6" applyFont="1" applyFill="1" applyBorder="1" applyAlignment="1" applyProtection="1">
      <alignment horizontal="center" vertical="center" wrapText="1"/>
    </xf>
    <xf numFmtId="0" fontId="7" fillId="8" borderId="19" xfId="3" applyFont="1" applyFill="1" applyBorder="1" applyAlignment="1" applyProtection="1">
      <alignment horizontal="center" vertical="center"/>
      <protection locked="0"/>
    </xf>
    <xf numFmtId="0" fontId="7" fillId="8" borderId="20" xfId="3" applyFont="1" applyFill="1" applyBorder="1" applyAlignment="1" applyProtection="1">
      <alignment horizontal="center" vertical="center"/>
      <protection locked="0"/>
    </xf>
    <xf numFmtId="0" fontId="7" fillId="8" borderId="26" xfId="3" applyFont="1" applyFill="1" applyBorder="1" applyAlignment="1" applyProtection="1">
      <alignment horizontal="center" vertical="center"/>
      <protection locked="0"/>
    </xf>
    <xf numFmtId="0" fontId="7" fillId="8" borderId="27" xfId="3" applyFont="1" applyFill="1" applyBorder="1" applyAlignment="1" applyProtection="1">
      <alignment horizontal="center" vertical="center"/>
      <protection locked="0"/>
    </xf>
    <xf numFmtId="0" fontId="7" fillId="8" borderId="28" xfId="3" applyFont="1" applyFill="1" applyBorder="1" applyAlignment="1" applyProtection="1">
      <alignment horizontal="center" vertical="center"/>
      <protection locked="0"/>
    </xf>
    <xf numFmtId="3" fontId="3" fillId="5" borderId="34" xfId="6" applyNumberFormat="1" applyFont="1" applyFill="1" applyBorder="1" applyProtection="1">
      <alignment horizontal="center" vertical="center"/>
    </xf>
    <xf numFmtId="0" fontId="3" fillId="5" borderId="35" xfId="6" applyNumberFormat="1" applyFont="1" applyFill="1" applyBorder="1" applyProtection="1">
      <alignment horizontal="center" vertical="center"/>
    </xf>
    <xf numFmtId="10" fontId="9" fillId="5" borderId="16" xfId="6" applyNumberFormat="1" applyFont="1" applyBorder="1" applyAlignment="1" applyProtection="1">
      <alignment horizontal="center" vertical="center"/>
    </xf>
    <xf numFmtId="10" fontId="9" fillId="5" borderId="36" xfId="6" applyNumberFormat="1" applyFont="1" applyBorder="1" applyAlignment="1" applyProtection="1">
      <alignment horizontal="center" vertical="center"/>
    </xf>
    <xf numFmtId="10" fontId="9" fillId="5" borderId="17" xfId="6" applyNumberFormat="1" applyFont="1" applyBorder="1" applyAlignment="1" applyProtection="1">
      <alignment horizontal="center" vertical="center"/>
    </xf>
    <xf numFmtId="0" fontId="5" fillId="9" borderId="37" xfId="6" applyFont="1" applyFill="1" applyBorder="1" applyAlignment="1" applyProtection="1">
      <alignment horizontal="center" vertical="center" wrapText="1"/>
    </xf>
    <xf numFmtId="0" fontId="5" fillId="9" borderId="33" xfId="6" applyFont="1" applyFill="1" applyBorder="1" applyAlignment="1" applyProtection="1">
      <alignment horizontal="center" vertical="center" wrapText="1"/>
    </xf>
    <xf numFmtId="164" fontId="5" fillId="9" borderId="9" xfId="6" applyNumberFormat="1" applyFont="1" applyFill="1" applyBorder="1" applyAlignment="1" applyProtection="1">
      <alignment horizontal="center" vertical="center"/>
    </xf>
    <xf numFmtId="164" fontId="5" fillId="9" borderId="29" xfId="6" applyNumberFormat="1" applyFont="1" applyFill="1" applyBorder="1" applyAlignment="1" applyProtection="1">
      <alignment horizontal="center" vertical="center"/>
    </xf>
    <xf numFmtId="0" fontId="5" fillId="8" borderId="16" xfId="3" applyFont="1" applyFill="1" applyBorder="1" applyAlignment="1" applyProtection="1">
      <alignment horizontal="center" vertical="center"/>
    </xf>
    <xf numFmtId="0" fontId="5" fillId="8" borderId="36" xfId="3" applyFont="1" applyFill="1" applyBorder="1" applyAlignment="1" applyProtection="1">
      <alignment horizontal="center" vertical="center"/>
    </xf>
    <xf numFmtId="0" fontId="5" fillId="8" borderId="17" xfId="3" applyFont="1" applyFill="1" applyBorder="1" applyAlignment="1" applyProtection="1">
      <alignment horizontal="center" vertical="center"/>
    </xf>
    <xf numFmtId="0" fontId="3" fillId="2" borderId="30" xfId="1" applyBorder="1" applyAlignment="1" applyProtection="1">
      <alignment horizontal="center" vertical="center"/>
      <protection locked="0"/>
    </xf>
    <xf numFmtId="0" fontId="3" fillId="2" borderId="12" xfId="1" applyBorder="1" applyAlignment="1" applyProtection="1">
      <alignment horizontal="center" vertical="center"/>
      <protection locked="0"/>
    </xf>
    <xf numFmtId="0" fontId="3" fillId="2" borderId="31" xfId="1" applyBorder="1" applyAlignment="1" applyProtection="1">
      <alignment horizontal="center" vertical="center"/>
      <protection locked="0"/>
    </xf>
    <xf numFmtId="0" fontId="5" fillId="8" borderId="16" xfId="2" applyFont="1" applyFill="1" applyBorder="1" applyAlignment="1" applyProtection="1">
      <alignment horizontal="center" vertical="center"/>
      <protection locked="0"/>
    </xf>
    <xf numFmtId="0" fontId="5" fillId="8" borderId="36" xfId="2" applyFont="1" applyFill="1" applyBorder="1" applyAlignment="1" applyProtection="1">
      <alignment horizontal="center" vertical="center"/>
      <protection locked="0"/>
    </xf>
    <xf numFmtId="0" fontId="5" fillId="8" borderId="17" xfId="2" applyFont="1" applyFill="1" applyBorder="1" applyAlignment="1" applyProtection="1">
      <alignment horizontal="center" vertical="center"/>
      <protection locked="0"/>
    </xf>
    <xf numFmtId="0" fontId="9" fillId="5" borderId="5" xfId="3" applyFont="1" applyFill="1" applyBorder="1" applyAlignment="1" applyProtection="1">
      <alignment horizontal="center" vertical="center"/>
      <protection locked="0"/>
    </xf>
    <xf numFmtId="0" fontId="9" fillId="5" borderId="6" xfId="3" applyFont="1" applyFill="1" applyBorder="1" applyAlignment="1" applyProtection="1">
      <alignment horizontal="center" vertical="center"/>
      <protection locked="0"/>
    </xf>
    <xf numFmtId="0" fontId="18" fillId="8" borderId="11" xfId="3" applyFont="1" applyFill="1" applyBorder="1" applyAlignment="1" applyProtection="1">
      <alignment horizontal="center" vertical="center"/>
      <protection locked="0"/>
    </xf>
    <xf numFmtId="0" fontId="18" fillId="8" borderId="40" xfId="3" applyFont="1" applyFill="1" applyBorder="1" applyAlignment="1" applyProtection="1">
      <alignment horizontal="center" vertical="center"/>
      <protection locked="0"/>
    </xf>
    <xf numFmtId="0" fontId="18" fillId="8" borderId="0" xfId="3" applyFont="1" applyFill="1" applyBorder="1" applyAlignment="1" applyProtection="1">
      <alignment horizontal="center" vertical="center"/>
      <protection locked="0"/>
    </xf>
    <xf numFmtId="0" fontId="18" fillId="8" borderId="29" xfId="3" applyFont="1" applyFill="1" applyBorder="1" applyAlignment="1" applyProtection="1">
      <alignment horizontal="center" vertical="center"/>
      <protection locked="0"/>
    </xf>
    <xf numFmtId="0" fontId="18" fillId="8" borderId="12" xfId="3" applyFont="1" applyFill="1" applyBorder="1" applyAlignment="1" applyProtection="1">
      <alignment horizontal="center" vertical="center"/>
      <protection locked="0"/>
    </xf>
    <xf numFmtId="0" fontId="18" fillId="8" borderId="31" xfId="3" applyFont="1" applyFill="1" applyBorder="1" applyAlignment="1" applyProtection="1">
      <alignment horizontal="center" vertical="center"/>
      <protection locked="0"/>
    </xf>
    <xf numFmtId="0" fontId="3" fillId="2" borderId="39" xfId="1" applyBorder="1" applyAlignment="1" applyProtection="1">
      <alignment horizontal="center" vertical="center"/>
      <protection locked="0"/>
    </xf>
    <xf numFmtId="0" fontId="3" fillId="2" borderId="9" xfId="1" applyBorder="1" applyAlignment="1" applyProtection="1">
      <alignment horizontal="center" vertical="center"/>
      <protection locked="0"/>
    </xf>
    <xf numFmtId="0" fontId="7" fillId="8" borderId="18" xfId="3" applyFont="1" applyFill="1" applyBorder="1" applyAlignment="1" applyProtection="1">
      <alignment horizontal="center" vertical="center"/>
      <protection locked="0"/>
    </xf>
    <xf numFmtId="0" fontId="3" fillId="2" borderId="36" xfId="1" applyBorder="1" applyAlignment="1" applyProtection="1">
      <alignment horizontal="center" vertical="center"/>
      <protection locked="0"/>
    </xf>
    <xf numFmtId="0" fontId="3" fillId="2" borderId="17" xfId="1" applyBorder="1" applyAlignment="1" applyProtection="1">
      <alignment horizontal="center" vertical="center"/>
      <protection locked="0"/>
    </xf>
    <xf numFmtId="0" fontId="9" fillId="8" borderId="5" xfId="3" applyFont="1" applyFill="1" applyBorder="1" applyAlignment="1" applyProtection="1">
      <alignment horizontal="center" vertical="center"/>
      <protection locked="0"/>
    </xf>
    <xf numFmtId="0" fontId="9" fillId="8" borderId="7" xfId="3" applyFont="1" applyFill="1" applyBorder="1" applyAlignment="1" applyProtection="1">
      <alignment horizontal="center" vertical="center"/>
      <protection locked="0"/>
    </xf>
    <xf numFmtId="0" fontId="7" fillId="8" borderId="5" xfId="3" applyFont="1" applyFill="1" applyBorder="1" applyAlignment="1" applyProtection="1">
      <alignment horizontal="center" vertical="center"/>
      <protection locked="0"/>
    </xf>
    <xf numFmtId="0" fontId="7" fillId="8" borderId="7" xfId="3" applyFont="1" applyFill="1" applyBorder="1" applyAlignment="1" applyProtection="1">
      <alignment horizontal="center" vertical="center"/>
      <protection locked="0"/>
    </xf>
    <xf numFmtId="0" fontId="9" fillId="8" borderId="10" xfId="3" applyFont="1" applyFill="1" applyBorder="1" applyAlignment="1" applyProtection="1">
      <alignment horizontal="center" vertical="center"/>
      <protection locked="0"/>
    </xf>
    <xf numFmtId="0" fontId="9" fillId="8" borderId="8" xfId="3" applyFont="1" applyFill="1" applyBorder="1" applyAlignment="1" applyProtection="1">
      <alignment horizontal="center" vertical="center"/>
      <protection locked="0"/>
    </xf>
    <xf numFmtId="14" fontId="9" fillId="8" borderId="39" xfId="3" applyNumberFormat="1" applyFont="1" applyFill="1" applyBorder="1" applyAlignment="1" applyProtection="1">
      <alignment horizontal="center" vertical="center"/>
      <protection locked="0"/>
    </xf>
    <xf numFmtId="14" fontId="9" fillId="8" borderId="40" xfId="3" applyNumberFormat="1" applyFont="1" applyFill="1" applyBorder="1" applyAlignment="1" applyProtection="1">
      <alignment horizontal="center" vertical="center"/>
      <protection locked="0"/>
    </xf>
    <xf numFmtId="14" fontId="9" fillId="8" borderId="30" xfId="3" applyNumberFormat="1" applyFont="1" applyFill="1" applyBorder="1" applyAlignment="1" applyProtection="1">
      <alignment horizontal="center" vertical="center"/>
      <protection locked="0"/>
    </xf>
    <xf numFmtId="14" fontId="9" fillId="8" borderId="31" xfId="3" applyNumberFormat="1" applyFont="1" applyFill="1" applyBorder="1" applyAlignment="1" applyProtection="1">
      <alignment horizontal="center" vertical="center"/>
      <protection locked="0"/>
    </xf>
    <xf numFmtId="164" fontId="5" fillId="9" borderId="14" xfId="6" applyNumberFormat="1" applyFont="1" applyFill="1" applyBorder="1" applyAlignment="1" applyProtection="1">
      <alignment horizontal="center" vertical="center"/>
    </xf>
    <xf numFmtId="164" fontId="5" fillId="9" borderId="35" xfId="6" applyNumberFormat="1" applyFont="1" applyFill="1" applyBorder="1" applyAlignment="1" applyProtection="1">
      <alignment horizontal="center" vertical="center"/>
    </xf>
    <xf numFmtId="164" fontId="5" fillId="9" borderId="15" xfId="6" applyNumberFormat="1" applyFont="1" applyFill="1" applyBorder="1" applyAlignment="1" applyProtection="1">
      <alignment horizontal="center" vertical="center"/>
    </xf>
    <xf numFmtId="164" fontId="5" fillId="9" borderId="46" xfId="6" applyNumberFormat="1" applyFont="1" applyFill="1" applyBorder="1" applyAlignment="1" applyProtection="1">
      <alignment horizontal="center" vertical="center"/>
    </xf>
    <xf numFmtId="0" fontId="5" fillId="8" borderId="17" xfId="3" applyFont="1" applyFill="1" applyBorder="1" applyAlignment="1" applyProtection="1">
      <alignment horizontal="center" vertical="center"/>
      <protection locked="0"/>
    </xf>
    <xf numFmtId="0" fontId="5" fillId="9" borderId="19" xfId="2" applyFont="1" applyFill="1" applyBorder="1" applyAlignment="1" applyProtection="1">
      <alignment horizontal="center" vertical="center"/>
    </xf>
    <xf numFmtId="0" fontId="5" fillId="9" borderId="20" xfId="2" applyFont="1" applyFill="1" applyBorder="1" applyAlignment="1" applyProtection="1">
      <alignment horizontal="center" vertical="center"/>
    </xf>
    <xf numFmtId="164" fontId="5" fillId="9" borderId="14" xfId="6" applyNumberFormat="1" applyFont="1" applyFill="1" applyBorder="1" applyAlignment="1" applyProtection="1">
      <alignment horizontal="center" vertical="center"/>
      <protection locked="0"/>
    </xf>
    <xf numFmtId="164" fontId="5" fillId="9" borderId="35" xfId="6" applyNumberFormat="1" applyFont="1" applyFill="1" applyBorder="1" applyAlignment="1" applyProtection="1">
      <alignment horizontal="center" vertical="center"/>
      <protection locked="0"/>
    </xf>
    <xf numFmtId="0" fontId="5" fillId="9" borderId="44" xfId="0" applyFont="1" applyFill="1" applyBorder="1" applyAlignment="1" applyProtection="1">
      <alignment horizontal="center" vertical="center"/>
    </xf>
    <xf numFmtId="0" fontId="5" fillId="9" borderId="45" xfId="0" applyFont="1" applyFill="1" applyBorder="1" applyAlignment="1" applyProtection="1">
      <alignment horizontal="center" vertical="center"/>
    </xf>
    <xf numFmtId="3" fontId="3" fillId="5" borderId="34" xfId="6" applyNumberFormat="1" applyFont="1" applyBorder="1" applyAlignment="1" applyProtection="1">
      <alignment horizontal="center" vertical="center"/>
    </xf>
    <xf numFmtId="0" fontId="3" fillId="5" borderId="35" xfId="6" applyFont="1" applyBorder="1" applyAlignment="1" applyProtection="1">
      <alignment horizontal="center" vertical="center"/>
    </xf>
    <xf numFmtId="0" fontId="5" fillId="3" borderId="14" xfId="2" applyFont="1" applyBorder="1" applyAlignment="1" applyProtection="1">
      <alignment horizontal="center" vertical="center"/>
      <protection locked="0"/>
    </xf>
    <xf numFmtId="0" fontId="5" fillId="3" borderId="35" xfId="2" applyFont="1" applyBorder="1" applyAlignment="1" applyProtection="1">
      <alignment horizontal="center" vertical="center"/>
      <protection locked="0"/>
    </xf>
    <xf numFmtId="0" fontId="5" fillId="9" borderId="37" xfId="6" applyFont="1" applyFill="1" applyBorder="1" applyAlignment="1" applyProtection="1">
      <alignment horizontal="center" vertical="center"/>
      <protection locked="0"/>
    </xf>
    <xf numFmtId="0" fontId="5" fillId="9" borderId="33" xfId="6" applyFont="1" applyFill="1" applyBorder="1" applyAlignment="1" applyProtection="1">
      <alignment horizontal="center" vertical="center"/>
      <protection locked="0"/>
    </xf>
    <xf numFmtId="0" fontId="3" fillId="8" borderId="9" xfId="0" applyFont="1" applyFill="1" applyBorder="1" applyAlignment="1" applyProtection="1">
      <alignment horizontal="center" vertical="center"/>
    </xf>
    <xf numFmtId="0" fontId="3" fillId="8" borderId="0" xfId="0" applyFont="1" applyFill="1" applyBorder="1" applyAlignment="1" applyProtection="1">
      <alignment horizontal="center" vertical="center"/>
    </xf>
    <xf numFmtId="0" fontId="3" fillId="8" borderId="29" xfId="0" applyFont="1" applyFill="1" applyBorder="1" applyAlignment="1" applyProtection="1">
      <alignment horizontal="center" vertical="center"/>
    </xf>
    <xf numFmtId="0" fontId="3" fillId="8" borderId="30" xfId="0" applyFont="1" applyFill="1" applyBorder="1" applyAlignment="1" applyProtection="1">
      <alignment horizontal="center" vertical="center"/>
    </xf>
    <xf numFmtId="0" fontId="3" fillId="8" borderId="12" xfId="0" applyFont="1" applyFill="1" applyBorder="1" applyAlignment="1" applyProtection="1">
      <alignment horizontal="center" vertical="center"/>
    </xf>
    <xf numFmtId="0" fontId="3" fillId="8" borderId="31" xfId="0" applyFont="1" applyFill="1" applyBorder="1" applyAlignment="1" applyProtection="1">
      <alignment horizontal="center" vertical="center"/>
    </xf>
    <xf numFmtId="0" fontId="0" fillId="10" borderId="9" xfId="0" applyFill="1" applyBorder="1" applyAlignment="1" applyProtection="1">
      <alignment horizontal="center" vertical="center" wrapText="1"/>
      <protection locked="0"/>
    </xf>
    <xf numFmtId="0" fontId="0" fillId="10" borderId="0" xfId="0" applyFill="1" applyBorder="1" applyAlignment="1" applyProtection="1">
      <alignment horizontal="center" vertical="center" wrapText="1"/>
      <protection locked="0"/>
    </xf>
    <xf numFmtId="0" fontId="3" fillId="5" borderId="48" xfId="6" applyFont="1" applyBorder="1" applyAlignment="1" applyProtection="1">
      <alignment horizontal="center" vertical="center"/>
    </xf>
    <xf numFmtId="0" fontId="3" fillId="5" borderId="34" xfId="6" applyFont="1" applyBorder="1" applyAlignment="1" applyProtection="1">
      <alignment horizontal="center" vertical="center"/>
    </xf>
    <xf numFmtId="10" fontId="5" fillId="5" borderId="37" xfId="6" applyNumberFormat="1" applyFont="1" applyBorder="1" applyAlignment="1" applyProtection="1">
      <alignment horizontal="center" vertical="center"/>
    </xf>
    <xf numFmtId="10" fontId="5" fillId="5" borderId="38" xfId="6" applyNumberFormat="1" applyFont="1" applyBorder="1" applyAlignment="1" applyProtection="1">
      <alignment horizontal="center" vertical="center"/>
    </xf>
    <xf numFmtId="10" fontId="5" fillId="5" borderId="33" xfId="6" applyNumberFormat="1" applyFont="1" applyBorder="1" applyAlignment="1" applyProtection="1">
      <alignment horizontal="center" vertical="center"/>
    </xf>
    <xf numFmtId="3" fontId="5" fillId="9" borderId="13" xfId="6" applyNumberFormat="1" applyFont="1" applyFill="1" applyBorder="1" applyAlignment="1" applyProtection="1">
      <alignment horizontal="center" vertical="center"/>
      <protection locked="0"/>
    </xf>
    <xf numFmtId="3" fontId="5" fillId="9" borderId="47" xfId="6" applyNumberFormat="1" applyFont="1" applyFill="1" applyBorder="1" applyAlignment="1" applyProtection="1">
      <alignment horizontal="center" vertical="center"/>
      <protection locked="0"/>
    </xf>
    <xf numFmtId="0" fontId="5" fillId="3" borderId="14" xfId="2" applyFont="1" applyBorder="1" applyAlignment="1" applyProtection="1">
      <alignment horizontal="center" vertical="center" wrapText="1"/>
      <protection locked="0"/>
    </xf>
    <xf numFmtId="0" fontId="5" fillId="3" borderId="35" xfId="2" applyFont="1" applyBorder="1" applyAlignment="1" applyProtection="1">
      <alignment horizontal="center" vertical="center" wrapText="1"/>
      <protection locked="0"/>
    </xf>
    <xf numFmtId="0" fontId="5" fillId="3" borderId="14" xfId="2" applyFont="1" applyBorder="1" applyAlignment="1" applyProtection="1">
      <alignment horizontal="center" vertical="center" wrapText="1"/>
    </xf>
    <xf numFmtId="0" fontId="5" fillId="3" borderId="35" xfId="2" applyFont="1" applyBorder="1" applyAlignment="1" applyProtection="1">
      <alignment horizontal="center" vertical="center" wrapText="1"/>
    </xf>
    <xf numFmtId="0" fontId="10" fillId="6" borderId="1" xfId="0" applyFont="1" applyFill="1" applyBorder="1" applyAlignment="1">
      <alignment horizontal="center" vertical="center"/>
    </xf>
    <xf numFmtId="0" fontId="11" fillId="0" borderId="5" xfId="0" applyFont="1" applyBorder="1" applyAlignment="1" applyProtection="1">
      <alignment horizontal="center" vertical="center" wrapText="1"/>
    </xf>
    <xf numFmtId="0" fontId="11" fillId="0" borderId="6" xfId="0" applyFont="1" applyBorder="1" applyAlignment="1" applyProtection="1">
      <alignment horizontal="center" vertical="center" wrapText="1"/>
    </xf>
    <xf numFmtId="0" fontId="11" fillId="0" borderId="7" xfId="0" applyFont="1" applyBorder="1" applyAlignment="1" applyProtection="1">
      <alignment horizontal="center" vertical="center" wrapText="1"/>
    </xf>
    <xf numFmtId="0" fontId="11" fillId="0" borderId="0" xfId="0" applyFont="1" applyBorder="1" applyAlignment="1">
      <alignment horizontal="center" vertical="center" wrapText="1"/>
    </xf>
    <xf numFmtId="0" fontId="0" fillId="0" borderId="9" xfId="0" applyBorder="1" applyAlignment="1">
      <alignment horizontal="center" vertical="center" wrapText="1"/>
    </xf>
    <xf numFmtId="0" fontId="0" fillId="0" borderId="29" xfId="0" applyBorder="1" applyAlignment="1">
      <alignment horizontal="center" vertical="center" wrapText="1"/>
    </xf>
    <xf numFmtId="0" fontId="0" fillId="0" borderId="30" xfId="0" applyBorder="1" applyAlignment="1">
      <alignment horizontal="center" vertical="center" wrapText="1"/>
    </xf>
    <xf numFmtId="0" fontId="0" fillId="0" borderId="12" xfId="0" applyBorder="1" applyAlignment="1">
      <alignment horizontal="center" vertical="center" wrapText="1"/>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29" xfId="0" applyFont="1" applyBorder="1" applyAlignment="1">
      <alignment horizontal="center" vertical="center"/>
    </xf>
    <xf numFmtId="0" fontId="12" fillId="0" borderId="6" xfId="0" applyFont="1" applyBorder="1" applyAlignment="1">
      <alignment horizontal="center" vertical="top" wrapText="1"/>
    </xf>
    <xf numFmtId="0" fontId="12" fillId="0" borderId="9" xfId="0" applyFont="1" applyBorder="1" applyAlignment="1">
      <alignment horizontal="center" vertical="top" wrapText="1"/>
    </xf>
    <xf numFmtId="0" fontId="7" fillId="0" borderId="9" xfId="0" applyFont="1" applyBorder="1" applyAlignment="1">
      <alignment horizontal="right" vertical="center" wrapText="1"/>
    </xf>
    <xf numFmtId="0" fontId="8" fillId="0" borderId="0" xfId="0" applyFont="1" applyBorder="1" applyAlignment="1">
      <alignment horizontal="left" vertical="center" wrapText="1"/>
    </xf>
    <xf numFmtId="0" fontId="0" fillId="0" borderId="39" xfId="0" applyBorder="1" applyAlignment="1">
      <alignment horizontal="center" vertical="top" wrapText="1"/>
    </xf>
    <xf numFmtId="0" fontId="0" fillId="0" borderId="40" xfId="0" applyBorder="1" applyAlignment="1">
      <alignment horizontal="center" vertical="top" wrapText="1"/>
    </xf>
    <xf numFmtId="0" fontId="0" fillId="0" borderId="6" xfId="0" applyBorder="1" applyAlignment="1">
      <alignment horizontal="center" vertical="center" wrapText="1"/>
    </xf>
    <xf numFmtId="0" fontId="12" fillId="0" borderId="6" xfId="0" applyFont="1" applyBorder="1" applyAlignment="1">
      <alignment horizontal="center" vertical="center" wrapText="1"/>
    </xf>
    <xf numFmtId="0" fontId="12" fillId="0" borderId="9" xfId="0" applyFont="1" applyBorder="1" applyAlignment="1">
      <alignment horizontal="center" vertical="center" wrapText="1"/>
    </xf>
    <xf numFmtId="0" fontId="12" fillId="0" borderId="29" xfId="0" applyFont="1" applyBorder="1" applyAlignment="1">
      <alignment horizontal="center" vertical="center" wrapText="1"/>
    </xf>
    <xf numFmtId="0" fontId="0" fillId="0" borderId="0" xfId="0" applyBorder="1" applyAlignment="1">
      <alignment horizontal="center" vertical="center" wrapText="1"/>
    </xf>
    <xf numFmtId="0" fontId="12" fillId="0" borderId="5" xfId="0" applyFont="1" applyBorder="1" applyAlignment="1">
      <alignment horizontal="center" vertical="center" wrapText="1"/>
    </xf>
    <xf numFmtId="0" fontId="12" fillId="0" borderId="39" xfId="0" applyFont="1" applyBorder="1" applyAlignment="1">
      <alignment horizontal="center" vertical="center" wrapText="1"/>
    </xf>
    <xf numFmtId="0" fontId="13" fillId="0" borderId="39" xfId="0" applyFont="1" applyBorder="1" applyAlignment="1">
      <alignment horizontal="center" vertical="center" wrapText="1"/>
    </xf>
    <xf numFmtId="0" fontId="13" fillId="0" borderId="40" xfId="0" applyFont="1" applyBorder="1" applyAlignment="1">
      <alignment horizontal="center" vertical="center" wrapText="1"/>
    </xf>
    <xf numFmtId="0" fontId="0" fillId="0" borderId="9" xfId="0" applyBorder="1" applyAlignment="1">
      <alignment horizontal="center" wrapText="1"/>
    </xf>
    <xf numFmtId="0" fontId="0" fillId="0" borderId="29" xfId="0" applyBorder="1" applyAlignment="1">
      <alignment horizontal="center" wrapText="1"/>
    </xf>
    <xf numFmtId="0" fontId="0" fillId="0" borderId="0" xfId="0" applyAlignment="1">
      <alignment horizontal="center"/>
    </xf>
    <xf numFmtId="0" fontId="16" fillId="0" borderId="0" xfId="0" applyFont="1" applyAlignment="1">
      <alignment horizontal="center"/>
    </xf>
    <xf numFmtId="0" fontId="0" fillId="0" borderId="0" xfId="0" applyAlignment="1">
      <alignment horizontal="left" vertical="top" wrapText="1"/>
    </xf>
    <xf numFmtId="0" fontId="10" fillId="0" borderId="1" xfId="0" applyFont="1" applyFill="1" applyBorder="1" applyAlignment="1">
      <alignment horizontal="center" vertical="center"/>
    </xf>
  </cellXfs>
  <cellStyles count="7">
    <cellStyle name="20% - Accent4" xfId="1" builtinId="42"/>
    <cellStyle name="40% - Accent1" xfId="2" builtinId="31"/>
    <cellStyle name="40% - Accent3" xfId="3" builtinId="39"/>
    <cellStyle name="Hyperlink" xfId="4" builtinId="8"/>
    <cellStyle name="Normal" xfId="0" builtinId="0"/>
    <cellStyle name="Percent" xfId="5" builtinId="5"/>
    <cellStyle name="Style 1" xfId="6" xr:uid="{00000000-0005-0000-0000-000006000000}"/>
  </cellStyles>
  <dxfs count="84">
    <dxf>
      <font>
        <color rgb="FF9C0006"/>
      </font>
      <fill>
        <patternFill>
          <bgColor rgb="FFFFC7CE"/>
        </patternFill>
      </fill>
    </dxf>
    <dxf>
      <fill>
        <patternFill>
          <bgColor rgb="FF00B0F0"/>
        </patternFill>
      </fill>
    </dxf>
    <dxf>
      <fill>
        <patternFill>
          <bgColor rgb="FFF8696B"/>
        </patternFill>
      </fill>
    </dxf>
    <dxf>
      <fill>
        <patternFill>
          <bgColor rgb="FF00B050"/>
        </patternFill>
      </fill>
    </dxf>
    <dxf>
      <fill>
        <patternFill>
          <bgColor theme="0" tint="-0.24994659260841701"/>
        </patternFill>
      </fill>
    </dxf>
    <dxf>
      <fill>
        <patternFill>
          <bgColor rgb="FFF8696B"/>
        </patternFill>
      </fill>
    </dxf>
    <dxf>
      <fill>
        <patternFill>
          <bgColor rgb="FF63BE7B"/>
        </patternFill>
      </fill>
    </dxf>
    <dxf>
      <fill>
        <patternFill>
          <bgColor rgb="FFF8696B"/>
        </patternFill>
      </fill>
    </dxf>
    <dxf>
      <fill>
        <patternFill>
          <bgColor rgb="FF00B050"/>
        </patternFill>
      </fill>
    </dxf>
    <dxf>
      <fill>
        <patternFill>
          <bgColor theme="0" tint="-0.24994659260841701"/>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theme="0" tint="-0.24994659260841701"/>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00B050"/>
        </patternFill>
      </fill>
    </dxf>
    <dxf>
      <fill>
        <patternFill>
          <bgColor rgb="FFF8696B"/>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theme="0" tint="-0.24994659260841701"/>
        </patternFill>
      </fill>
    </dxf>
    <dxf>
      <fill>
        <patternFill>
          <bgColor theme="0" tint="-0.24994659260841701"/>
        </patternFill>
      </fill>
    </dxf>
    <dxf>
      <fill>
        <patternFill>
          <bgColor rgb="FFF8696B"/>
        </patternFill>
      </fill>
    </dxf>
    <dxf>
      <fill>
        <patternFill>
          <bgColor rgb="FF63BE7B"/>
        </patternFill>
      </fill>
    </dxf>
    <dxf>
      <fill>
        <patternFill>
          <bgColor rgb="FFF8696B"/>
        </patternFill>
      </fill>
    </dxf>
    <dxf>
      <fill>
        <patternFill>
          <bgColor rgb="FF00B050"/>
        </patternFill>
      </fill>
    </dxf>
    <dxf>
      <fill>
        <patternFill>
          <bgColor theme="0" tint="-0.24994659260841701"/>
        </patternFill>
      </fill>
    </dxf>
    <dxf>
      <fill>
        <patternFill>
          <bgColor rgb="FFF8696B"/>
        </patternFill>
      </fill>
    </dxf>
    <dxf>
      <fill>
        <patternFill>
          <bgColor rgb="FF00B050"/>
        </patternFill>
      </fill>
    </dxf>
    <dxf>
      <fill>
        <patternFill>
          <bgColor theme="0" tint="-0.24994659260841701"/>
        </patternFill>
      </fill>
    </dxf>
    <dxf>
      <fill>
        <patternFill>
          <bgColor rgb="FF56CE6D"/>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none">
          <bgColor indexed="65"/>
        </patternFill>
      </fill>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right/>
        <top style="thin">
          <color indexed="64"/>
        </top>
        <bottom/>
        <vertical/>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1" tint="4.9989318521683403E-2"/>
        <name val="Calibri"/>
        <scheme val="minor"/>
      </font>
    </dxf>
    <dxf>
      <font>
        <b/>
        <i val="0"/>
        <strike val="0"/>
        <condense val="0"/>
        <extend val="0"/>
        <outline val="0"/>
        <shadow val="0"/>
        <u val="none"/>
        <vertAlign val="baseline"/>
        <sz val="11"/>
        <color theme="1" tint="4.9989318521683403E-2"/>
        <name val="Calibri"/>
        <scheme val="minor"/>
      </font>
      <fill>
        <patternFill patternType="solid">
          <fgColor theme="6"/>
          <bgColor theme="6"/>
        </patternFill>
      </fill>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333375</xdr:colOff>
      <xdr:row>1</xdr:row>
      <xdr:rowOff>114300</xdr:rowOff>
    </xdr:from>
    <xdr:to>
      <xdr:col>1</xdr:col>
      <xdr:colOff>333375</xdr:colOff>
      <xdr:row>4</xdr:row>
      <xdr:rowOff>9525</xdr:rowOff>
    </xdr:to>
    <xdr:cxnSp macro="">
      <xdr:nvCxnSpPr>
        <xdr:cNvPr id="3" name="Straight Arrow Connector 2">
          <a:extLst>
            <a:ext uri="{FF2B5EF4-FFF2-40B4-BE49-F238E27FC236}">
              <a16:creationId xmlns:a16="http://schemas.microsoft.com/office/drawing/2014/main" id="{00000000-0008-0000-0100-000003000000}"/>
            </a:ext>
          </a:extLst>
        </xdr:cNvPr>
        <xdr:cNvCxnSpPr/>
      </xdr:nvCxnSpPr>
      <xdr:spPr>
        <a:xfrm>
          <a:off x="1238250" y="304800"/>
          <a:ext cx="0" cy="466725"/>
        </a:xfrm>
        <a:prstGeom prst="straightConnector1">
          <a:avLst/>
        </a:prstGeom>
        <a:ln w="571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381000</xdr:colOff>
          <xdr:row>10</xdr:row>
          <xdr:rowOff>200025</xdr:rowOff>
        </xdr:from>
        <xdr:to>
          <xdr:col>2</xdr:col>
          <xdr:colOff>809625</xdr:colOff>
          <xdr:row>13</xdr:row>
          <xdr:rowOff>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Reset PS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1171575</xdr:colOff>
          <xdr:row>10</xdr:row>
          <xdr:rowOff>200025</xdr:rowOff>
        </xdr:from>
        <xdr:to>
          <xdr:col>3</xdr:col>
          <xdr:colOff>542925</xdr:colOff>
          <xdr:row>13</xdr:row>
          <xdr:rowOff>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Reset PD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895350</xdr:colOff>
          <xdr:row>10</xdr:row>
          <xdr:rowOff>200025</xdr:rowOff>
        </xdr:from>
        <xdr:to>
          <xdr:col>4</xdr:col>
          <xdr:colOff>1095375</xdr:colOff>
          <xdr:row>13</xdr:row>
          <xdr:rowOff>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Reset SLS Primary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1171575</xdr:colOff>
          <xdr:row>14</xdr:row>
          <xdr:rowOff>257175</xdr:rowOff>
        </xdr:from>
        <xdr:to>
          <xdr:col>3</xdr:col>
          <xdr:colOff>542925</xdr:colOff>
          <xdr:row>17</xdr:row>
          <xdr:rowOff>85725</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Reset Entire Stats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xdr:row>
          <xdr:rowOff>247650</xdr:rowOff>
        </xdr:from>
        <xdr:to>
          <xdr:col>6</xdr:col>
          <xdr:colOff>2162175</xdr:colOff>
          <xdr:row>20</xdr:row>
          <xdr:rowOff>133350</xdr:rowOff>
        </xdr:to>
        <xdr:sp macro="" textlink="">
          <xdr:nvSpPr>
            <xdr:cNvPr id="4118" name="TextBoxPassword" hidden="1">
              <a:extLst>
                <a:ext uri="{63B3BB69-23CF-44E3-9099-C40C66FF867C}">
                  <a14:compatExt spid="_x0000_s4118"/>
                </a:ext>
                <a:ext uri="{FF2B5EF4-FFF2-40B4-BE49-F238E27FC236}">
                  <a16:creationId xmlns:a16="http://schemas.microsoft.com/office/drawing/2014/main" id="{00000000-0008-0000-03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1333500</xdr:colOff>
          <xdr:row>21</xdr:row>
          <xdr:rowOff>9525</xdr:rowOff>
        </xdr:from>
        <xdr:to>
          <xdr:col>6</xdr:col>
          <xdr:colOff>2314575</xdr:colOff>
          <xdr:row>22</xdr:row>
          <xdr:rowOff>104775</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3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Unlock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962025</xdr:colOff>
          <xdr:row>21</xdr:row>
          <xdr:rowOff>9525</xdr:rowOff>
        </xdr:from>
        <xdr:to>
          <xdr:col>6</xdr:col>
          <xdr:colOff>838200</xdr:colOff>
          <xdr:row>22</xdr:row>
          <xdr:rowOff>104775</xdr:rowOff>
        </xdr:to>
        <xdr:sp macro="" textlink="">
          <xdr:nvSpPr>
            <xdr:cNvPr id="4120" name="Button 24" hidden="1">
              <a:extLst>
                <a:ext uri="{63B3BB69-23CF-44E3-9099-C40C66FF867C}">
                  <a14:compatExt spid="_x0000_s4120"/>
                </a:ext>
                <a:ext uri="{FF2B5EF4-FFF2-40B4-BE49-F238E27FC236}">
                  <a16:creationId xmlns:a16="http://schemas.microsoft.com/office/drawing/2014/main" id="{00000000-0008-0000-0300-00001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1181100</xdr:colOff>
          <xdr:row>3</xdr:row>
          <xdr:rowOff>419100</xdr:rowOff>
        </xdr:from>
        <xdr:to>
          <xdr:col>3</xdr:col>
          <xdr:colOff>552450</xdr:colOff>
          <xdr:row>5</xdr:row>
          <xdr:rowOff>95250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300-00001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Create Stat Sheets</a:t>
              </a:r>
            </a:p>
          </xdr:txBody>
        </xdr:sp>
        <xdr:clientData fPrintsWithSheet="0"/>
      </xdr:twoCellAnchor>
    </mc:Choice>
    <mc:Fallback/>
  </mc:AlternateContent>
  <xdr:twoCellAnchor>
    <xdr:from>
      <xdr:col>1</xdr:col>
      <xdr:colOff>409575</xdr:colOff>
      <xdr:row>3</xdr:row>
      <xdr:rowOff>409575</xdr:rowOff>
    </xdr:from>
    <xdr:to>
      <xdr:col>2</xdr:col>
      <xdr:colOff>695325</xdr:colOff>
      <xdr:row>5</xdr:row>
      <xdr:rowOff>85725</xdr:rowOff>
    </xdr:to>
    <xdr:sp macro="" textlink="">
      <xdr:nvSpPr>
        <xdr:cNvPr id="30" name="Rectangle 29">
          <a:extLst>
            <a:ext uri="{FF2B5EF4-FFF2-40B4-BE49-F238E27FC236}">
              <a16:creationId xmlns:a16="http://schemas.microsoft.com/office/drawing/2014/main" id="{00000000-0008-0000-0300-00001E000000}"/>
            </a:ext>
          </a:extLst>
        </xdr:cNvPr>
        <xdr:cNvSpPr/>
      </xdr:nvSpPr>
      <xdr:spPr>
        <a:xfrm>
          <a:off x="600075" y="1819275"/>
          <a:ext cx="1762125" cy="5905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0000000}" name="Table8" displayName="Table8" ref="F2:P40" totalsRowShown="0" headerRowDxfId="83" dataDxfId="82" tableBorderDxfId="81">
  <autoFilter ref="F2:P40" xr:uid="{00000000-0009-0000-0100-000008000000}"/>
  <tableColumns count="11">
    <tableColumn id="1" xr3:uid="{00000000-0010-0000-0000-000001000000}" name="Location" dataDxfId="80"/>
    <tableColumn id="2" xr3:uid="{00000000-0010-0000-0000-000002000000}" name="Date" dataDxfId="79"/>
    <tableColumn id="3" xr3:uid="{00000000-0010-0000-0000-000003000000}" name="Start Time" dataDxfId="78"/>
    <tableColumn id="4" xr3:uid="{00000000-0010-0000-0000-000004000000}" name="End Time" dataDxfId="77"/>
    <tableColumn id="5" xr3:uid="{00000000-0010-0000-0000-000005000000}" name="Duration" dataDxfId="76"/>
    <tableColumn id="6" xr3:uid="{00000000-0010-0000-0000-000006000000}" name="Reported by" dataDxfId="75"/>
    <tableColumn id="7" xr3:uid="{00000000-0010-0000-0000-000007000000}" name="Material" dataDxfId="74"/>
    <tableColumn id="8" xr3:uid="{00000000-0010-0000-0000-000008000000}" name="Light Curtain" dataDxfId="73"/>
    <tableColumn id="9" xr3:uid="{00000000-0010-0000-0000-000009000000}" name="Matrix Modules" dataDxfId="72"/>
    <tableColumn id="10" xr3:uid="{00000000-0010-0000-0000-00000A000000}" name="Bottom Mirror" dataDxfId="71"/>
    <tableColumn id="11" xr3:uid="{00000000-0010-0000-0000-00000B000000}" name="Comments" dataDxfId="7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file:///\\svrp00055684\users\" TargetMode="External"/><Relationship Id="rId1" Type="http://schemas.openxmlformats.org/officeDocument/2006/relationships/hyperlink" Target="http://10.29.136.44/trending_bigs/" TargetMode="Externa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193"/>
  <sheetViews>
    <sheetView showGridLines="0" zoomScale="90" zoomScaleNormal="90" workbookViewId="0">
      <selection activeCell="B1" sqref="B1:B2"/>
    </sheetView>
  </sheetViews>
  <sheetFormatPr defaultRowHeight="15" x14ac:dyDescent="0.25"/>
  <cols>
    <col min="1" max="3" width="14" style="28" customWidth="1"/>
    <col min="4" max="4" width="17.42578125" style="28" customWidth="1"/>
    <col min="5" max="10" width="14" style="28" customWidth="1"/>
    <col min="11" max="11" width="7.28515625" style="28" customWidth="1"/>
    <col min="12" max="12" width="15.85546875" style="28" customWidth="1"/>
    <col min="13" max="13" width="19" style="28" customWidth="1"/>
    <col min="14" max="14" width="11.42578125" style="28" customWidth="1"/>
    <col min="15" max="16" width="14" style="28" customWidth="1"/>
    <col min="17" max="17" width="8.85546875" style="28" customWidth="1"/>
    <col min="18" max="18" width="12.5703125" style="28" customWidth="1"/>
    <col min="19" max="19" width="11.7109375" style="28" customWidth="1"/>
    <col min="20" max="20" width="24.42578125" style="28" customWidth="1"/>
    <col min="21" max="22" width="8.85546875" style="28" customWidth="1"/>
    <col min="23" max="16384" width="9.140625" style="28"/>
  </cols>
  <sheetData>
    <row r="1" spans="1:23" s="27" customFormat="1" ht="15.75" customHeight="1" x14ac:dyDescent="0.25">
      <c r="A1" s="263" t="s">
        <v>0</v>
      </c>
      <c r="B1" s="265" t="s">
        <v>238</v>
      </c>
      <c r="C1" s="267" t="s">
        <v>1</v>
      </c>
      <c r="D1" s="269">
        <v>44496</v>
      </c>
      <c r="E1" s="270"/>
      <c r="F1" s="250"/>
      <c r="G1" s="252" t="s">
        <v>176</v>
      </c>
      <c r="H1" s="252"/>
      <c r="I1" s="252"/>
      <c r="J1" s="252"/>
      <c r="K1" s="252"/>
      <c r="L1" s="252"/>
      <c r="M1" s="253"/>
      <c r="N1" s="258"/>
      <c r="O1" s="260" t="s">
        <v>2</v>
      </c>
      <c r="P1" s="227"/>
      <c r="Q1" s="227"/>
      <c r="R1" s="227"/>
      <c r="S1" s="227"/>
      <c r="T1" s="227"/>
      <c r="U1" s="227"/>
      <c r="V1" s="228"/>
      <c r="W1" s="46"/>
    </row>
    <row r="2" spans="1:23" s="27" customFormat="1" ht="16.5" customHeight="1" thickBot="1" x14ac:dyDescent="0.3">
      <c r="A2" s="264"/>
      <c r="B2" s="266"/>
      <c r="C2" s="268"/>
      <c r="D2" s="271"/>
      <c r="E2" s="272"/>
      <c r="F2" s="251"/>
      <c r="G2" s="254"/>
      <c r="H2" s="254"/>
      <c r="I2" s="254"/>
      <c r="J2" s="254"/>
      <c r="K2" s="254"/>
      <c r="L2" s="254"/>
      <c r="M2" s="255"/>
      <c r="N2" s="259"/>
      <c r="O2" s="229" t="s">
        <v>99</v>
      </c>
      <c r="P2" s="230"/>
      <c r="Q2" s="230"/>
      <c r="R2" s="230"/>
      <c r="S2" s="230"/>
      <c r="T2" s="230"/>
      <c r="U2" s="230"/>
      <c r="V2" s="231"/>
    </row>
    <row r="3" spans="1:23" ht="21" customHeight="1" thickBot="1" x14ac:dyDescent="0.3">
      <c r="A3" s="244"/>
      <c r="B3" s="245"/>
      <c r="C3" s="245"/>
      <c r="D3" s="245"/>
      <c r="E3" s="245"/>
      <c r="F3" s="246"/>
      <c r="G3" s="256"/>
      <c r="H3" s="256"/>
      <c r="I3" s="256"/>
      <c r="J3" s="256"/>
      <c r="K3" s="254"/>
      <c r="L3" s="254"/>
      <c r="M3" s="257"/>
      <c r="N3" s="244"/>
      <c r="O3" s="261"/>
      <c r="P3" s="261"/>
      <c r="Q3" s="261"/>
      <c r="R3" s="261"/>
      <c r="S3" s="261"/>
      <c r="T3" s="261"/>
      <c r="U3" s="261"/>
      <c r="V3" s="262"/>
    </row>
    <row r="4" spans="1:23" s="27" customFormat="1" ht="21" customHeight="1" thickBot="1" x14ac:dyDescent="0.3">
      <c r="A4" s="213" t="s">
        <v>3</v>
      </c>
      <c r="B4" s="214"/>
      <c r="C4" s="277"/>
      <c r="D4" s="241" t="s">
        <v>3</v>
      </c>
      <c r="E4" s="242"/>
      <c r="F4" s="243"/>
      <c r="G4" s="213" t="s">
        <v>5</v>
      </c>
      <c r="H4" s="214"/>
      <c r="I4" s="214"/>
      <c r="J4" s="214"/>
      <c r="K4" s="165"/>
      <c r="L4" s="166"/>
      <c r="M4" s="242" t="s">
        <v>76</v>
      </c>
      <c r="N4" s="243"/>
      <c r="O4" s="241" t="s">
        <v>213</v>
      </c>
      <c r="P4" s="242"/>
      <c r="Q4" s="243"/>
      <c r="R4" s="97"/>
      <c r="S4" s="98"/>
      <c r="T4" s="242" t="s">
        <v>214</v>
      </c>
      <c r="U4" s="242"/>
      <c r="V4" s="243"/>
    </row>
    <row r="5" spans="1:23" s="27" customFormat="1" ht="27" customHeight="1" thickBot="1" x14ac:dyDescent="0.3">
      <c r="A5" s="110"/>
      <c r="B5" s="111" t="s">
        <v>6</v>
      </c>
      <c r="C5" s="112" t="s">
        <v>7</v>
      </c>
      <c r="D5" s="104"/>
      <c r="E5" s="105" t="s">
        <v>6</v>
      </c>
      <c r="F5" s="106" t="s">
        <v>7</v>
      </c>
      <c r="G5" s="186" t="s">
        <v>12</v>
      </c>
      <c r="H5" s="185" t="s">
        <v>13</v>
      </c>
      <c r="I5" s="185" t="s">
        <v>14</v>
      </c>
      <c r="J5" s="184" t="s">
        <v>220</v>
      </c>
      <c r="K5" s="218"/>
      <c r="L5" s="219"/>
      <c r="M5" s="164" t="s">
        <v>52</v>
      </c>
      <c r="N5" s="102" t="s">
        <v>53</v>
      </c>
      <c r="O5" s="101" t="s">
        <v>52</v>
      </c>
      <c r="P5" s="282" t="s">
        <v>53</v>
      </c>
      <c r="Q5" s="283"/>
      <c r="R5" s="99"/>
      <c r="S5" s="100"/>
      <c r="T5" s="103" t="s">
        <v>52</v>
      </c>
      <c r="U5" s="278" t="s">
        <v>53</v>
      </c>
      <c r="V5" s="279"/>
    </row>
    <row r="6" spans="1:23" ht="27" customHeight="1" x14ac:dyDescent="0.25">
      <c r="A6" s="113" t="s">
        <v>8</v>
      </c>
      <c r="B6" s="168"/>
      <c r="C6" s="169"/>
      <c r="D6" s="107" t="s">
        <v>215</v>
      </c>
      <c r="E6" s="175"/>
      <c r="F6" s="176"/>
      <c r="G6" s="187" t="s">
        <v>236</v>
      </c>
      <c r="H6" s="198" t="s">
        <v>236</v>
      </c>
      <c r="I6" s="198" t="s">
        <v>236</v>
      </c>
      <c r="J6" s="198" t="s">
        <v>236</v>
      </c>
      <c r="K6" s="303" t="s">
        <v>46</v>
      </c>
      <c r="L6" s="304"/>
      <c r="M6" s="114">
        <f>Stats!B29</f>
        <v>0</v>
      </c>
      <c r="N6" s="115">
        <f>Stats!B7</f>
        <v>0</v>
      </c>
      <c r="O6" s="116">
        <f>Stats!B36</f>
        <v>0</v>
      </c>
      <c r="P6" s="284">
        <f>Stats!B14</f>
        <v>0</v>
      </c>
      <c r="Q6" s="285"/>
      <c r="R6" s="273" t="s">
        <v>205</v>
      </c>
      <c r="S6" s="274"/>
      <c r="T6" s="117" t="str">
        <f>Stats!B42</f>
        <v/>
      </c>
      <c r="U6" s="232">
        <f>Stats!B20</f>
        <v>0</v>
      </c>
      <c r="V6" s="233"/>
    </row>
    <row r="7" spans="1:23" ht="27" customHeight="1" x14ac:dyDescent="0.25">
      <c r="A7" s="113" t="s">
        <v>9</v>
      </c>
      <c r="B7" s="170"/>
      <c r="C7" s="171"/>
      <c r="D7" s="108" t="s">
        <v>216</v>
      </c>
      <c r="E7" s="175"/>
      <c r="F7" s="177"/>
      <c r="G7" s="183" t="s">
        <v>24</v>
      </c>
      <c r="H7" s="183" t="s">
        <v>25</v>
      </c>
      <c r="I7" s="183" t="s">
        <v>26</v>
      </c>
      <c r="J7" s="161"/>
      <c r="K7" s="280" t="s">
        <v>47</v>
      </c>
      <c r="L7" s="281"/>
      <c r="M7" s="116">
        <f>Stats!C29</f>
        <v>0</v>
      </c>
      <c r="N7" s="115">
        <f>Stats!C7</f>
        <v>0</v>
      </c>
      <c r="O7" s="116">
        <f>Stats!C36</f>
        <v>0</v>
      </c>
      <c r="P7" s="284">
        <f>Stats!C14</f>
        <v>0</v>
      </c>
      <c r="Q7" s="285"/>
      <c r="R7" s="273" t="s">
        <v>206</v>
      </c>
      <c r="S7" s="274"/>
      <c r="T7" s="120" t="str">
        <f>Stats!B40</f>
        <v/>
      </c>
      <c r="U7" s="232">
        <f>Stats!B18</f>
        <v>0</v>
      </c>
      <c r="V7" s="233"/>
    </row>
    <row r="8" spans="1:23" ht="27" customHeight="1" x14ac:dyDescent="0.25">
      <c r="A8" s="113" t="s">
        <v>10</v>
      </c>
      <c r="B8" s="170"/>
      <c r="C8" s="171"/>
      <c r="D8" s="107" t="s">
        <v>217</v>
      </c>
      <c r="E8" s="175"/>
      <c r="F8" s="177"/>
      <c r="G8" s="198" t="s">
        <v>236</v>
      </c>
      <c r="H8" s="198" t="s">
        <v>236</v>
      </c>
      <c r="I8" s="198" t="s">
        <v>236</v>
      </c>
      <c r="J8" s="119"/>
      <c r="K8" s="280" t="s">
        <v>48</v>
      </c>
      <c r="L8" s="281"/>
      <c r="M8" s="114">
        <f>Stats!D29</f>
        <v>0</v>
      </c>
      <c r="N8" s="115">
        <f>Stats!D7</f>
        <v>0</v>
      </c>
      <c r="O8" s="116">
        <f>Stats!D36</f>
        <v>0</v>
      </c>
      <c r="P8" s="284">
        <f>Stats!D14</f>
        <v>0</v>
      </c>
      <c r="Q8" s="285"/>
      <c r="R8" s="275" t="s">
        <v>207</v>
      </c>
      <c r="S8" s="276"/>
      <c r="T8" s="117" t="str">
        <f>Stats!F40</f>
        <v/>
      </c>
      <c r="U8" s="232">
        <f>Stats!F18</f>
        <v>0</v>
      </c>
      <c r="V8" s="233"/>
    </row>
    <row r="9" spans="1:23" ht="27" customHeight="1" thickBot="1" x14ac:dyDescent="0.3">
      <c r="A9" s="113" t="s">
        <v>11</v>
      </c>
      <c r="B9" s="170"/>
      <c r="C9" s="171"/>
      <c r="D9" s="109" t="s">
        <v>218</v>
      </c>
      <c r="E9" s="178"/>
      <c r="F9" s="179"/>
      <c r="G9" s="121" t="str">
        <f>Stats!A11</f>
        <v>M4</v>
      </c>
      <c r="H9" s="182" t="s">
        <v>170</v>
      </c>
      <c r="I9" s="183" t="s">
        <v>171</v>
      </c>
      <c r="J9" s="118"/>
      <c r="K9" s="280" t="s">
        <v>49</v>
      </c>
      <c r="L9" s="281"/>
      <c r="M9" s="116">
        <f>Stats!E29</f>
        <v>0</v>
      </c>
      <c r="N9" s="115">
        <f>Stats!E7</f>
        <v>0</v>
      </c>
      <c r="O9" s="116">
        <f>Stats!E36</f>
        <v>0</v>
      </c>
      <c r="P9" s="284">
        <f>Stats!E14</f>
        <v>0</v>
      </c>
      <c r="Q9" s="285"/>
      <c r="R9" s="239" t="s">
        <v>208</v>
      </c>
      <c r="S9" s="240"/>
      <c r="T9" s="117" t="str">
        <f>Stats!E40</f>
        <v/>
      </c>
      <c r="U9" s="232">
        <f>Stats!E18</f>
        <v>0</v>
      </c>
      <c r="V9" s="233"/>
    </row>
    <row r="10" spans="1:23" ht="27" customHeight="1" thickBot="1" x14ac:dyDescent="0.3">
      <c r="A10" s="122" t="s">
        <v>230</v>
      </c>
      <c r="B10" s="180"/>
      <c r="C10" s="181"/>
      <c r="D10" s="290"/>
      <c r="E10" s="291"/>
      <c r="F10" s="292"/>
      <c r="G10" s="187" t="s">
        <v>236</v>
      </c>
      <c r="H10" s="188" t="s">
        <v>236</v>
      </c>
      <c r="I10" s="189" t="s">
        <v>236</v>
      </c>
      <c r="J10" s="123"/>
      <c r="K10" s="280" t="s">
        <v>50</v>
      </c>
      <c r="L10" s="281"/>
      <c r="M10" s="116">
        <f>Stats!F29</f>
        <v>0</v>
      </c>
      <c r="N10" s="115">
        <f>Stats!F7</f>
        <v>0</v>
      </c>
      <c r="O10" s="116">
        <f>Stats!F36</f>
        <v>0</v>
      </c>
      <c r="P10" s="284">
        <f>Stats!F14</f>
        <v>0</v>
      </c>
      <c r="Q10" s="298"/>
      <c r="R10" s="273" t="s">
        <v>209</v>
      </c>
      <c r="S10" s="274"/>
      <c r="T10" s="117" t="str">
        <f>Stats!C40</f>
        <v/>
      </c>
      <c r="U10" s="232">
        <f>Stats!C18</f>
        <v>0</v>
      </c>
      <c r="V10" s="233"/>
    </row>
    <row r="11" spans="1:23" ht="27" customHeight="1" thickBot="1" x14ac:dyDescent="0.3">
      <c r="A11" s="247" t="s">
        <v>4</v>
      </c>
      <c r="B11" s="248"/>
      <c r="C11" s="249"/>
      <c r="D11" s="290"/>
      <c r="E11" s="291"/>
      <c r="F11" s="292"/>
      <c r="G11" s="124" t="str">
        <f>Stats!A16</f>
        <v>SAI 1</v>
      </c>
      <c r="H11" s="125" t="str">
        <f>Stats!A17</f>
        <v>SAI 2</v>
      </c>
      <c r="I11" s="199" t="s">
        <v>234</v>
      </c>
      <c r="J11" s="125"/>
      <c r="K11" s="305" t="s">
        <v>62</v>
      </c>
      <c r="L11" s="306"/>
      <c r="M11" s="116">
        <f>Stats!J29</f>
        <v>0</v>
      </c>
      <c r="N11" s="115">
        <f>Stats!J7</f>
        <v>0</v>
      </c>
      <c r="O11" s="116" t="s">
        <v>72</v>
      </c>
      <c r="P11" s="299" t="s">
        <v>72</v>
      </c>
      <c r="Q11" s="285"/>
      <c r="R11" s="307" t="s">
        <v>210</v>
      </c>
      <c r="S11" s="308"/>
      <c r="T11" s="117" t="str">
        <f>Stats!H40</f>
        <v/>
      </c>
      <c r="U11" s="232">
        <f>Stats!H18</f>
        <v>0</v>
      </c>
      <c r="V11" s="233"/>
    </row>
    <row r="12" spans="1:23" ht="27" customHeight="1" thickBot="1" x14ac:dyDescent="0.3">
      <c r="A12" s="126" t="s">
        <v>44</v>
      </c>
      <c r="B12" s="167"/>
      <c r="C12" s="172"/>
      <c r="D12" s="290"/>
      <c r="E12" s="291"/>
      <c r="F12" s="292"/>
      <c r="G12" s="162" t="s">
        <v>236</v>
      </c>
      <c r="H12" s="163" t="s">
        <v>236</v>
      </c>
      <c r="I12" s="163" t="s">
        <v>236</v>
      </c>
      <c r="J12" s="127"/>
      <c r="K12" s="286" t="s">
        <v>54</v>
      </c>
      <c r="L12" s="287"/>
      <c r="M12" s="116">
        <f>Stats!G29</f>
        <v>0</v>
      </c>
      <c r="N12" s="115">
        <f>Stats!G7</f>
        <v>0</v>
      </c>
      <c r="O12" s="116">
        <f>Stats!G36</f>
        <v>0</v>
      </c>
      <c r="P12" s="284">
        <f>Stats!G14</f>
        <v>0</v>
      </c>
      <c r="Q12" s="285"/>
      <c r="R12" s="221" t="s">
        <v>211</v>
      </c>
      <c r="S12" s="222"/>
      <c r="T12" s="117" t="str">
        <f>Stats!G40</f>
        <v/>
      </c>
      <c r="U12" s="232">
        <f>Stats!G18</f>
        <v>0</v>
      </c>
      <c r="V12" s="233"/>
    </row>
    <row r="13" spans="1:23" ht="27" customHeight="1" thickBot="1" x14ac:dyDescent="0.3">
      <c r="A13" s="113" t="s">
        <v>45</v>
      </c>
      <c r="B13" s="173"/>
      <c r="C13" s="174"/>
      <c r="D13" s="290"/>
      <c r="E13" s="291"/>
      <c r="F13" s="292"/>
      <c r="G13" s="128"/>
      <c r="H13" s="128"/>
      <c r="I13" s="128"/>
      <c r="J13" s="128"/>
      <c r="K13" s="288" t="s">
        <v>203</v>
      </c>
      <c r="L13" s="289"/>
      <c r="M13" s="300">
        <f>Stats!N29</f>
        <v>0</v>
      </c>
      <c r="N13" s="302"/>
      <c r="O13" s="300">
        <f>Stats!N36</f>
        <v>0</v>
      </c>
      <c r="P13" s="301"/>
      <c r="Q13" s="302"/>
      <c r="R13" s="237" t="s">
        <v>212</v>
      </c>
      <c r="S13" s="238"/>
      <c r="T13" s="216" t="str">
        <f>Stats!N40</f>
        <v/>
      </c>
      <c r="U13" s="216"/>
      <c r="V13" s="217"/>
    </row>
    <row r="14" spans="1:23" ht="27" customHeight="1" thickBot="1" x14ac:dyDescent="0.3">
      <c r="A14" s="129"/>
      <c r="B14" s="130"/>
      <c r="C14" s="131"/>
      <c r="D14" s="293"/>
      <c r="E14" s="294"/>
      <c r="F14" s="295"/>
      <c r="G14" s="128"/>
      <c r="H14" s="128"/>
      <c r="I14" s="128"/>
      <c r="J14" s="128"/>
      <c r="K14" s="225" t="s">
        <v>204</v>
      </c>
      <c r="L14" s="226"/>
      <c r="M14" s="234" t="str">
        <f>Stats!N43</f>
        <v/>
      </c>
      <c r="N14" s="235"/>
      <c r="O14" s="235"/>
      <c r="P14" s="235"/>
      <c r="Q14" s="236"/>
      <c r="R14" s="237" t="s">
        <v>219</v>
      </c>
      <c r="S14" s="238"/>
      <c r="T14" s="223" t="str">
        <f>Stats!N42</f>
        <v/>
      </c>
      <c r="U14" s="223"/>
      <c r="V14" s="224"/>
    </row>
    <row r="15" spans="1:23" ht="27" customHeight="1" thickBot="1" x14ac:dyDescent="0.3">
      <c r="A15" s="208" t="s">
        <v>231</v>
      </c>
      <c r="B15" s="209"/>
      <c r="C15" s="209"/>
      <c r="D15" s="209"/>
      <c r="E15" s="209"/>
      <c r="F15" s="209"/>
      <c r="G15" s="209"/>
      <c r="H15" s="209"/>
      <c r="I15" s="209"/>
      <c r="J15" s="209"/>
      <c r="K15" s="209"/>
      <c r="L15" s="209"/>
      <c r="M15" s="209"/>
      <c r="N15" s="209"/>
      <c r="O15" s="209"/>
      <c r="P15" s="209"/>
      <c r="Q15" s="209"/>
      <c r="R15" s="209"/>
      <c r="S15" s="209"/>
      <c r="T15" s="209"/>
      <c r="U15" s="209"/>
      <c r="V15" s="210"/>
    </row>
    <row r="16" spans="1:23" ht="27" customHeight="1" thickBot="1" x14ac:dyDescent="0.3">
      <c r="A16" s="208" t="s">
        <v>89</v>
      </c>
      <c r="B16" s="209"/>
      <c r="C16" s="210"/>
      <c r="D16" s="208" t="s">
        <v>84</v>
      </c>
      <c r="E16" s="210"/>
      <c r="F16" s="208" t="s">
        <v>85</v>
      </c>
      <c r="G16" s="209"/>
      <c r="H16" s="209"/>
      <c r="I16" s="210"/>
      <c r="J16" s="208" t="s">
        <v>86</v>
      </c>
      <c r="K16" s="209"/>
      <c r="L16" s="209"/>
      <c r="M16" s="210"/>
      <c r="N16" s="208" t="s">
        <v>87</v>
      </c>
      <c r="O16" s="209"/>
      <c r="P16" s="209"/>
      <c r="Q16" s="209"/>
      <c r="R16" s="210"/>
      <c r="S16" s="208" t="s">
        <v>88</v>
      </c>
      <c r="T16" s="209"/>
      <c r="U16" s="209"/>
      <c r="V16" s="210"/>
    </row>
    <row r="17" spans="1:24" ht="27" customHeight="1" thickBot="1" x14ac:dyDescent="0.3">
      <c r="A17" s="202" t="e">
        <f>VLOOKUP(LARGE(#REF!,1),#REF!,2,FALSE)</f>
        <v>#REF!</v>
      </c>
      <c r="B17" s="203"/>
      <c r="C17" s="204"/>
      <c r="D17" s="205" t="e">
        <f>VLOOKUP(LARGE(#REF!,1),#REF!,12,FALSE)</f>
        <v>#REF!</v>
      </c>
      <c r="E17" s="206"/>
      <c r="F17" s="202" t="e">
        <f>VLOOKUP(LARGE(#REF!,1),#REF!,10,FALSE)</f>
        <v>#REF!</v>
      </c>
      <c r="G17" s="203"/>
      <c r="H17" s="203"/>
      <c r="I17" s="204"/>
      <c r="J17" s="207" t="e">
        <f>VLOOKUP(LARGE(#REF!,1),#REF!,8,FALSE)</f>
        <v>#REF!</v>
      </c>
      <c r="K17" s="207"/>
      <c r="L17" s="207"/>
      <c r="M17" s="207"/>
      <c r="N17" s="202" t="e">
        <f>VLOOKUP(LARGE(#REF!,1),#REF!,6,FALSE)</f>
        <v>#REF!</v>
      </c>
      <c r="O17" s="203"/>
      <c r="P17" s="203"/>
      <c r="Q17" s="203"/>
      <c r="R17" s="204"/>
      <c r="S17" s="202" t="e">
        <f>VLOOKUP(LARGE(#REF!,1),#REF!,4,FALSE)</f>
        <v>#REF!</v>
      </c>
      <c r="T17" s="203"/>
      <c r="U17" s="203"/>
      <c r="V17" s="204"/>
    </row>
    <row r="18" spans="1:24" ht="27" customHeight="1" thickBot="1" x14ac:dyDescent="0.3">
      <c r="A18" s="202" t="e">
        <f>VLOOKUP(LARGE(#REF!,2),#REF!,2,FALSE)</f>
        <v>#REF!</v>
      </c>
      <c r="B18" s="203"/>
      <c r="C18" s="204"/>
      <c r="D18" s="205" t="e">
        <f>VLOOKUP(LARGE(#REF!,2),#REF!,12,FALSE)</f>
        <v>#REF!</v>
      </c>
      <c r="E18" s="206"/>
      <c r="F18" s="202" t="e">
        <f>VLOOKUP(LARGE(#REF!,2),#REF!,10,FALSE)</f>
        <v>#REF!</v>
      </c>
      <c r="G18" s="203"/>
      <c r="H18" s="203"/>
      <c r="I18" s="204"/>
      <c r="J18" s="207" t="e">
        <f>VLOOKUP(LARGE(#REF!,2),#REF!,8,FALSE)</f>
        <v>#REF!</v>
      </c>
      <c r="K18" s="207"/>
      <c r="L18" s="207"/>
      <c r="M18" s="207"/>
      <c r="N18" s="202" t="e">
        <f>VLOOKUP(LARGE(#REF!,2),#REF!,6,FALSE)</f>
        <v>#REF!</v>
      </c>
      <c r="O18" s="203"/>
      <c r="P18" s="203"/>
      <c r="Q18" s="203"/>
      <c r="R18" s="204"/>
      <c r="S18" s="202" t="e">
        <f>VLOOKUP(LARGE(#REF!,2),#REF!,4,FALSE)</f>
        <v>#REF!</v>
      </c>
      <c r="T18" s="203"/>
      <c r="U18" s="203"/>
      <c r="V18" s="204"/>
    </row>
    <row r="19" spans="1:24" ht="27" customHeight="1" thickBot="1" x14ac:dyDescent="0.3">
      <c r="A19" s="202" t="e">
        <f>VLOOKUP(LARGE(#REF!,3),#REF!,2,FALSE)</f>
        <v>#REF!</v>
      </c>
      <c r="B19" s="203"/>
      <c r="C19" s="204"/>
      <c r="D19" s="205" t="e">
        <f>VLOOKUP(LARGE(#REF!,3),#REF!,12,FALSE)</f>
        <v>#REF!</v>
      </c>
      <c r="E19" s="206"/>
      <c r="F19" s="202" t="e">
        <f>VLOOKUP(LARGE(#REF!,3),#REF!,10,FALSE)</f>
        <v>#REF!</v>
      </c>
      <c r="G19" s="203"/>
      <c r="H19" s="203"/>
      <c r="I19" s="204"/>
      <c r="J19" s="207" t="e">
        <f>VLOOKUP(LARGE(#REF!,3),#REF!,8,FALSE)</f>
        <v>#REF!</v>
      </c>
      <c r="K19" s="207"/>
      <c r="L19" s="207"/>
      <c r="M19" s="207"/>
      <c r="N19" s="202" t="e">
        <f>VLOOKUP(LARGE(#REF!,3),#REF!,6,FALSE)</f>
        <v>#REF!</v>
      </c>
      <c r="O19" s="203"/>
      <c r="P19" s="203"/>
      <c r="Q19" s="203"/>
      <c r="R19" s="204"/>
      <c r="S19" s="202" t="e">
        <f>VLOOKUP(LARGE(#REF!,3),#REF!,4,FALSE)</f>
        <v>#REF!</v>
      </c>
      <c r="T19" s="203"/>
      <c r="U19" s="203"/>
      <c r="V19" s="204"/>
    </row>
    <row r="20" spans="1:24" ht="27" customHeight="1" thickBot="1" x14ac:dyDescent="0.3">
      <c r="A20" s="208" t="s">
        <v>232</v>
      </c>
      <c r="B20" s="209"/>
      <c r="C20" s="209"/>
      <c r="D20" s="209"/>
      <c r="E20" s="209"/>
      <c r="F20" s="209"/>
      <c r="G20" s="209"/>
      <c r="H20" s="209"/>
      <c r="I20" s="209"/>
      <c r="J20" s="209"/>
      <c r="K20" s="209"/>
      <c r="L20" s="209"/>
      <c r="M20" s="209"/>
      <c r="N20" s="209"/>
      <c r="O20" s="209"/>
      <c r="P20" s="209"/>
      <c r="Q20" s="209"/>
      <c r="R20" s="209"/>
      <c r="S20" s="209"/>
      <c r="T20" s="209"/>
      <c r="U20" s="209"/>
      <c r="V20" s="210"/>
    </row>
    <row r="21" spans="1:24" s="29" customFormat="1" ht="30" customHeight="1" thickBot="1" x14ac:dyDescent="0.3">
      <c r="A21" s="36" t="s">
        <v>98</v>
      </c>
      <c r="B21" s="35" t="s">
        <v>35</v>
      </c>
      <c r="C21" s="35" t="s">
        <v>51</v>
      </c>
      <c r="D21" s="35" t="s">
        <v>36</v>
      </c>
      <c r="E21" s="35" t="s">
        <v>71</v>
      </c>
      <c r="F21" s="220" t="s">
        <v>37</v>
      </c>
      <c r="G21" s="220"/>
      <c r="H21" s="220"/>
      <c r="I21" s="220"/>
      <c r="J21" s="220"/>
      <c r="K21" s="220"/>
      <c r="L21" s="220" t="s">
        <v>38</v>
      </c>
      <c r="M21" s="220"/>
      <c r="N21" s="220"/>
      <c r="O21" s="220" t="s">
        <v>39</v>
      </c>
      <c r="P21" s="220"/>
      <c r="Q21" s="220"/>
      <c r="R21" s="220" t="s">
        <v>40</v>
      </c>
      <c r="S21" s="220"/>
      <c r="T21" s="220"/>
      <c r="U21" s="220" t="s">
        <v>41</v>
      </c>
      <c r="V21" s="220"/>
      <c r="X21" s="33"/>
    </row>
    <row r="22" spans="1:24" ht="30" customHeight="1" thickBot="1" x14ac:dyDescent="0.3">
      <c r="A22" s="37"/>
      <c r="B22" s="38"/>
      <c r="C22" s="38" t="str">
        <f ca="1">IF(AND(A22&lt;&gt;"", B22=""),NOW()-INT(NOW())-A22,IF(AND(A22&lt;&gt;"", B22&lt;&gt;""),B22-A22,""))</f>
        <v/>
      </c>
      <c r="D22" s="39"/>
      <c r="E22" s="40" t="str">
        <f ca="1">IF(ISNUMBER(C22),IF(AND(C22&gt;=0.00693,IF(OR(ISNUMBER(SEARCH("metro unloader",F22)),ISNUMBER(SEARCH("plc",F22)),ISNUMBER(SEARCH("Wash",F22)),ISNUMBER(SEARCH("Fuel Island",F22)),ISNUMBER(SEARCH("Compressor",F22))),0,1)),"Y","N"),"")</f>
        <v/>
      </c>
      <c r="F22" s="215"/>
      <c r="G22" s="201"/>
      <c r="H22" s="201"/>
      <c r="I22" s="201"/>
      <c r="J22" s="201"/>
      <c r="K22" s="201"/>
      <c r="L22" s="201"/>
      <c r="M22" s="201"/>
      <c r="N22" s="201"/>
      <c r="O22" s="201"/>
      <c r="P22" s="201"/>
      <c r="Q22" s="201"/>
      <c r="R22" s="201"/>
      <c r="S22" s="201"/>
      <c r="T22" s="201"/>
      <c r="U22" s="201"/>
      <c r="V22" s="201"/>
      <c r="W22" s="34"/>
    </row>
    <row r="23" spans="1:24" ht="30" customHeight="1" thickBot="1" x14ac:dyDescent="0.3">
      <c r="A23" s="38"/>
      <c r="B23" s="38"/>
      <c r="C23" s="38" t="str">
        <f t="shared" ref="C23:C31" ca="1" si="0">IF(AND(A23&lt;&gt;"", B23=""),NOW()-INT(NOW())-A23,IF(AND(A23&lt;&gt;"", B23&lt;&gt;""),B23-A23,""))</f>
        <v/>
      </c>
      <c r="D23" s="41"/>
      <c r="E23" s="40" t="str">
        <f t="shared" ref="E23:E31" ca="1" si="1">IF(ISNUMBER(C23),IF(AND(C23&gt;=0.00693,IF(OR(ISNUMBER(SEARCH("metro unloader",F23)),ISNUMBER(SEARCH("plc",F23)),ISNUMBER(SEARCH("Wash",F23)),ISNUMBER(SEARCH("Fuel Island",F23)),ISNUMBER(SEARCH("Compressor",F23))),0,1)),"Y","N"),"")</f>
        <v/>
      </c>
      <c r="F23" s="201"/>
      <c r="G23" s="201"/>
      <c r="H23" s="201"/>
      <c r="I23" s="201"/>
      <c r="J23" s="201"/>
      <c r="K23" s="201"/>
      <c r="L23" s="201"/>
      <c r="M23" s="201"/>
      <c r="N23" s="201"/>
      <c r="O23" s="201"/>
      <c r="P23" s="201"/>
      <c r="Q23" s="201"/>
      <c r="R23" s="201"/>
      <c r="S23" s="201"/>
      <c r="T23" s="201"/>
      <c r="U23" s="201"/>
      <c r="V23" s="201"/>
      <c r="W23" s="34"/>
    </row>
    <row r="24" spans="1:24" ht="30" customHeight="1" thickBot="1" x14ac:dyDescent="0.3">
      <c r="A24" s="38"/>
      <c r="B24" s="38"/>
      <c r="C24" s="38" t="str">
        <f t="shared" ca="1" si="0"/>
        <v/>
      </c>
      <c r="D24" s="41"/>
      <c r="E24" s="40" t="str">
        <f t="shared" ca="1" si="1"/>
        <v/>
      </c>
      <c r="F24" s="201"/>
      <c r="G24" s="201"/>
      <c r="H24" s="201"/>
      <c r="I24" s="201"/>
      <c r="J24" s="201"/>
      <c r="K24" s="201"/>
      <c r="L24" s="201"/>
      <c r="M24" s="201"/>
      <c r="N24" s="201"/>
      <c r="O24" s="201"/>
      <c r="P24" s="201"/>
      <c r="Q24" s="201"/>
      <c r="R24" s="201"/>
      <c r="S24" s="201"/>
      <c r="T24" s="201"/>
      <c r="U24" s="201"/>
      <c r="V24" s="201"/>
      <c r="W24" s="34"/>
    </row>
    <row r="25" spans="1:24" ht="30" customHeight="1" thickBot="1" x14ac:dyDescent="0.3">
      <c r="A25" s="38"/>
      <c r="B25" s="38"/>
      <c r="C25" s="38" t="str">
        <f t="shared" ca="1" si="0"/>
        <v/>
      </c>
      <c r="D25" s="41"/>
      <c r="E25" s="40" t="str">
        <f t="shared" ca="1" si="1"/>
        <v/>
      </c>
      <c r="F25" s="201"/>
      <c r="G25" s="201"/>
      <c r="H25" s="201"/>
      <c r="I25" s="201"/>
      <c r="J25" s="201"/>
      <c r="K25" s="201"/>
      <c r="L25" s="201"/>
      <c r="M25" s="201"/>
      <c r="N25" s="201"/>
      <c r="O25" s="201"/>
      <c r="P25" s="201"/>
      <c r="Q25" s="201"/>
      <c r="R25" s="201"/>
      <c r="S25" s="201"/>
      <c r="T25" s="201"/>
      <c r="U25" s="201"/>
      <c r="V25" s="201"/>
      <c r="W25" s="34"/>
    </row>
    <row r="26" spans="1:24" ht="30" customHeight="1" thickBot="1" x14ac:dyDescent="0.3">
      <c r="A26" s="38"/>
      <c r="B26" s="38"/>
      <c r="C26" s="38" t="str">
        <f t="shared" ca="1" si="0"/>
        <v/>
      </c>
      <c r="D26" s="41"/>
      <c r="E26" s="40" t="str">
        <f t="shared" ca="1" si="1"/>
        <v/>
      </c>
      <c r="F26" s="201"/>
      <c r="G26" s="201"/>
      <c r="H26" s="201"/>
      <c r="I26" s="201"/>
      <c r="J26" s="201"/>
      <c r="K26" s="201"/>
      <c r="L26" s="201"/>
      <c r="M26" s="201"/>
      <c r="N26" s="201"/>
      <c r="O26" s="201"/>
      <c r="P26" s="201"/>
      <c r="Q26" s="201"/>
      <c r="R26" s="201"/>
      <c r="S26" s="201"/>
      <c r="T26" s="201"/>
      <c r="U26" s="201"/>
      <c r="V26" s="201"/>
      <c r="W26" s="34"/>
    </row>
    <row r="27" spans="1:24" ht="30" customHeight="1" thickBot="1" x14ac:dyDescent="0.3">
      <c r="A27" s="38"/>
      <c r="B27" s="38"/>
      <c r="C27" s="38" t="str">
        <f t="shared" ca="1" si="0"/>
        <v/>
      </c>
      <c r="D27" s="41"/>
      <c r="E27" s="40" t="str">
        <f t="shared" ca="1" si="1"/>
        <v/>
      </c>
      <c r="F27" s="201"/>
      <c r="G27" s="201"/>
      <c r="H27" s="201"/>
      <c r="I27" s="201"/>
      <c r="J27" s="201"/>
      <c r="K27" s="201"/>
      <c r="L27" s="201"/>
      <c r="M27" s="201"/>
      <c r="N27" s="201"/>
      <c r="O27" s="201"/>
      <c r="P27" s="201"/>
      <c r="Q27" s="201"/>
      <c r="R27" s="201"/>
      <c r="S27" s="201"/>
      <c r="T27" s="201"/>
      <c r="U27" s="201"/>
      <c r="V27" s="201"/>
      <c r="W27" s="34"/>
    </row>
    <row r="28" spans="1:24" ht="30" customHeight="1" thickBot="1" x14ac:dyDescent="0.3">
      <c r="A28" s="38"/>
      <c r="B28" s="38"/>
      <c r="C28" s="38" t="str">
        <f t="shared" ca="1" si="0"/>
        <v/>
      </c>
      <c r="D28" s="41"/>
      <c r="E28" s="40" t="str">
        <f t="shared" ca="1" si="1"/>
        <v/>
      </c>
      <c r="F28" s="201"/>
      <c r="G28" s="201"/>
      <c r="H28" s="201"/>
      <c r="I28" s="201"/>
      <c r="J28" s="201"/>
      <c r="K28" s="201"/>
      <c r="L28" s="201"/>
      <c r="M28" s="201"/>
      <c r="N28" s="201"/>
      <c r="O28" s="201"/>
      <c r="P28" s="201"/>
      <c r="Q28" s="201"/>
      <c r="R28" s="201"/>
      <c r="S28" s="201"/>
      <c r="T28" s="201"/>
      <c r="U28" s="201"/>
      <c r="V28" s="201"/>
      <c r="W28" s="34"/>
    </row>
    <row r="29" spans="1:24" ht="30" customHeight="1" thickBot="1" x14ac:dyDescent="0.3">
      <c r="A29" s="38"/>
      <c r="B29" s="38"/>
      <c r="C29" s="38" t="str">
        <f t="shared" ca="1" si="0"/>
        <v/>
      </c>
      <c r="D29" s="41"/>
      <c r="E29" s="40" t="str">
        <f t="shared" ca="1" si="1"/>
        <v/>
      </c>
      <c r="F29" s="201"/>
      <c r="G29" s="201"/>
      <c r="H29" s="201"/>
      <c r="I29" s="201"/>
      <c r="J29" s="201"/>
      <c r="K29" s="201"/>
      <c r="L29" s="201"/>
      <c r="M29" s="201"/>
      <c r="N29" s="201"/>
      <c r="O29" s="201"/>
      <c r="P29" s="201"/>
      <c r="Q29" s="201"/>
      <c r="R29" s="201"/>
      <c r="S29" s="201"/>
      <c r="T29" s="201"/>
      <c r="U29" s="201"/>
      <c r="V29" s="201"/>
      <c r="W29" s="34"/>
    </row>
    <row r="30" spans="1:24" ht="30" customHeight="1" thickBot="1" x14ac:dyDescent="0.3">
      <c r="A30" s="38"/>
      <c r="B30" s="38"/>
      <c r="C30" s="38" t="str">
        <f t="shared" ca="1" si="0"/>
        <v/>
      </c>
      <c r="D30" s="41"/>
      <c r="E30" s="40" t="str">
        <f t="shared" ca="1" si="1"/>
        <v/>
      </c>
      <c r="F30" s="201"/>
      <c r="G30" s="201"/>
      <c r="H30" s="201"/>
      <c r="I30" s="201"/>
      <c r="J30" s="201"/>
      <c r="K30" s="201"/>
      <c r="L30" s="201"/>
      <c r="M30" s="201"/>
      <c r="N30" s="201"/>
      <c r="O30" s="201"/>
      <c r="P30" s="201"/>
      <c r="Q30" s="201"/>
      <c r="R30" s="201"/>
      <c r="S30" s="201"/>
      <c r="T30" s="201"/>
      <c r="U30" s="201"/>
      <c r="V30" s="201"/>
    </row>
    <row r="31" spans="1:24" ht="30" customHeight="1" thickBot="1" x14ac:dyDescent="0.3">
      <c r="A31" s="38"/>
      <c r="B31" s="38"/>
      <c r="C31" s="38" t="str">
        <f t="shared" ca="1" si="0"/>
        <v/>
      </c>
      <c r="D31" s="41"/>
      <c r="E31" s="40" t="str">
        <f t="shared" ca="1" si="1"/>
        <v/>
      </c>
      <c r="F31" s="201"/>
      <c r="G31" s="201"/>
      <c r="H31" s="201"/>
      <c r="I31" s="201"/>
      <c r="J31" s="201"/>
      <c r="K31" s="201"/>
      <c r="L31" s="201"/>
      <c r="M31" s="201"/>
      <c r="N31" s="201"/>
      <c r="O31" s="201"/>
      <c r="P31" s="201"/>
      <c r="Q31" s="201"/>
      <c r="R31" s="201"/>
      <c r="S31" s="201"/>
      <c r="T31" s="201"/>
      <c r="U31" s="201"/>
      <c r="V31" s="201"/>
    </row>
    <row r="32" spans="1:24" ht="23.25" customHeight="1" thickBot="1" x14ac:dyDescent="0.3">
      <c r="A32" s="220" t="s">
        <v>82</v>
      </c>
      <c r="B32" s="220"/>
      <c r="C32" s="220"/>
      <c r="D32" s="220"/>
      <c r="E32" s="220"/>
      <c r="F32" s="220"/>
      <c r="G32" s="220"/>
      <c r="H32" s="220"/>
      <c r="I32" s="220"/>
      <c r="J32" s="220"/>
      <c r="K32" s="220"/>
      <c r="L32" s="220"/>
      <c r="M32" s="220"/>
      <c r="N32" s="220"/>
      <c r="O32" s="220"/>
      <c r="P32" s="220"/>
      <c r="Q32" s="220"/>
      <c r="R32" s="220"/>
      <c r="S32" s="220"/>
      <c r="T32" s="220"/>
      <c r="U32" s="220"/>
      <c r="V32" s="220"/>
    </row>
    <row r="33" spans="1:24" ht="30" customHeight="1" thickBot="1" x14ac:dyDescent="0.3">
      <c r="A33" s="201"/>
      <c r="B33" s="201"/>
      <c r="C33" s="201"/>
      <c r="D33" s="201"/>
      <c r="E33" s="201"/>
      <c r="F33" s="201"/>
      <c r="G33" s="201"/>
      <c r="H33" s="201"/>
      <c r="I33" s="201"/>
      <c r="J33" s="201"/>
      <c r="K33" s="201"/>
      <c r="L33" s="201"/>
      <c r="M33" s="201"/>
      <c r="N33" s="201"/>
      <c r="O33" s="201"/>
      <c r="P33" s="201"/>
      <c r="Q33" s="201"/>
      <c r="R33" s="201"/>
      <c r="S33" s="201"/>
      <c r="T33" s="201"/>
      <c r="U33" s="201"/>
      <c r="V33" s="201"/>
    </row>
    <row r="34" spans="1:24" s="201" customFormat="1" ht="30" customHeight="1" thickBot="1" x14ac:dyDescent="0.3">
      <c r="A34" s="296"/>
      <c r="B34" s="297"/>
      <c r="C34" s="297"/>
      <c r="D34" s="297"/>
      <c r="E34" s="297"/>
      <c r="F34" s="297"/>
      <c r="G34" s="297"/>
      <c r="H34" s="297"/>
      <c r="I34" s="297"/>
      <c r="J34" s="297"/>
      <c r="K34" s="297"/>
      <c r="L34" s="297"/>
      <c r="M34" s="297"/>
      <c r="N34" s="297"/>
      <c r="O34" s="297"/>
      <c r="P34" s="297"/>
      <c r="Q34" s="297"/>
      <c r="R34" s="297"/>
      <c r="S34" s="297"/>
      <c r="T34" s="297"/>
      <c r="U34" s="297"/>
      <c r="V34" s="297"/>
      <c r="W34" s="297"/>
      <c r="X34" s="297"/>
    </row>
    <row r="35" spans="1:24" ht="30" customHeight="1" thickBot="1" x14ac:dyDescent="0.3">
      <c r="A35" s="201"/>
      <c r="B35" s="201"/>
      <c r="C35" s="201"/>
      <c r="D35" s="201"/>
      <c r="E35" s="201"/>
      <c r="F35" s="201"/>
      <c r="G35" s="201"/>
      <c r="H35" s="201"/>
      <c r="I35" s="201"/>
      <c r="J35" s="201"/>
      <c r="K35" s="201"/>
      <c r="L35" s="201"/>
      <c r="M35" s="201"/>
      <c r="N35" s="201"/>
      <c r="O35" s="201"/>
      <c r="P35" s="201"/>
      <c r="Q35" s="201"/>
      <c r="R35" s="201"/>
      <c r="S35" s="201"/>
      <c r="T35" s="201"/>
      <c r="U35" s="201"/>
      <c r="V35" s="201"/>
    </row>
    <row r="36" spans="1:24" ht="30" customHeight="1" thickBot="1" x14ac:dyDescent="0.3">
      <c r="A36" s="201"/>
      <c r="B36" s="201"/>
      <c r="C36" s="201"/>
      <c r="D36" s="201"/>
      <c r="E36" s="201"/>
      <c r="F36" s="201"/>
      <c r="G36" s="201"/>
      <c r="H36" s="201"/>
      <c r="I36" s="201"/>
      <c r="J36" s="201"/>
      <c r="K36" s="201"/>
      <c r="L36" s="201"/>
      <c r="M36" s="201"/>
      <c r="N36" s="201"/>
      <c r="O36" s="201"/>
      <c r="P36" s="201"/>
      <c r="Q36" s="201"/>
      <c r="R36" s="201"/>
      <c r="S36" s="201"/>
      <c r="T36" s="201"/>
      <c r="U36" s="201"/>
      <c r="V36" s="201"/>
    </row>
    <row r="37" spans="1:24" ht="23.25" customHeight="1" thickBot="1" x14ac:dyDescent="0.3">
      <c r="A37" s="211" t="s">
        <v>42</v>
      </c>
      <c r="B37" s="211"/>
      <c r="C37" s="212" t="s">
        <v>43</v>
      </c>
      <c r="D37" s="212"/>
      <c r="E37" s="212"/>
      <c r="F37" s="212"/>
      <c r="G37" s="212"/>
      <c r="H37" s="212"/>
      <c r="I37" s="212"/>
      <c r="J37" s="212"/>
      <c r="K37" s="212"/>
      <c r="L37" s="212"/>
      <c r="M37" s="212"/>
      <c r="N37" s="212"/>
      <c r="O37" s="212" t="s">
        <v>81</v>
      </c>
      <c r="P37" s="212"/>
      <c r="Q37" s="212" t="s">
        <v>96</v>
      </c>
      <c r="R37" s="212"/>
      <c r="S37" s="212" t="s">
        <v>97</v>
      </c>
      <c r="T37" s="212"/>
      <c r="U37" s="211" t="s">
        <v>83</v>
      </c>
      <c r="V37" s="211"/>
    </row>
    <row r="38" spans="1:24" ht="30" customHeight="1" thickBot="1" x14ac:dyDescent="0.3">
      <c r="A38" s="201"/>
      <c r="B38" s="201"/>
      <c r="C38" s="201"/>
      <c r="D38" s="201"/>
      <c r="E38" s="201"/>
      <c r="F38" s="201"/>
      <c r="G38" s="201"/>
      <c r="H38" s="201"/>
      <c r="I38" s="201"/>
      <c r="J38" s="201"/>
      <c r="K38" s="201"/>
      <c r="L38" s="201"/>
      <c r="M38" s="201"/>
      <c r="N38" s="201"/>
      <c r="O38" s="201"/>
      <c r="P38" s="201"/>
      <c r="Q38" s="201"/>
      <c r="R38" s="201"/>
      <c r="S38" s="201"/>
      <c r="T38" s="201"/>
      <c r="U38" s="201"/>
      <c r="V38" s="201"/>
    </row>
    <row r="39" spans="1:24" ht="30" customHeight="1" thickBot="1" x14ac:dyDescent="0.3">
      <c r="A39" s="201"/>
      <c r="B39" s="201"/>
      <c r="C39" s="201"/>
      <c r="D39" s="201"/>
      <c r="E39" s="201"/>
      <c r="F39" s="201"/>
      <c r="G39" s="201"/>
      <c r="H39" s="201"/>
      <c r="I39" s="201"/>
      <c r="J39" s="201"/>
      <c r="K39" s="201"/>
      <c r="L39" s="201"/>
      <c r="M39" s="201"/>
      <c r="N39" s="201"/>
      <c r="O39" s="201"/>
      <c r="P39" s="201"/>
      <c r="Q39" s="201"/>
      <c r="R39" s="201"/>
      <c r="S39" s="201"/>
      <c r="T39" s="201"/>
      <c r="U39" s="201"/>
      <c r="V39" s="201"/>
    </row>
    <row r="40" spans="1:24" ht="30" customHeight="1" thickBot="1" x14ac:dyDescent="0.3">
      <c r="A40" s="201"/>
      <c r="B40" s="201"/>
      <c r="C40" s="201"/>
      <c r="D40" s="201"/>
      <c r="E40" s="201"/>
      <c r="F40" s="201"/>
      <c r="G40" s="201"/>
      <c r="H40" s="201"/>
      <c r="I40" s="201"/>
      <c r="J40" s="201"/>
      <c r="K40" s="201"/>
      <c r="L40" s="201"/>
      <c r="M40" s="201"/>
      <c r="N40" s="201"/>
      <c r="O40" s="201"/>
      <c r="P40" s="201"/>
      <c r="Q40" s="201"/>
      <c r="R40" s="201"/>
      <c r="S40" s="201"/>
      <c r="T40" s="201"/>
      <c r="U40" s="201"/>
      <c r="V40" s="201"/>
    </row>
    <row r="41" spans="1:24" ht="30" customHeight="1" thickBot="1" x14ac:dyDescent="0.3">
      <c r="A41" s="201"/>
      <c r="B41" s="201"/>
      <c r="C41" s="201"/>
      <c r="D41" s="201"/>
      <c r="E41" s="201"/>
      <c r="F41" s="201"/>
      <c r="G41" s="201"/>
      <c r="H41" s="201"/>
      <c r="I41" s="201"/>
      <c r="J41" s="201"/>
      <c r="K41" s="201"/>
      <c r="L41" s="201"/>
      <c r="M41" s="201"/>
      <c r="N41" s="201"/>
      <c r="O41" s="201"/>
      <c r="P41" s="201"/>
      <c r="Q41" s="201"/>
      <c r="R41" s="201"/>
      <c r="S41" s="201"/>
      <c r="T41" s="201"/>
      <c r="U41" s="201"/>
      <c r="V41" s="201"/>
    </row>
    <row r="42" spans="1:24" ht="30" customHeight="1" thickBot="1" x14ac:dyDescent="0.3">
      <c r="A42" s="201"/>
      <c r="B42" s="201"/>
      <c r="C42" s="201"/>
      <c r="D42" s="201"/>
      <c r="E42" s="201"/>
      <c r="F42" s="201"/>
      <c r="G42" s="201"/>
      <c r="H42" s="201"/>
      <c r="I42" s="201"/>
      <c r="J42" s="201"/>
      <c r="K42" s="201"/>
      <c r="L42" s="201"/>
      <c r="M42" s="201"/>
      <c r="N42" s="201"/>
      <c r="O42" s="201"/>
      <c r="P42" s="201"/>
      <c r="Q42" s="201"/>
      <c r="R42" s="201"/>
      <c r="S42" s="201"/>
      <c r="T42" s="201"/>
      <c r="U42" s="201"/>
      <c r="V42" s="201"/>
    </row>
    <row r="43" spans="1:24" ht="23.25" customHeight="1" x14ac:dyDescent="0.25"/>
    <row r="44" spans="1:24" ht="23.25" customHeight="1" x14ac:dyDescent="0.25"/>
    <row r="45" spans="1:24" ht="23.25" customHeight="1" x14ac:dyDescent="0.25"/>
    <row r="46" spans="1:24" ht="23.25" customHeight="1" x14ac:dyDescent="0.25"/>
    <row r="47" spans="1:24" ht="23.25" customHeight="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sheetData>
  <mergeCells count="183">
    <mergeCell ref="P8:Q8"/>
    <mergeCell ref="P9:Q9"/>
    <mergeCell ref="P10:Q10"/>
    <mergeCell ref="P11:Q11"/>
    <mergeCell ref="P12:Q12"/>
    <mergeCell ref="O13:Q13"/>
    <mergeCell ref="M13:N13"/>
    <mergeCell ref="R6:S6"/>
    <mergeCell ref="K6:L6"/>
    <mergeCell ref="K7:L7"/>
    <mergeCell ref="K8:L8"/>
    <mergeCell ref="K9:L9"/>
    <mergeCell ref="K11:L11"/>
    <mergeCell ref="P7:Q7"/>
    <mergeCell ref="R11:S11"/>
    <mergeCell ref="R7:S7"/>
    <mergeCell ref="U21:V21"/>
    <mergeCell ref="Q39:R39"/>
    <mergeCell ref="D17:E17"/>
    <mergeCell ref="F17:I17"/>
    <mergeCell ref="A38:B38"/>
    <mergeCell ref="A39:B39"/>
    <mergeCell ref="A40:B40"/>
    <mergeCell ref="C37:N37"/>
    <mergeCell ref="F31:K31"/>
    <mergeCell ref="L31:N31"/>
    <mergeCell ref="U27:V27"/>
    <mergeCell ref="C40:N40"/>
    <mergeCell ref="F30:K30"/>
    <mergeCell ref="L30:N30"/>
    <mergeCell ref="A33:V33"/>
    <mergeCell ref="A35:V35"/>
    <mergeCell ref="A36:V36"/>
    <mergeCell ref="A34:XFD34"/>
    <mergeCell ref="F29:K29"/>
    <mergeCell ref="L29:N29"/>
    <mergeCell ref="S37:T37"/>
    <mergeCell ref="S38:T38"/>
    <mergeCell ref="A32:V32"/>
    <mergeCell ref="A42:B42"/>
    <mergeCell ref="C42:N42"/>
    <mergeCell ref="A37:B37"/>
    <mergeCell ref="A41:B41"/>
    <mergeCell ref="K12:L12"/>
    <mergeCell ref="K13:L13"/>
    <mergeCell ref="R13:S13"/>
    <mergeCell ref="C41:N41"/>
    <mergeCell ref="F28:K28"/>
    <mergeCell ref="D10:F14"/>
    <mergeCell ref="N16:R16"/>
    <mergeCell ref="S16:V16"/>
    <mergeCell ref="A17:C17"/>
    <mergeCell ref="F26:K26"/>
    <mergeCell ref="R28:T28"/>
    <mergeCell ref="Q41:R41"/>
    <mergeCell ref="O37:P37"/>
    <mergeCell ref="O38:P38"/>
    <mergeCell ref="O39:P39"/>
    <mergeCell ref="O40:P40"/>
    <mergeCell ref="O41:P41"/>
    <mergeCell ref="Q40:R40"/>
    <mergeCell ref="C38:N38"/>
    <mergeCell ref="C39:N39"/>
    <mergeCell ref="A3:F3"/>
    <mergeCell ref="A11:C11"/>
    <mergeCell ref="U7:V7"/>
    <mergeCell ref="F1:F2"/>
    <mergeCell ref="G1:M3"/>
    <mergeCell ref="N1:N3"/>
    <mergeCell ref="O1:R1"/>
    <mergeCell ref="O3:V3"/>
    <mergeCell ref="A1:A2"/>
    <mergeCell ref="B1:B2"/>
    <mergeCell ref="C1:C2"/>
    <mergeCell ref="U6:V6"/>
    <mergeCell ref="D1:E2"/>
    <mergeCell ref="R10:S10"/>
    <mergeCell ref="U10:V10"/>
    <mergeCell ref="R8:S8"/>
    <mergeCell ref="A4:C4"/>
    <mergeCell ref="M4:N4"/>
    <mergeCell ref="T4:V4"/>
    <mergeCell ref="U5:V5"/>
    <mergeCell ref="K10:L10"/>
    <mergeCell ref="P5:Q5"/>
    <mergeCell ref="P6:Q6"/>
    <mergeCell ref="D4:F4"/>
    <mergeCell ref="S1:V1"/>
    <mergeCell ref="O2:R2"/>
    <mergeCell ref="S2:V2"/>
    <mergeCell ref="O31:Q31"/>
    <mergeCell ref="R31:T31"/>
    <mergeCell ref="U31:V31"/>
    <mergeCell ref="O29:Q29"/>
    <mergeCell ref="R29:T29"/>
    <mergeCell ref="U29:V29"/>
    <mergeCell ref="O30:Q30"/>
    <mergeCell ref="R30:T30"/>
    <mergeCell ref="U30:V30"/>
    <mergeCell ref="U8:V8"/>
    <mergeCell ref="U12:V12"/>
    <mergeCell ref="M14:Q14"/>
    <mergeCell ref="R14:S14"/>
    <mergeCell ref="U9:V9"/>
    <mergeCell ref="R9:S9"/>
    <mergeCell ref="U11:V11"/>
    <mergeCell ref="O4:Q4"/>
    <mergeCell ref="R27:T27"/>
    <mergeCell ref="L26:N26"/>
    <mergeCell ref="L28:N28"/>
    <mergeCell ref="O28:Q28"/>
    <mergeCell ref="D16:E16"/>
    <mergeCell ref="F16:I16"/>
    <mergeCell ref="J16:M16"/>
    <mergeCell ref="K14:L14"/>
    <mergeCell ref="R23:T23"/>
    <mergeCell ref="U28:V28"/>
    <mergeCell ref="U23:V23"/>
    <mergeCell ref="F24:K24"/>
    <mergeCell ref="U22:V22"/>
    <mergeCell ref="R21:T21"/>
    <mergeCell ref="U26:V26"/>
    <mergeCell ref="R25:T25"/>
    <mergeCell ref="O22:Q22"/>
    <mergeCell ref="R22:T22"/>
    <mergeCell ref="F27:K27"/>
    <mergeCell ref="L27:N27"/>
    <mergeCell ref="U24:V24"/>
    <mergeCell ref="F25:K25"/>
    <mergeCell ref="L25:N25"/>
    <mergeCell ref="O25:Q25"/>
    <mergeCell ref="O26:Q26"/>
    <mergeCell ref="R26:T26"/>
    <mergeCell ref="U25:V25"/>
    <mergeCell ref="O27:Q27"/>
    <mergeCell ref="S42:T42"/>
    <mergeCell ref="U42:V42"/>
    <mergeCell ref="Q37:R37"/>
    <mergeCell ref="Q38:R38"/>
    <mergeCell ref="S39:T39"/>
    <mergeCell ref="U41:V41"/>
    <mergeCell ref="G4:J4"/>
    <mergeCell ref="F22:K22"/>
    <mergeCell ref="L22:N22"/>
    <mergeCell ref="F23:K23"/>
    <mergeCell ref="L23:N23"/>
    <mergeCell ref="L24:N24"/>
    <mergeCell ref="O24:Q24"/>
    <mergeCell ref="R24:T24"/>
    <mergeCell ref="T13:V13"/>
    <mergeCell ref="K5:L5"/>
    <mergeCell ref="F21:K21"/>
    <mergeCell ref="L21:N21"/>
    <mergeCell ref="O21:Q21"/>
    <mergeCell ref="O23:Q23"/>
    <mergeCell ref="R12:S12"/>
    <mergeCell ref="T14:V14"/>
    <mergeCell ref="A15:V15"/>
    <mergeCell ref="A16:C16"/>
    <mergeCell ref="O42:P42"/>
    <mergeCell ref="A19:C19"/>
    <mergeCell ref="D19:E19"/>
    <mergeCell ref="F19:I19"/>
    <mergeCell ref="J19:M19"/>
    <mergeCell ref="N19:R19"/>
    <mergeCell ref="S19:V19"/>
    <mergeCell ref="A20:V20"/>
    <mergeCell ref="J17:M17"/>
    <mergeCell ref="N17:R17"/>
    <mergeCell ref="S17:V17"/>
    <mergeCell ref="A18:C18"/>
    <mergeCell ref="D18:E18"/>
    <mergeCell ref="F18:I18"/>
    <mergeCell ref="J18:M18"/>
    <mergeCell ref="N18:R18"/>
    <mergeCell ref="S18:V18"/>
    <mergeCell ref="Q42:R42"/>
    <mergeCell ref="U37:V37"/>
    <mergeCell ref="U38:V38"/>
    <mergeCell ref="U39:V39"/>
    <mergeCell ref="U40:V40"/>
    <mergeCell ref="S40:T40"/>
    <mergeCell ref="S41:T41"/>
  </mergeCells>
  <conditionalFormatting sqref="C22:C31">
    <cfRule type="containsBlanks" dxfId="69" priority="411">
      <formula>LEN(TRIM(C22))=0</formula>
    </cfRule>
    <cfRule type="cellIs" dxfId="68" priority="412" operator="greaterThanOrEqual">
      <formula>0.00693</formula>
    </cfRule>
  </conditionalFormatting>
  <conditionalFormatting sqref="E22:E31">
    <cfRule type="cellIs" dxfId="67" priority="407" operator="equal">
      <formula>"No"</formula>
    </cfRule>
    <cfRule type="cellIs" dxfId="66" priority="408" operator="equal">
      <formula>"Yes"</formula>
    </cfRule>
    <cfRule type="cellIs" dxfId="65" priority="409" operator="equal">
      <formula>"N"</formula>
    </cfRule>
    <cfRule type="cellIs" dxfId="64" priority="410" operator="equal">
      <formula>"Y"</formula>
    </cfRule>
  </conditionalFormatting>
  <conditionalFormatting sqref="Q38:R42">
    <cfRule type="cellIs" dxfId="63" priority="398" operator="equal">
      <formula>"Y"</formula>
    </cfRule>
    <cfRule type="cellIs" dxfId="62" priority="399" operator="equal">
      <formula>"N"</formula>
    </cfRule>
  </conditionalFormatting>
  <conditionalFormatting sqref="W22:W31">
    <cfRule type="cellIs" dxfId="61" priority="395" operator="greaterThan">
      <formula>0.0104166666666667</formula>
    </cfRule>
    <cfRule type="cellIs" dxfId="60" priority="396" operator="greaterThan">
      <formula>0.00694444444444444</formula>
    </cfRule>
  </conditionalFormatting>
  <conditionalFormatting sqref="G6:J6 G8:I8 G10:J10 G12:J12">
    <cfRule type="notContainsBlanks" dxfId="59" priority="448">
      <formula>LEN(TRIM(G6))&gt;0</formula>
    </cfRule>
  </conditionalFormatting>
  <dataValidations count="1">
    <dataValidation type="list" allowBlank="1" showInputMessage="1" showErrorMessage="1" sqref="B1:B2" xr:uid="{00000000-0002-0000-0000-000000000000}">
      <formula1>"Day, Night, Pre/Sun, Twi"</formula1>
    </dataValidation>
  </dataValidations>
  <pageMargins left="0.7" right="0.7" top="0.75" bottom="0.75" header="0.3" footer="0.3"/>
  <pageSetup orientation="portrait" r:id="rId1"/>
  <ignoredErrors>
    <ignoredError sqref="G9 G11:H11" unlocked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3"/>
  <dimension ref="A1:B370"/>
  <sheetViews>
    <sheetView workbookViewId="0">
      <selection sqref="A1:A5"/>
    </sheetView>
  </sheetViews>
  <sheetFormatPr defaultRowHeight="15" x14ac:dyDescent="0.25"/>
  <cols>
    <col min="1" max="1" width="13.5703125" style="191" customWidth="1"/>
    <col min="2" max="2" width="10.42578125" customWidth="1"/>
  </cols>
  <sheetData>
    <row r="1" spans="1:2" x14ac:dyDescent="0.25">
      <c r="A1" s="192">
        <v>44492</v>
      </c>
      <c r="B1" s="194" t="s">
        <v>233</v>
      </c>
    </row>
    <row r="2" spans="1:2" x14ac:dyDescent="0.25">
      <c r="A2" s="192">
        <v>44493</v>
      </c>
    </row>
    <row r="3" spans="1:2" x14ac:dyDescent="0.25">
      <c r="A3" s="192">
        <v>44494</v>
      </c>
    </row>
    <row r="4" spans="1:2" x14ac:dyDescent="0.25">
      <c r="A4" s="192">
        <v>44495</v>
      </c>
    </row>
    <row r="5" spans="1:2" x14ac:dyDescent="0.25">
      <c r="A5" s="192">
        <v>44496</v>
      </c>
    </row>
    <row r="6" spans="1:2" x14ac:dyDescent="0.25">
      <c r="A6" s="192"/>
    </row>
    <row r="7" spans="1:2" x14ac:dyDescent="0.25">
      <c r="A7" s="192"/>
    </row>
    <row r="8" spans="1:2" x14ac:dyDescent="0.25">
      <c r="A8" s="192"/>
    </row>
    <row r="9" spans="1:2" x14ac:dyDescent="0.25">
      <c r="A9" s="192"/>
    </row>
    <row r="10" spans="1:2" x14ac:dyDescent="0.25">
      <c r="A10" s="192"/>
    </row>
    <row r="11" spans="1:2" x14ac:dyDescent="0.25">
      <c r="A11" s="192"/>
    </row>
    <row r="12" spans="1:2" x14ac:dyDescent="0.25">
      <c r="A12" s="192"/>
    </row>
    <row r="13" spans="1:2" x14ac:dyDescent="0.25">
      <c r="A13" s="192"/>
    </row>
    <row r="14" spans="1:2" x14ac:dyDescent="0.25">
      <c r="A14" s="192"/>
    </row>
    <row r="15" spans="1:2" x14ac:dyDescent="0.25">
      <c r="A15" s="192"/>
    </row>
    <row r="16" spans="1:2" x14ac:dyDescent="0.25">
      <c r="A16" s="192"/>
    </row>
    <row r="17" spans="1:2" x14ac:dyDescent="0.25">
      <c r="A17" s="192"/>
    </row>
    <row r="18" spans="1:2" x14ac:dyDescent="0.25">
      <c r="A18" s="192"/>
    </row>
    <row r="19" spans="1:2" x14ac:dyDescent="0.25">
      <c r="A19" s="192"/>
    </row>
    <row r="20" spans="1:2" x14ac:dyDescent="0.25">
      <c r="A20" s="192"/>
    </row>
    <row r="21" spans="1:2" x14ac:dyDescent="0.25">
      <c r="A21" s="192"/>
    </row>
    <row r="22" spans="1:2" x14ac:dyDescent="0.25">
      <c r="A22" s="192"/>
    </row>
    <row r="23" spans="1:2" x14ac:dyDescent="0.25">
      <c r="A23" s="192"/>
    </row>
    <row r="24" spans="1:2" x14ac:dyDescent="0.25">
      <c r="A24" s="192"/>
    </row>
    <row r="25" spans="1:2" x14ac:dyDescent="0.25">
      <c r="A25" s="192"/>
    </row>
    <row r="26" spans="1:2" x14ac:dyDescent="0.25">
      <c r="A26" s="192"/>
    </row>
    <row r="27" spans="1:2" x14ac:dyDescent="0.25">
      <c r="A27" s="192"/>
      <c r="B27" s="2"/>
    </row>
    <row r="28" spans="1:2" x14ac:dyDescent="0.25">
      <c r="A28" s="192"/>
    </row>
    <row r="29" spans="1:2" x14ac:dyDescent="0.25">
      <c r="A29" s="192"/>
    </row>
    <row r="30" spans="1:2" x14ac:dyDescent="0.25">
      <c r="A30" s="192"/>
    </row>
    <row r="31" spans="1:2" x14ac:dyDescent="0.25">
      <c r="A31" s="192"/>
      <c r="B31" s="193"/>
    </row>
    <row r="32" spans="1:2" x14ac:dyDescent="0.25">
      <c r="A32" s="195"/>
    </row>
    <row r="33" spans="1:1" x14ac:dyDescent="0.25">
      <c r="A33" s="197"/>
    </row>
    <row r="34" spans="1:1" x14ac:dyDescent="0.25">
      <c r="A34" s="196"/>
    </row>
    <row r="35" spans="1:1" x14ac:dyDescent="0.25">
      <c r="A35" s="196"/>
    </row>
    <row r="36" spans="1:1" x14ac:dyDescent="0.25">
      <c r="A36" s="196"/>
    </row>
    <row r="37" spans="1:1" x14ac:dyDescent="0.25">
      <c r="A37" s="196"/>
    </row>
    <row r="38" spans="1:1" x14ac:dyDescent="0.25">
      <c r="A38" s="196"/>
    </row>
    <row r="39" spans="1:1" x14ac:dyDescent="0.25">
      <c r="A39" s="196"/>
    </row>
    <row r="40" spans="1:1" x14ac:dyDescent="0.25">
      <c r="A40" s="196"/>
    </row>
    <row r="41" spans="1:1" x14ac:dyDescent="0.25">
      <c r="A41" s="196"/>
    </row>
    <row r="42" spans="1:1" x14ac:dyDescent="0.25">
      <c r="A42" s="196"/>
    </row>
    <row r="43" spans="1:1" x14ac:dyDescent="0.25">
      <c r="A43" s="196"/>
    </row>
    <row r="44" spans="1:1" x14ac:dyDescent="0.25">
      <c r="A44" s="196"/>
    </row>
    <row r="45" spans="1:1" x14ac:dyDescent="0.25">
      <c r="A45" s="196"/>
    </row>
    <row r="46" spans="1:1" x14ac:dyDescent="0.25">
      <c r="A46" s="196"/>
    </row>
    <row r="47" spans="1:1" x14ac:dyDescent="0.25">
      <c r="A47" s="196"/>
    </row>
    <row r="48" spans="1:1" x14ac:dyDescent="0.25">
      <c r="A48" s="196"/>
    </row>
    <row r="49" spans="1:1" x14ac:dyDescent="0.25">
      <c r="A49" s="196"/>
    </row>
    <row r="50" spans="1:1" x14ac:dyDescent="0.25">
      <c r="A50" s="196"/>
    </row>
    <row r="51" spans="1:1" x14ac:dyDescent="0.25">
      <c r="A51" s="196"/>
    </row>
    <row r="52" spans="1:1" x14ac:dyDescent="0.25">
      <c r="A52" s="196"/>
    </row>
    <row r="53" spans="1:1" x14ac:dyDescent="0.25">
      <c r="A53" s="196"/>
    </row>
    <row r="54" spans="1:1" x14ac:dyDescent="0.25">
      <c r="A54" s="196"/>
    </row>
    <row r="55" spans="1:1" x14ac:dyDescent="0.25">
      <c r="A55" s="196"/>
    </row>
    <row r="56" spans="1:1" x14ac:dyDescent="0.25">
      <c r="A56" s="196"/>
    </row>
    <row r="57" spans="1:1" x14ac:dyDescent="0.25">
      <c r="A57" s="196"/>
    </row>
    <row r="58" spans="1:1" x14ac:dyDescent="0.25">
      <c r="A58" s="196"/>
    </row>
    <row r="59" spans="1:1" x14ac:dyDescent="0.25">
      <c r="A59" s="196"/>
    </row>
    <row r="60" spans="1:1" x14ac:dyDescent="0.25">
      <c r="A60" s="196"/>
    </row>
    <row r="61" spans="1:1" x14ac:dyDescent="0.25">
      <c r="A61" s="196"/>
    </row>
    <row r="62" spans="1:1" x14ac:dyDescent="0.25">
      <c r="A62" s="196"/>
    </row>
    <row r="63" spans="1:1" x14ac:dyDescent="0.25">
      <c r="A63" s="196"/>
    </row>
    <row r="64" spans="1:1" x14ac:dyDescent="0.25">
      <c r="A64" s="196"/>
    </row>
    <row r="65" spans="1:1" x14ac:dyDescent="0.25">
      <c r="A65" s="196"/>
    </row>
    <row r="66" spans="1:1" x14ac:dyDescent="0.25">
      <c r="A66" s="196"/>
    </row>
    <row r="67" spans="1:1" x14ac:dyDescent="0.25">
      <c r="A67" s="196"/>
    </row>
    <row r="68" spans="1:1" x14ac:dyDescent="0.25">
      <c r="A68" s="196"/>
    </row>
    <row r="69" spans="1:1" x14ac:dyDescent="0.25">
      <c r="A69" s="196"/>
    </row>
    <row r="70" spans="1:1" x14ac:dyDescent="0.25">
      <c r="A70" s="196"/>
    </row>
    <row r="71" spans="1:1" x14ac:dyDescent="0.25">
      <c r="A71" s="196"/>
    </row>
    <row r="72" spans="1:1" x14ac:dyDescent="0.25">
      <c r="A72" s="196"/>
    </row>
    <row r="73" spans="1:1" x14ac:dyDescent="0.25">
      <c r="A73" s="196"/>
    </row>
    <row r="74" spans="1:1" x14ac:dyDescent="0.25">
      <c r="A74" s="196"/>
    </row>
    <row r="75" spans="1:1" x14ac:dyDescent="0.25">
      <c r="A75" s="196"/>
    </row>
    <row r="76" spans="1:1" x14ac:dyDescent="0.25">
      <c r="A76" s="196"/>
    </row>
    <row r="77" spans="1:1" x14ac:dyDescent="0.25">
      <c r="A77" s="196"/>
    </row>
    <row r="78" spans="1:1" x14ac:dyDescent="0.25">
      <c r="A78" s="196"/>
    </row>
    <row r="79" spans="1:1" x14ac:dyDescent="0.25">
      <c r="A79" s="196"/>
    </row>
    <row r="80" spans="1:1" x14ac:dyDescent="0.25">
      <c r="A80" s="196"/>
    </row>
    <row r="81" spans="1:1" x14ac:dyDescent="0.25">
      <c r="A81" s="196"/>
    </row>
    <row r="82" spans="1:1" x14ac:dyDescent="0.25">
      <c r="A82" s="196"/>
    </row>
    <row r="83" spans="1:1" x14ac:dyDescent="0.25">
      <c r="A83" s="196"/>
    </row>
    <row r="84" spans="1:1" x14ac:dyDescent="0.25">
      <c r="A84" s="196"/>
    </row>
    <row r="85" spans="1:1" x14ac:dyDescent="0.25">
      <c r="A85" s="196"/>
    </row>
    <row r="86" spans="1:1" x14ac:dyDescent="0.25">
      <c r="A86" s="196"/>
    </row>
    <row r="87" spans="1:1" x14ac:dyDescent="0.25">
      <c r="A87" s="196"/>
    </row>
    <row r="88" spans="1:1" x14ac:dyDescent="0.25">
      <c r="A88" s="196"/>
    </row>
    <row r="89" spans="1:1" x14ac:dyDescent="0.25">
      <c r="A89" s="196"/>
    </row>
    <row r="90" spans="1:1" x14ac:dyDescent="0.25">
      <c r="A90" s="196"/>
    </row>
    <row r="91" spans="1:1" x14ac:dyDescent="0.25">
      <c r="A91" s="196"/>
    </row>
    <row r="92" spans="1:1" x14ac:dyDescent="0.25">
      <c r="A92" s="196"/>
    </row>
    <row r="93" spans="1:1" x14ac:dyDescent="0.25">
      <c r="A93" s="196"/>
    </row>
    <row r="94" spans="1:1" x14ac:dyDescent="0.25">
      <c r="A94" s="196"/>
    </row>
    <row r="95" spans="1:1" x14ac:dyDescent="0.25">
      <c r="A95" s="196"/>
    </row>
    <row r="96" spans="1:1" x14ac:dyDescent="0.25">
      <c r="A96" s="196"/>
    </row>
    <row r="97" spans="1:1" x14ac:dyDescent="0.25">
      <c r="A97" s="196"/>
    </row>
    <row r="98" spans="1:1" x14ac:dyDescent="0.25">
      <c r="A98" s="196"/>
    </row>
    <row r="99" spans="1:1" x14ac:dyDescent="0.25">
      <c r="A99" s="196"/>
    </row>
    <row r="100" spans="1:1" x14ac:dyDescent="0.25">
      <c r="A100" s="196"/>
    </row>
    <row r="101" spans="1:1" x14ac:dyDescent="0.25">
      <c r="A101" s="196"/>
    </row>
    <row r="102" spans="1:1" x14ac:dyDescent="0.25">
      <c r="A102" s="196"/>
    </row>
    <row r="103" spans="1:1" x14ac:dyDescent="0.25">
      <c r="A103" s="196"/>
    </row>
    <row r="104" spans="1:1" x14ac:dyDescent="0.25">
      <c r="A104" s="196"/>
    </row>
    <row r="105" spans="1:1" x14ac:dyDescent="0.25">
      <c r="A105" s="196"/>
    </row>
    <row r="106" spans="1:1" x14ac:dyDescent="0.25">
      <c r="A106" s="196"/>
    </row>
    <row r="107" spans="1:1" x14ac:dyDescent="0.25">
      <c r="A107" s="196"/>
    </row>
    <row r="108" spans="1:1" x14ac:dyDescent="0.25">
      <c r="A108" s="196"/>
    </row>
    <row r="109" spans="1:1" x14ac:dyDescent="0.25">
      <c r="A109" s="196"/>
    </row>
    <row r="110" spans="1:1" x14ac:dyDescent="0.25">
      <c r="A110" s="196"/>
    </row>
    <row r="111" spans="1:1" x14ac:dyDescent="0.25">
      <c r="A111" s="196"/>
    </row>
    <row r="112" spans="1:1" x14ac:dyDescent="0.25">
      <c r="A112" s="196"/>
    </row>
    <row r="113" spans="1:1" x14ac:dyDescent="0.25">
      <c r="A113" s="196"/>
    </row>
    <row r="114" spans="1:1" x14ac:dyDescent="0.25">
      <c r="A114" s="196"/>
    </row>
    <row r="115" spans="1:1" x14ac:dyDescent="0.25">
      <c r="A115" s="196"/>
    </row>
    <row r="116" spans="1:1" x14ac:dyDescent="0.25">
      <c r="A116" s="196"/>
    </row>
    <row r="117" spans="1:1" x14ac:dyDescent="0.25">
      <c r="A117" s="196"/>
    </row>
    <row r="118" spans="1:1" x14ac:dyDescent="0.25">
      <c r="A118" s="196"/>
    </row>
    <row r="119" spans="1:1" x14ac:dyDescent="0.25">
      <c r="A119" s="196"/>
    </row>
    <row r="120" spans="1:1" x14ac:dyDescent="0.25">
      <c r="A120" s="196"/>
    </row>
    <row r="121" spans="1:1" x14ac:dyDescent="0.25">
      <c r="A121" s="196"/>
    </row>
    <row r="122" spans="1:1" x14ac:dyDescent="0.25">
      <c r="A122" s="196"/>
    </row>
    <row r="123" spans="1:1" x14ac:dyDescent="0.25">
      <c r="A123" s="196"/>
    </row>
    <row r="124" spans="1:1" x14ac:dyDescent="0.25">
      <c r="A124" s="196"/>
    </row>
    <row r="125" spans="1:1" x14ac:dyDescent="0.25">
      <c r="A125" s="196"/>
    </row>
    <row r="126" spans="1:1" x14ac:dyDescent="0.25">
      <c r="A126" s="196"/>
    </row>
    <row r="127" spans="1:1" x14ac:dyDescent="0.25">
      <c r="A127" s="196"/>
    </row>
    <row r="128" spans="1:1" x14ac:dyDescent="0.25">
      <c r="A128" s="196"/>
    </row>
    <row r="129" spans="1:1" x14ac:dyDescent="0.25">
      <c r="A129" s="196"/>
    </row>
    <row r="130" spans="1:1" x14ac:dyDescent="0.25">
      <c r="A130" s="196"/>
    </row>
    <row r="131" spans="1:1" x14ac:dyDescent="0.25">
      <c r="A131" s="196"/>
    </row>
    <row r="132" spans="1:1" x14ac:dyDescent="0.25">
      <c r="A132" s="196"/>
    </row>
    <row r="133" spans="1:1" x14ac:dyDescent="0.25">
      <c r="A133" s="196"/>
    </row>
    <row r="134" spans="1:1" x14ac:dyDescent="0.25">
      <c r="A134" s="196"/>
    </row>
    <row r="135" spans="1:1" x14ac:dyDescent="0.25">
      <c r="A135" s="196"/>
    </row>
    <row r="136" spans="1:1" x14ac:dyDescent="0.25">
      <c r="A136" s="196"/>
    </row>
    <row r="137" spans="1:1" x14ac:dyDescent="0.25">
      <c r="A137" s="196"/>
    </row>
    <row r="138" spans="1:1" x14ac:dyDescent="0.25">
      <c r="A138" s="196"/>
    </row>
    <row r="139" spans="1:1" x14ac:dyDescent="0.25">
      <c r="A139" s="196"/>
    </row>
    <row r="140" spans="1:1" x14ac:dyDescent="0.25">
      <c r="A140" s="196"/>
    </row>
    <row r="141" spans="1:1" x14ac:dyDescent="0.25">
      <c r="A141" s="196"/>
    </row>
    <row r="142" spans="1:1" x14ac:dyDescent="0.25">
      <c r="A142" s="196"/>
    </row>
    <row r="143" spans="1:1" x14ac:dyDescent="0.25">
      <c r="A143" s="196"/>
    </row>
    <row r="144" spans="1:1" x14ac:dyDescent="0.25">
      <c r="A144" s="196"/>
    </row>
    <row r="145" spans="1:1" x14ac:dyDescent="0.25">
      <c r="A145" s="196"/>
    </row>
    <row r="146" spans="1:1" x14ac:dyDescent="0.25">
      <c r="A146" s="196"/>
    </row>
    <row r="147" spans="1:1" x14ac:dyDescent="0.25">
      <c r="A147" s="196"/>
    </row>
    <row r="148" spans="1:1" x14ac:dyDescent="0.25">
      <c r="A148" s="196"/>
    </row>
    <row r="149" spans="1:1" x14ac:dyDescent="0.25">
      <c r="A149" s="196"/>
    </row>
    <row r="150" spans="1:1" x14ac:dyDescent="0.25">
      <c r="A150" s="196"/>
    </row>
    <row r="151" spans="1:1" x14ac:dyDescent="0.25">
      <c r="A151" s="196"/>
    </row>
    <row r="152" spans="1:1" x14ac:dyDescent="0.25">
      <c r="A152" s="196"/>
    </row>
    <row r="153" spans="1:1" x14ac:dyDescent="0.25">
      <c r="A153" s="196"/>
    </row>
    <row r="154" spans="1:1" x14ac:dyDescent="0.25">
      <c r="A154" s="196"/>
    </row>
    <row r="155" spans="1:1" x14ac:dyDescent="0.25">
      <c r="A155" s="196"/>
    </row>
    <row r="156" spans="1:1" x14ac:dyDescent="0.25">
      <c r="A156" s="196"/>
    </row>
    <row r="157" spans="1:1" x14ac:dyDescent="0.25">
      <c r="A157" s="196"/>
    </row>
    <row r="158" spans="1:1" x14ac:dyDescent="0.25">
      <c r="A158" s="196"/>
    </row>
    <row r="159" spans="1:1" x14ac:dyDescent="0.25">
      <c r="A159" s="196"/>
    </row>
    <row r="160" spans="1:1" x14ac:dyDescent="0.25">
      <c r="A160" s="196"/>
    </row>
    <row r="161" spans="1:1" x14ac:dyDescent="0.25">
      <c r="A161" s="196"/>
    </row>
    <row r="162" spans="1:1" x14ac:dyDescent="0.25">
      <c r="A162" s="196"/>
    </row>
    <row r="163" spans="1:1" x14ac:dyDescent="0.25">
      <c r="A163" s="196"/>
    </row>
    <row r="164" spans="1:1" x14ac:dyDescent="0.25">
      <c r="A164" s="196"/>
    </row>
    <row r="165" spans="1:1" x14ac:dyDescent="0.25">
      <c r="A165" s="196"/>
    </row>
    <row r="166" spans="1:1" x14ac:dyDescent="0.25">
      <c r="A166" s="196"/>
    </row>
    <row r="167" spans="1:1" x14ac:dyDescent="0.25">
      <c r="A167" s="196"/>
    </row>
    <row r="168" spans="1:1" x14ac:dyDescent="0.25">
      <c r="A168" s="196"/>
    </row>
    <row r="169" spans="1:1" x14ac:dyDescent="0.25">
      <c r="A169" s="196"/>
    </row>
    <row r="170" spans="1:1" x14ac:dyDescent="0.25">
      <c r="A170" s="196"/>
    </row>
    <row r="171" spans="1:1" x14ac:dyDescent="0.25">
      <c r="A171" s="196"/>
    </row>
    <row r="172" spans="1:1" x14ac:dyDescent="0.25">
      <c r="A172" s="196"/>
    </row>
    <row r="173" spans="1:1" x14ac:dyDescent="0.25">
      <c r="A173" s="196"/>
    </row>
    <row r="174" spans="1:1" x14ac:dyDescent="0.25">
      <c r="A174" s="196"/>
    </row>
    <row r="175" spans="1:1" x14ac:dyDescent="0.25">
      <c r="A175" s="196"/>
    </row>
    <row r="176" spans="1:1" x14ac:dyDescent="0.25">
      <c r="A176" s="196"/>
    </row>
    <row r="177" spans="1:1" x14ac:dyDescent="0.25">
      <c r="A177" s="196"/>
    </row>
    <row r="178" spans="1:1" x14ac:dyDescent="0.25">
      <c r="A178" s="196"/>
    </row>
    <row r="179" spans="1:1" x14ac:dyDescent="0.25">
      <c r="A179" s="196"/>
    </row>
    <row r="180" spans="1:1" x14ac:dyDescent="0.25">
      <c r="A180" s="196"/>
    </row>
    <row r="181" spans="1:1" x14ac:dyDescent="0.25">
      <c r="A181" s="196"/>
    </row>
    <row r="182" spans="1:1" x14ac:dyDescent="0.25">
      <c r="A182" s="196"/>
    </row>
    <row r="183" spans="1:1" x14ac:dyDescent="0.25">
      <c r="A183" s="196"/>
    </row>
    <row r="184" spans="1:1" x14ac:dyDescent="0.25">
      <c r="A184" s="196"/>
    </row>
    <row r="185" spans="1:1" x14ac:dyDescent="0.25">
      <c r="A185" s="196"/>
    </row>
    <row r="186" spans="1:1" x14ac:dyDescent="0.25">
      <c r="A186" s="196"/>
    </row>
    <row r="187" spans="1:1" x14ac:dyDescent="0.25">
      <c r="A187" s="196"/>
    </row>
    <row r="188" spans="1:1" x14ac:dyDescent="0.25">
      <c r="A188" s="196"/>
    </row>
    <row r="189" spans="1:1" x14ac:dyDescent="0.25">
      <c r="A189" s="196"/>
    </row>
    <row r="190" spans="1:1" x14ac:dyDescent="0.25">
      <c r="A190" s="196"/>
    </row>
    <row r="191" spans="1:1" x14ac:dyDescent="0.25">
      <c r="A191" s="196"/>
    </row>
    <row r="192" spans="1:1" x14ac:dyDescent="0.25">
      <c r="A192" s="196"/>
    </row>
    <row r="193" spans="1:1" x14ac:dyDescent="0.25">
      <c r="A193" s="196"/>
    </row>
    <row r="194" spans="1:1" x14ac:dyDescent="0.25">
      <c r="A194" s="196"/>
    </row>
    <row r="195" spans="1:1" x14ac:dyDescent="0.25">
      <c r="A195" s="196"/>
    </row>
    <row r="196" spans="1:1" x14ac:dyDescent="0.25">
      <c r="A196" s="196"/>
    </row>
    <row r="197" spans="1:1" x14ac:dyDescent="0.25">
      <c r="A197" s="196"/>
    </row>
    <row r="198" spans="1:1" x14ac:dyDescent="0.25">
      <c r="A198" s="196"/>
    </row>
    <row r="199" spans="1:1" x14ac:dyDescent="0.25">
      <c r="A199" s="196"/>
    </row>
    <row r="200" spans="1:1" x14ac:dyDescent="0.25">
      <c r="A200" s="196"/>
    </row>
    <row r="201" spans="1:1" x14ac:dyDescent="0.25">
      <c r="A201" s="196"/>
    </row>
    <row r="202" spans="1:1" x14ac:dyDescent="0.25">
      <c r="A202" s="196"/>
    </row>
    <row r="203" spans="1:1" x14ac:dyDescent="0.25">
      <c r="A203" s="196"/>
    </row>
    <row r="204" spans="1:1" x14ac:dyDescent="0.25">
      <c r="A204" s="196"/>
    </row>
    <row r="205" spans="1:1" x14ac:dyDescent="0.25">
      <c r="A205" s="196"/>
    </row>
    <row r="206" spans="1:1" x14ac:dyDescent="0.25">
      <c r="A206" s="196"/>
    </row>
    <row r="207" spans="1:1" x14ac:dyDescent="0.25">
      <c r="A207" s="196"/>
    </row>
    <row r="208" spans="1:1" x14ac:dyDescent="0.25">
      <c r="A208" s="196"/>
    </row>
    <row r="209" spans="1:1" x14ac:dyDescent="0.25">
      <c r="A209" s="196"/>
    </row>
    <row r="210" spans="1:1" x14ac:dyDescent="0.25">
      <c r="A210" s="196"/>
    </row>
    <row r="211" spans="1:1" x14ac:dyDescent="0.25">
      <c r="A211" s="196"/>
    </row>
    <row r="212" spans="1:1" x14ac:dyDescent="0.25">
      <c r="A212" s="196"/>
    </row>
    <row r="213" spans="1:1" x14ac:dyDescent="0.25">
      <c r="A213" s="196"/>
    </row>
    <row r="214" spans="1:1" x14ac:dyDescent="0.25">
      <c r="A214" s="196"/>
    </row>
    <row r="215" spans="1:1" x14ac:dyDescent="0.25">
      <c r="A215" s="196"/>
    </row>
    <row r="216" spans="1:1" x14ac:dyDescent="0.25">
      <c r="A216" s="196"/>
    </row>
    <row r="217" spans="1:1" x14ac:dyDescent="0.25">
      <c r="A217" s="196"/>
    </row>
    <row r="218" spans="1:1" x14ac:dyDescent="0.25">
      <c r="A218" s="196"/>
    </row>
    <row r="219" spans="1:1" x14ac:dyDescent="0.25">
      <c r="A219" s="196"/>
    </row>
    <row r="220" spans="1:1" x14ac:dyDescent="0.25">
      <c r="A220" s="196"/>
    </row>
    <row r="221" spans="1:1" x14ac:dyDescent="0.25">
      <c r="A221" s="196"/>
    </row>
    <row r="222" spans="1:1" x14ac:dyDescent="0.25">
      <c r="A222" s="196"/>
    </row>
    <row r="223" spans="1:1" x14ac:dyDescent="0.25">
      <c r="A223" s="196"/>
    </row>
    <row r="224" spans="1:1" x14ac:dyDescent="0.25">
      <c r="A224" s="196"/>
    </row>
    <row r="225" spans="1:1" x14ac:dyDescent="0.25">
      <c r="A225" s="196"/>
    </row>
    <row r="226" spans="1:1" x14ac:dyDescent="0.25">
      <c r="A226" s="196"/>
    </row>
    <row r="227" spans="1:1" x14ac:dyDescent="0.25">
      <c r="A227" s="196"/>
    </row>
    <row r="228" spans="1:1" x14ac:dyDescent="0.25">
      <c r="A228" s="196"/>
    </row>
    <row r="229" spans="1:1" x14ac:dyDescent="0.25">
      <c r="A229" s="196"/>
    </row>
    <row r="230" spans="1:1" x14ac:dyDescent="0.25">
      <c r="A230" s="196"/>
    </row>
    <row r="231" spans="1:1" x14ac:dyDescent="0.25">
      <c r="A231" s="196"/>
    </row>
    <row r="232" spans="1:1" x14ac:dyDescent="0.25">
      <c r="A232" s="196"/>
    </row>
    <row r="233" spans="1:1" x14ac:dyDescent="0.25">
      <c r="A233" s="196"/>
    </row>
    <row r="234" spans="1:1" x14ac:dyDescent="0.25">
      <c r="A234" s="196"/>
    </row>
    <row r="235" spans="1:1" x14ac:dyDescent="0.25">
      <c r="A235" s="196"/>
    </row>
    <row r="236" spans="1:1" x14ac:dyDescent="0.25">
      <c r="A236" s="196"/>
    </row>
    <row r="237" spans="1:1" x14ac:dyDescent="0.25">
      <c r="A237" s="196"/>
    </row>
    <row r="238" spans="1:1" x14ac:dyDescent="0.25">
      <c r="A238" s="196"/>
    </row>
    <row r="239" spans="1:1" x14ac:dyDescent="0.25">
      <c r="A239" s="196"/>
    </row>
    <row r="240" spans="1:1" x14ac:dyDescent="0.25">
      <c r="A240" s="196"/>
    </row>
    <row r="241" spans="1:1" x14ac:dyDescent="0.25">
      <c r="A241" s="196"/>
    </row>
    <row r="242" spans="1:1" x14ac:dyDescent="0.25">
      <c r="A242" s="196"/>
    </row>
    <row r="243" spans="1:1" x14ac:dyDescent="0.25">
      <c r="A243" s="196"/>
    </row>
    <row r="244" spans="1:1" x14ac:dyDescent="0.25">
      <c r="A244" s="196"/>
    </row>
    <row r="245" spans="1:1" x14ac:dyDescent="0.25">
      <c r="A245" s="196"/>
    </row>
    <row r="246" spans="1:1" x14ac:dyDescent="0.25">
      <c r="A246" s="196"/>
    </row>
    <row r="247" spans="1:1" x14ac:dyDescent="0.25">
      <c r="A247" s="196"/>
    </row>
    <row r="248" spans="1:1" x14ac:dyDescent="0.25">
      <c r="A248" s="196"/>
    </row>
    <row r="249" spans="1:1" x14ac:dyDescent="0.25">
      <c r="A249" s="196"/>
    </row>
    <row r="250" spans="1:1" x14ac:dyDescent="0.25">
      <c r="A250" s="196"/>
    </row>
    <row r="251" spans="1:1" x14ac:dyDescent="0.25">
      <c r="A251" s="196"/>
    </row>
    <row r="252" spans="1:1" x14ac:dyDescent="0.25">
      <c r="A252" s="196"/>
    </row>
    <row r="253" spans="1:1" x14ac:dyDescent="0.25">
      <c r="A253" s="196"/>
    </row>
    <row r="254" spans="1:1" x14ac:dyDescent="0.25">
      <c r="A254" s="196"/>
    </row>
    <row r="255" spans="1:1" x14ac:dyDescent="0.25">
      <c r="A255" s="196"/>
    </row>
    <row r="256" spans="1:1" x14ac:dyDescent="0.25">
      <c r="A256" s="196"/>
    </row>
    <row r="257" spans="1:1" x14ac:dyDescent="0.25">
      <c r="A257" s="196"/>
    </row>
    <row r="258" spans="1:1" x14ac:dyDescent="0.25">
      <c r="A258" s="196"/>
    </row>
    <row r="259" spans="1:1" x14ac:dyDescent="0.25">
      <c r="A259" s="196"/>
    </row>
    <row r="260" spans="1:1" x14ac:dyDescent="0.25">
      <c r="A260" s="196"/>
    </row>
    <row r="261" spans="1:1" x14ac:dyDescent="0.25">
      <c r="A261" s="196"/>
    </row>
    <row r="262" spans="1:1" x14ac:dyDescent="0.25">
      <c r="A262" s="196"/>
    </row>
    <row r="263" spans="1:1" x14ac:dyDescent="0.25">
      <c r="A263" s="196"/>
    </row>
    <row r="264" spans="1:1" x14ac:dyDescent="0.25">
      <c r="A264" s="196"/>
    </row>
    <row r="265" spans="1:1" x14ac:dyDescent="0.25">
      <c r="A265" s="196"/>
    </row>
    <row r="266" spans="1:1" x14ac:dyDescent="0.25">
      <c r="A266" s="196"/>
    </row>
    <row r="267" spans="1:1" x14ac:dyDescent="0.25">
      <c r="A267" s="196"/>
    </row>
    <row r="268" spans="1:1" x14ac:dyDescent="0.25">
      <c r="A268" s="196"/>
    </row>
    <row r="269" spans="1:1" x14ac:dyDescent="0.25">
      <c r="A269" s="196"/>
    </row>
    <row r="270" spans="1:1" x14ac:dyDescent="0.25">
      <c r="A270" s="196"/>
    </row>
    <row r="271" spans="1:1" x14ac:dyDescent="0.25">
      <c r="A271" s="196"/>
    </row>
    <row r="272" spans="1:1" x14ac:dyDescent="0.25">
      <c r="A272" s="196"/>
    </row>
    <row r="273" spans="1:1" x14ac:dyDescent="0.25">
      <c r="A273" s="196"/>
    </row>
    <row r="274" spans="1:1" x14ac:dyDescent="0.25">
      <c r="A274" s="196"/>
    </row>
    <row r="275" spans="1:1" x14ac:dyDescent="0.25">
      <c r="A275" s="196"/>
    </row>
    <row r="276" spans="1:1" x14ac:dyDescent="0.25">
      <c r="A276" s="196"/>
    </row>
    <row r="277" spans="1:1" x14ac:dyDescent="0.25">
      <c r="A277" s="196"/>
    </row>
    <row r="278" spans="1:1" x14ac:dyDescent="0.25">
      <c r="A278" s="196"/>
    </row>
    <row r="279" spans="1:1" x14ac:dyDescent="0.25">
      <c r="A279" s="196"/>
    </row>
    <row r="280" spans="1:1" x14ac:dyDescent="0.25">
      <c r="A280" s="196"/>
    </row>
    <row r="281" spans="1:1" x14ac:dyDescent="0.25">
      <c r="A281" s="196"/>
    </row>
    <row r="282" spans="1:1" x14ac:dyDescent="0.25">
      <c r="A282" s="196"/>
    </row>
    <row r="283" spans="1:1" x14ac:dyDescent="0.25">
      <c r="A283" s="196"/>
    </row>
    <row r="284" spans="1:1" x14ac:dyDescent="0.25">
      <c r="A284" s="196"/>
    </row>
    <row r="285" spans="1:1" x14ac:dyDescent="0.25">
      <c r="A285" s="196"/>
    </row>
    <row r="286" spans="1:1" x14ac:dyDescent="0.25">
      <c r="A286" s="196"/>
    </row>
    <row r="287" spans="1:1" x14ac:dyDescent="0.25">
      <c r="A287" s="196"/>
    </row>
    <row r="288" spans="1:1" x14ac:dyDescent="0.25">
      <c r="A288" s="196"/>
    </row>
    <row r="289" spans="1:1" x14ac:dyDescent="0.25">
      <c r="A289" s="196"/>
    </row>
    <row r="290" spans="1:1" x14ac:dyDescent="0.25">
      <c r="A290" s="196"/>
    </row>
    <row r="291" spans="1:1" x14ac:dyDescent="0.25">
      <c r="A291" s="196"/>
    </row>
    <row r="292" spans="1:1" x14ac:dyDescent="0.25">
      <c r="A292" s="196"/>
    </row>
    <row r="293" spans="1:1" x14ac:dyDescent="0.25">
      <c r="A293" s="196"/>
    </row>
    <row r="294" spans="1:1" x14ac:dyDescent="0.25">
      <c r="A294" s="196"/>
    </row>
    <row r="295" spans="1:1" x14ac:dyDescent="0.25">
      <c r="A295" s="196"/>
    </row>
    <row r="296" spans="1:1" x14ac:dyDescent="0.25">
      <c r="A296" s="196"/>
    </row>
    <row r="297" spans="1:1" x14ac:dyDescent="0.25">
      <c r="A297" s="196"/>
    </row>
    <row r="298" spans="1:1" x14ac:dyDescent="0.25">
      <c r="A298" s="196"/>
    </row>
    <row r="299" spans="1:1" x14ac:dyDescent="0.25">
      <c r="A299" s="196"/>
    </row>
    <row r="300" spans="1:1" x14ac:dyDescent="0.25">
      <c r="A300" s="196"/>
    </row>
    <row r="301" spans="1:1" x14ac:dyDescent="0.25">
      <c r="A301" s="196"/>
    </row>
    <row r="302" spans="1:1" x14ac:dyDescent="0.25">
      <c r="A302" s="196"/>
    </row>
    <row r="303" spans="1:1" x14ac:dyDescent="0.25">
      <c r="A303" s="196"/>
    </row>
    <row r="304" spans="1:1" x14ac:dyDescent="0.25">
      <c r="A304" s="196"/>
    </row>
    <row r="305" spans="1:1" x14ac:dyDescent="0.25">
      <c r="A305" s="196"/>
    </row>
    <row r="306" spans="1:1" x14ac:dyDescent="0.25">
      <c r="A306" s="196"/>
    </row>
    <row r="307" spans="1:1" x14ac:dyDescent="0.25">
      <c r="A307" s="196"/>
    </row>
    <row r="308" spans="1:1" x14ac:dyDescent="0.25">
      <c r="A308" s="196"/>
    </row>
    <row r="309" spans="1:1" x14ac:dyDescent="0.25">
      <c r="A309" s="196"/>
    </row>
    <row r="310" spans="1:1" x14ac:dyDescent="0.25">
      <c r="A310" s="196"/>
    </row>
    <row r="311" spans="1:1" x14ac:dyDescent="0.25">
      <c r="A311" s="196"/>
    </row>
    <row r="312" spans="1:1" x14ac:dyDescent="0.25">
      <c r="A312" s="196"/>
    </row>
    <row r="313" spans="1:1" x14ac:dyDescent="0.25">
      <c r="A313" s="196"/>
    </row>
    <row r="314" spans="1:1" x14ac:dyDescent="0.25">
      <c r="A314" s="196"/>
    </row>
    <row r="315" spans="1:1" x14ac:dyDescent="0.25">
      <c r="A315" s="196"/>
    </row>
    <row r="316" spans="1:1" x14ac:dyDescent="0.25">
      <c r="A316" s="196"/>
    </row>
    <row r="317" spans="1:1" x14ac:dyDescent="0.25">
      <c r="A317" s="196"/>
    </row>
    <row r="318" spans="1:1" x14ac:dyDescent="0.25">
      <c r="A318" s="196"/>
    </row>
    <row r="319" spans="1:1" x14ac:dyDescent="0.25">
      <c r="A319" s="196"/>
    </row>
    <row r="320" spans="1:1" x14ac:dyDescent="0.25">
      <c r="A320" s="196"/>
    </row>
    <row r="321" spans="1:1" x14ac:dyDescent="0.25">
      <c r="A321" s="196"/>
    </row>
    <row r="322" spans="1:1" x14ac:dyDescent="0.25">
      <c r="A322" s="196"/>
    </row>
    <row r="323" spans="1:1" x14ac:dyDescent="0.25">
      <c r="A323" s="196"/>
    </row>
    <row r="324" spans="1:1" x14ac:dyDescent="0.25">
      <c r="A324" s="196"/>
    </row>
    <row r="325" spans="1:1" x14ac:dyDescent="0.25">
      <c r="A325" s="196"/>
    </row>
    <row r="326" spans="1:1" x14ac:dyDescent="0.25">
      <c r="A326" s="196"/>
    </row>
    <row r="327" spans="1:1" x14ac:dyDescent="0.25">
      <c r="A327" s="196"/>
    </row>
    <row r="328" spans="1:1" x14ac:dyDescent="0.25">
      <c r="A328" s="196"/>
    </row>
    <row r="329" spans="1:1" x14ac:dyDescent="0.25">
      <c r="A329" s="196"/>
    </row>
    <row r="330" spans="1:1" x14ac:dyDescent="0.25">
      <c r="A330" s="196"/>
    </row>
    <row r="331" spans="1:1" x14ac:dyDescent="0.25">
      <c r="A331" s="196"/>
    </row>
    <row r="332" spans="1:1" x14ac:dyDescent="0.25">
      <c r="A332" s="196"/>
    </row>
    <row r="333" spans="1:1" x14ac:dyDescent="0.25">
      <c r="A333" s="196"/>
    </row>
    <row r="334" spans="1:1" x14ac:dyDescent="0.25">
      <c r="A334" s="196"/>
    </row>
    <row r="335" spans="1:1" x14ac:dyDescent="0.25">
      <c r="A335" s="196"/>
    </row>
    <row r="336" spans="1:1" x14ac:dyDescent="0.25">
      <c r="A336" s="196"/>
    </row>
    <row r="337" spans="1:1" x14ac:dyDescent="0.25">
      <c r="A337" s="196"/>
    </row>
    <row r="338" spans="1:1" x14ac:dyDescent="0.25">
      <c r="A338" s="196"/>
    </row>
    <row r="339" spans="1:1" x14ac:dyDescent="0.25">
      <c r="A339" s="196"/>
    </row>
    <row r="340" spans="1:1" x14ac:dyDescent="0.25">
      <c r="A340" s="196"/>
    </row>
    <row r="341" spans="1:1" x14ac:dyDescent="0.25">
      <c r="A341" s="196"/>
    </row>
    <row r="342" spans="1:1" x14ac:dyDescent="0.25">
      <c r="A342" s="196"/>
    </row>
    <row r="343" spans="1:1" x14ac:dyDescent="0.25">
      <c r="A343" s="196"/>
    </row>
    <row r="344" spans="1:1" x14ac:dyDescent="0.25">
      <c r="A344" s="196"/>
    </row>
    <row r="345" spans="1:1" x14ac:dyDescent="0.25">
      <c r="A345" s="196"/>
    </row>
    <row r="346" spans="1:1" x14ac:dyDescent="0.25">
      <c r="A346" s="196"/>
    </row>
    <row r="347" spans="1:1" x14ac:dyDescent="0.25">
      <c r="A347" s="196"/>
    </row>
    <row r="348" spans="1:1" x14ac:dyDescent="0.25">
      <c r="A348" s="196"/>
    </row>
    <row r="349" spans="1:1" x14ac:dyDescent="0.25">
      <c r="A349" s="196"/>
    </row>
    <row r="350" spans="1:1" x14ac:dyDescent="0.25">
      <c r="A350" s="196"/>
    </row>
    <row r="351" spans="1:1" x14ac:dyDescent="0.25">
      <c r="A351" s="196"/>
    </row>
    <row r="352" spans="1:1" x14ac:dyDescent="0.25">
      <c r="A352" s="196"/>
    </row>
    <row r="353" spans="1:1" x14ac:dyDescent="0.25">
      <c r="A353" s="196"/>
    </row>
    <row r="354" spans="1:1" x14ac:dyDescent="0.25">
      <c r="A354" s="196"/>
    </row>
    <row r="355" spans="1:1" x14ac:dyDescent="0.25">
      <c r="A355" s="196"/>
    </row>
    <row r="356" spans="1:1" x14ac:dyDescent="0.25">
      <c r="A356" s="196"/>
    </row>
    <row r="357" spans="1:1" x14ac:dyDescent="0.25">
      <c r="A357" s="196"/>
    </row>
    <row r="358" spans="1:1" x14ac:dyDescent="0.25">
      <c r="A358" s="196"/>
    </row>
    <row r="359" spans="1:1" x14ac:dyDescent="0.25">
      <c r="A359" s="196"/>
    </row>
    <row r="360" spans="1:1" x14ac:dyDescent="0.25">
      <c r="A360" s="196"/>
    </row>
    <row r="361" spans="1:1" x14ac:dyDescent="0.25">
      <c r="A361" s="196"/>
    </row>
    <row r="362" spans="1:1" x14ac:dyDescent="0.25">
      <c r="A362" s="196"/>
    </row>
    <row r="363" spans="1:1" x14ac:dyDescent="0.25">
      <c r="A363" s="196"/>
    </row>
    <row r="364" spans="1:1" x14ac:dyDescent="0.25">
      <c r="A364" s="196"/>
    </row>
    <row r="365" spans="1:1" x14ac:dyDescent="0.25">
      <c r="A365" s="196"/>
    </row>
    <row r="366" spans="1:1" x14ac:dyDescent="0.25">
      <c r="A366" s="196"/>
    </row>
    <row r="367" spans="1:1" x14ac:dyDescent="0.25">
      <c r="A367" s="196"/>
    </row>
    <row r="368" spans="1:1" x14ac:dyDescent="0.25">
      <c r="A368" s="196"/>
    </row>
    <row r="369" spans="1:1" x14ac:dyDescent="0.25">
      <c r="A369" s="196"/>
    </row>
    <row r="370" spans="1:1" x14ac:dyDescent="0.25">
      <c r="A370" s="196"/>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P77"/>
  <sheetViews>
    <sheetView showGridLines="0" zoomScale="90" zoomScaleNormal="90" workbookViewId="0">
      <pane ySplit="2" topLeftCell="A3" activePane="bottomLeft" state="frozen"/>
      <selection pane="bottomLeft" activeCell="N3" sqref="N3:N18"/>
    </sheetView>
  </sheetViews>
  <sheetFormatPr defaultRowHeight="15" x14ac:dyDescent="0.25"/>
  <cols>
    <col min="1" max="1" width="13.42578125" customWidth="1"/>
    <col min="2" max="2" width="17.85546875" customWidth="1"/>
    <col min="3" max="3" width="17.85546875" style="1" customWidth="1"/>
    <col min="4" max="4" width="17.85546875" customWidth="1"/>
    <col min="5" max="5" width="17.85546875" style="1" customWidth="1"/>
    <col min="6" max="6" width="17.85546875" customWidth="1"/>
    <col min="7" max="9" width="17.85546875" style="1" customWidth="1"/>
    <col min="10" max="11" width="17.85546875" customWidth="1"/>
    <col min="12" max="12" width="22.5703125" customWidth="1"/>
    <col min="13" max="13" width="21" customWidth="1"/>
    <col min="14" max="14" width="20.42578125" customWidth="1"/>
    <col min="15" max="15" width="21.28515625" customWidth="1"/>
    <col min="16" max="16" width="15.28515625" customWidth="1"/>
  </cols>
  <sheetData>
    <row r="1" spans="1:16" ht="30.75" customHeight="1" thickBot="1" x14ac:dyDescent="0.3">
      <c r="A1" s="309" t="s">
        <v>58</v>
      </c>
      <c r="B1" s="309"/>
      <c r="C1" s="309"/>
      <c r="D1" s="309"/>
      <c r="E1" s="309"/>
      <c r="F1" s="309"/>
      <c r="G1" s="309"/>
      <c r="H1" s="309"/>
      <c r="I1" s="309"/>
      <c r="J1" s="309"/>
      <c r="K1" s="309"/>
      <c r="L1" s="309"/>
      <c r="M1" s="309"/>
      <c r="N1" s="309"/>
    </row>
    <row r="2" spans="1:16" s="9" customFormat="1" ht="30.75" thickBot="1" x14ac:dyDescent="0.3">
      <c r="A2" s="8"/>
      <c r="B2" s="23" t="s">
        <v>46</v>
      </c>
      <c r="C2" s="8" t="s">
        <v>47</v>
      </c>
      <c r="D2" s="8" t="s">
        <v>48</v>
      </c>
      <c r="E2" s="8" t="s">
        <v>49</v>
      </c>
      <c r="F2" s="8" t="s">
        <v>55</v>
      </c>
      <c r="G2" s="8" t="s">
        <v>56</v>
      </c>
      <c r="H2" s="8" t="s">
        <v>61</v>
      </c>
      <c r="I2" s="8" t="s">
        <v>60</v>
      </c>
      <c r="J2" s="8" t="s">
        <v>62</v>
      </c>
      <c r="K2" s="8" t="s">
        <v>79</v>
      </c>
      <c r="L2" s="8" t="s">
        <v>74</v>
      </c>
      <c r="M2" s="8" t="s">
        <v>57</v>
      </c>
      <c r="N2" s="8" t="s">
        <v>73</v>
      </c>
      <c r="P2" s="10"/>
    </row>
    <row r="3" spans="1:16" ht="15.75" thickBot="1" x14ac:dyDescent="0.3">
      <c r="A3" s="90" t="s">
        <v>12</v>
      </c>
      <c r="B3" s="134"/>
      <c r="C3" s="134"/>
      <c r="D3" s="134"/>
      <c r="E3" s="134"/>
      <c r="F3" s="134"/>
      <c r="G3" s="134"/>
      <c r="H3" s="134"/>
      <c r="I3" s="134"/>
      <c r="J3" s="134"/>
      <c r="K3" s="135">
        <v>0</v>
      </c>
      <c r="L3" s="136"/>
      <c r="M3" s="136"/>
      <c r="N3" s="136"/>
    </row>
    <row r="4" spans="1:16" ht="15.75" thickBot="1" x14ac:dyDescent="0.3">
      <c r="A4" s="91" t="s">
        <v>13</v>
      </c>
      <c r="B4" s="134"/>
      <c r="C4" s="134"/>
      <c r="D4" s="134"/>
      <c r="E4" s="134"/>
      <c r="F4" s="134"/>
      <c r="G4" s="134"/>
      <c r="H4" s="134"/>
      <c r="I4" s="134"/>
      <c r="J4" s="134"/>
      <c r="K4" s="137">
        <v>0</v>
      </c>
      <c r="L4" s="136"/>
      <c r="M4" s="136"/>
      <c r="N4" s="136"/>
    </row>
    <row r="5" spans="1:16" ht="15.75" thickBot="1" x14ac:dyDescent="0.3">
      <c r="A5" s="91" t="s">
        <v>14</v>
      </c>
      <c r="B5" s="134"/>
      <c r="C5" s="134"/>
      <c r="D5" s="134"/>
      <c r="E5" s="134"/>
      <c r="F5" s="134"/>
      <c r="G5" s="134"/>
      <c r="H5" s="134"/>
      <c r="I5" s="134"/>
      <c r="J5" s="134"/>
      <c r="K5" s="137">
        <v>0</v>
      </c>
      <c r="L5" s="136"/>
      <c r="M5" s="136"/>
      <c r="N5" s="136"/>
    </row>
    <row r="6" spans="1:16" ht="15.75" thickBot="1" x14ac:dyDescent="0.3">
      <c r="A6" s="91" t="s">
        <v>220</v>
      </c>
      <c r="B6" s="138"/>
      <c r="C6" s="134"/>
      <c r="D6" s="134"/>
      <c r="E6" s="134"/>
      <c r="F6" s="134"/>
      <c r="G6" s="134"/>
      <c r="H6" s="134"/>
      <c r="I6" s="134"/>
      <c r="J6" s="134"/>
      <c r="K6" s="137">
        <v>0</v>
      </c>
      <c r="L6" s="136"/>
      <c r="M6" s="136"/>
      <c r="N6" s="136"/>
    </row>
    <row r="7" spans="1:16" ht="15.75" thickBot="1" x14ac:dyDescent="0.3">
      <c r="A7" s="63" t="s">
        <v>45</v>
      </c>
      <c r="B7" s="139">
        <f t="shared" ref="B7:N7" si="0">SUM(B3:B6)</f>
        <v>0</v>
      </c>
      <c r="C7" s="64">
        <f>SUM(C3:C6)</f>
        <v>0</v>
      </c>
      <c r="D7" s="64">
        <f t="shared" si="0"/>
        <v>0</v>
      </c>
      <c r="E7" s="64">
        <f t="shared" si="0"/>
        <v>0</v>
      </c>
      <c r="F7" s="64">
        <f t="shared" si="0"/>
        <v>0</v>
      </c>
      <c r="G7" s="64">
        <f t="shared" si="0"/>
        <v>0</v>
      </c>
      <c r="H7" s="64">
        <f t="shared" si="0"/>
        <v>0</v>
      </c>
      <c r="I7" s="64">
        <f t="shared" si="0"/>
        <v>0</v>
      </c>
      <c r="J7" s="64">
        <f t="shared" si="0"/>
        <v>0</v>
      </c>
      <c r="K7" s="64">
        <f t="shared" si="0"/>
        <v>0</v>
      </c>
      <c r="L7" s="64">
        <f>SUM(L3:L6)</f>
        <v>0</v>
      </c>
      <c r="M7" s="64">
        <f t="shared" si="0"/>
        <v>0</v>
      </c>
      <c r="N7" s="64">
        <f t="shared" si="0"/>
        <v>0</v>
      </c>
    </row>
    <row r="8" spans="1:16" ht="15.75" thickBot="1" x14ac:dyDescent="0.3">
      <c r="A8" s="140" t="s">
        <v>24</v>
      </c>
      <c r="B8" s="134"/>
      <c r="C8" s="134"/>
      <c r="D8" s="134"/>
      <c r="E8" s="134"/>
      <c r="F8" s="134"/>
      <c r="G8" s="134"/>
      <c r="H8" s="134"/>
      <c r="I8" s="134"/>
      <c r="J8" s="135">
        <v>0</v>
      </c>
      <c r="K8" s="135">
        <v>0</v>
      </c>
      <c r="L8" s="136"/>
      <c r="M8" s="136"/>
      <c r="N8" s="136"/>
    </row>
    <row r="9" spans="1:16" ht="15.75" thickBot="1" x14ac:dyDescent="0.3">
      <c r="A9" s="141" t="s">
        <v>25</v>
      </c>
      <c r="B9" s="134"/>
      <c r="C9" s="134"/>
      <c r="D9" s="134"/>
      <c r="E9" s="134"/>
      <c r="F9" s="134"/>
      <c r="G9" s="134"/>
      <c r="H9" s="134"/>
      <c r="I9" s="134"/>
      <c r="J9" s="135">
        <v>0</v>
      </c>
      <c r="K9" s="135">
        <v>0</v>
      </c>
      <c r="L9" s="136"/>
      <c r="M9" s="136"/>
      <c r="N9" s="136"/>
    </row>
    <row r="10" spans="1:16" ht="15.75" thickBot="1" x14ac:dyDescent="0.3">
      <c r="A10" s="141" t="s">
        <v>26</v>
      </c>
      <c r="B10" s="134"/>
      <c r="C10" s="134"/>
      <c r="D10" s="134"/>
      <c r="E10" s="134"/>
      <c r="F10" s="134"/>
      <c r="G10" s="134"/>
      <c r="H10" s="134"/>
      <c r="I10" s="134"/>
      <c r="J10" s="135">
        <v>0</v>
      </c>
      <c r="K10" s="135">
        <v>0</v>
      </c>
      <c r="L10" s="136"/>
      <c r="M10" s="136"/>
      <c r="N10" s="136"/>
    </row>
    <row r="11" spans="1:16" ht="15.75" thickBot="1" x14ac:dyDescent="0.3">
      <c r="A11" s="141" t="s">
        <v>169</v>
      </c>
      <c r="B11" s="142"/>
      <c r="C11" s="143"/>
      <c r="D11" s="143"/>
      <c r="E11" s="143"/>
      <c r="F11" s="143"/>
      <c r="G11" s="143"/>
      <c r="H11" s="143"/>
      <c r="I11" s="144"/>
      <c r="J11" s="135">
        <v>0</v>
      </c>
      <c r="K11" s="135">
        <v>0</v>
      </c>
      <c r="L11" s="145"/>
      <c r="M11" s="145"/>
      <c r="N11" s="145"/>
    </row>
    <row r="12" spans="1:16" ht="15.75" thickBot="1" x14ac:dyDescent="0.3">
      <c r="A12" s="141" t="s">
        <v>170</v>
      </c>
      <c r="B12" s="146"/>
      <c r="C12" s="147"/>
      <c r="D12" s="147"/>
      <c r="E12" s="147"/>
      <c r="F12" s="147"/>
      <c r="G12" s="147"/>
      <c r="H12" s="147"/>
      <c r="I12" s="148"/>
      <c r="J12" s="135">
        <v>0</v>
      </c>
      <c r="K12" s="135">
        <v>0</v>
      </c>
      <c r="L12" s="145"/>
      <c r="M12" s="145"/>
      <c r="N12" s="145"/>
    </row>
    <row r="13" spans="1:16" ht="15.75" thickBot="1" x14ac:dyDescent="0.3">
      <c r="A13" s="141" t="s">
        <v>171</v>
      </c>
      <c r="B13" s="146"/>
      <c r="C13" s="147"/>
      <c r="D13" s="147"/>
      <c r="E13" s="147"/>
      <c r="F13" s="147"/>
      <c r="G13" s="147"/>
      <c r="H13" s="147"/>
      <c r="I13" s="148"/>
      <c r="J13" s="135">
        <v>0</v>
      </c>
      <c r="K13" s="135">
        <v>0</v>
      </c>
      <c r="L13" s="145"/>
      <c r="M13" s="145"/>
      <c r="N13" s="145"/>
    </row>
    <row r="14" spans="1:16" ht="15.75" thickBot="1" x14ac:dyDescent="0.3">
      <c r="A14" s="63" t="s">
        <v>45</v>
      </c>
      <c r="B14" s="64">
        <f t="shared" ref="B14:J14" si="1">SUM(B8:B13)</f>
        <v>0</v>
      </c>
      <c r="C14" s="64">
        <f>SUM(C8:C13)</f>
        <v>0</v>
      </c>
      <c r="D14" s="64">
        <f t="shared" si="1"/>
        <v>0</v>
      </c>
      <c r="E14" s="64">
        <f t="shared" si="1"/>
        <v>0</v>
      </c>
      <c r="F14" s="64">
        <f t="shared" si="1"/>
        <v>0</v>
      </c>
      <c r="G14" s="64">
        <f t="shared" si="1"/>
        <v>0</v>
      </c>
      <c r="H14" s="64">
        <f t="shared" si="1"/>
        <v>0</v>
      </c>
      <c r="I14" s="64">
        <f t="shared" si="1"/>
        <v>0</v>
      </c>
      <c r="J14" s="64">
        <f t="shared" si="1"/>
        <v>0</v>
      </c>
      <c r="K14" s="64">
        <v>0</v>
      </c>
      <c r="L14" s="64">
        <f>SUM(L8:L13)</f>
        <v>0</v>
      </c>
      <c r="M14" s="64">
        <f>SUM(M8:M13)</f>
        <v>0</v>
      </c>
      <c r="N14" s="64">
        <f>SUM(N8:N13)</f>
        <v>0</v>
      </c>
    </row>
    <row r="15" spans="1:16" ht="22.5" customHeight="1" thickBot="1" x14ac:dyDescent="0.3">
      <c r="A15" s="12"/>
      <c r="B15" s="132" t="s">
        <v>46</v>
      </c>
      <c r="C15" s="64" t="s">
        <v>186</v>
      </c>
      <c r="D15" s="64" t="s">
        <v>187</v>
      </c>
      <c r="E15" s="64" t="s">
        <v>188</v>
      </c>
      <c r="F15" s="64" t="s">
        <v>189</v>
      </c>
      <c r="G15" s="64" t="s">
        <v>56</v>
      </c>
      <c r="H15" s="64" t="s">
        <v>190</v>
      </c>
      <c r="I15" s="64" t="s">
        <v>60</v>
      </c>
      <c r="J15" s="64"/>
      <c r="K15" s="64"/>
      <c r="L15" s="64" t="s">
        <v>202</v>
      </c>
      <c r="M15" s="64" t="s">
        <v>57</v>
      </c>
      <c r="N15" s="64" t="s">
        <v>239</v>
      </c>
    </row>
    <row r="16" spans="1:16" ht="15.75" thickBot="1" x14ac:dyDescent="0.3">
      <c r="A16" s="140" t="s">
        <v>181</v>
      </c>
      <c r="B16" s="134"/>
      <c r="C16" s="134"/>
      <c r="D16" s="134"/>
      <c r="E16" s="134"/>
      <c r="F16" s="134"/>
      <c r="G16" s="134"/>
      <c r="H16" s="134"/>
      <c r="I16" s="134"/>
      <c r="J16" s="135">
        <v>0</v>
      </c>
      <c r="K16" s="135"/>
      <c r="L16" s="136"/>
      <c r="M16" s="136"/>
      <c r="N16" s="136"/>
    </row>
    <row r="17" spans="1:16" ht="15.75" thickBot="1" x14ac:dyDescent="0.3">
      <c r="A17" s="141" t="s">
        <v>182</v>
      </c>
      <c r="B17" s="134"/>
      <c r="C17" s="134"/>
      <c r="D17" s="134"/>
      <c r="E17" s="134"/>
      <c r="F17" s="134"/>
      <c r="G17" s="134"/>
      <c r="H17" s="134"/>
      <c r="I17" s="134"/>
      <c r="J17" s="135">
        <v>0</v>
      </c>
      <c r="K17" s="135"/>
      <c r="L17" s="145"/>
      <c r="M17" s="145"/>
      <c r="N17" s="145"/>
    </row>
    <row r="18" spans="1:16" ht="15.75" thickBot="1" x14ac:dyDescent="0.3">
      <c r="A18" s="63" t="s">
        <v>45</v>
      </c>
      <c r="B18" s="64"/>
      <c r="C18" s="64"/>
      <c r="D18" s="64"/>
      <c r="E18" s="64"/>
      <c r="F18" s="64"/>
      <c r="G18" s="64"/>
      <c r="H18" s="64"/>
      <c r="I18" s="64"/>
      <c r="J18" s="64">
        <f>SUM(J16:J17)</f>
        <v>0</v>
      </c>
      <c r="K18" s="64">
        <f>SUM(K16:K17)</f>
        <v>0</v>
      </c>
      <c r="L18" s="64"/>
      <c r="M18" s="64"/>
      <c r="N18" s="64"/>
    </row>
    <row r="19" spans="1:16" ht="15.75" thickBot="1" x14ac:dyDescent="0.3">
      <c r="A19" s="63"/>
      <c r="B19" s="132"/>
      <c r="C19" s="79"/>
      <c r="D19" s="79"/>
      <c r="E19" s="133"/>
      <c r="F19" s="79"/>
      <c r="G19" s="132"/>
      <c r="H19" s="79"/>
      <c r="I19" s="64"/>
      <c r="J19" s="64"/>
      <c r="K19" s="132"/>
      <c r="L19" s="64"/>
      <c r="M19" s="80"/>
      <c r="N19" s="64"/>
    </row>
    <row r="20" spans="1:16" ht="15.75" thickBot="1" x14ac:dyDescent="0.3">
      <c r="A20" s="140" t="s">
        <v>183</v>
      </c>
      <c r="B20" s="134"/>
      <c r="C20" s="134"/>
      <c r="D20" s="134"/>
      <c r="E20" s="134"/>
      <c r="F20" s="134"/>
      <c r="G20" s="149"/>
      <c r="H20" s="150"/>
      <c r="I20" s="150"/>
      <c r="J20" s="135">
        <v>0</v>
      </c>
      <c r="K20" s="151"/>
      <c r="L20" s="136"/>
      <c r="M20" s="136"/>
      <c r="N20" s="136"/>
    </row>
    <row r="21" spans="1:16" ht="15.75" thickBot="1" x14ac:dyDescent="0.3">
      <c r="A21" s="85" t="s">
        <v>201</v>
      </c>
      <c r="B21" s="152"/>
      <c r="C21" s="159"/>
      <c r="D21" s="159"/>
      <c r="E21" s="159"/>
      <c r="F21" s="159"/>
      <c r="G21" s="159"/>
      <c r="H21" s="159"/>
      <c r="I21" s="159"/>
      <c r="J21" s="159">
        <f>J7+J14+J18+J20</f>
        <v>0</v>
      </c>
      <c r="K21" s="159">
        <f>K7+K14+K18+K20</f>
        <v>0</v>
      </c>
      <c r="L21" s="152"/>
      <c r="M21" s="152"/>
      <c r="N21" s="152"/>
    </row>
    <row r="22" spans="1:16" ht="30" customHeight="1" thickBot="1" x14ac:dyDescent="0.3">
      <c r="A22" s="153"/>
      <c r="B22" s="313" t="s">
        <v>222</v>
      </c>
      <c r="C22" s="313"/>
      <c r="D22" s="158"/>
      <c r="E22" s="158"/>
      <c r="F22" s="158"/>
      <c r="G22" s="158"/>
      <c r="H22" s="158"/>
      <c r="I22" s="158"/>
      <c r="J22" s="158"/>
      <c r="K22" s="158"/>
      <c r="L22" s="158"/>
      <c r="M22" s="152" t="s">
        <v>8</v>
      </c>
      <c r="N22" s="92">
        <f>N14+N20-G20-B18-C14-N6</f>
        <v>0</v>
      </c>
      <c r="O22" s="62"/>
    </row>
    <row r="23" spans="1:16" ht="28.5" customHeight="1" thickBot="1" x14ac:dyDescent="0.3">
      <c r="A23" s="153"/>
      <c r="B23" s="160"/>
      <c r="C23" s="158"/>
      <c r="D23" s="158"/>
      <c r="E23" s="158"/>
      <c r="F23" s="158"/>
      <c r="G23" s="158"/>
      <c r="H23" s="158"/>
      <c r="I23" s="158"/>
      <c r="J23" s="158"/>
      <c r="K23" s="158"/>
      <c r="L23" s="158"/>
      <c r="M23" s="158"/>
      <c r="N23" s="158"/>
      <c r="O23" s="62"/>
    </row>
    <row r="24" spans="1:16" ht="30.75" thickBot="1" x14ac:dyDescent="0.3">
      <c r="A24" s="12"/>
      <c r="B24" s="13" t="s">
        <v>223</v>
      </c>
      <c r="C24" s="13" t="s">
        <v>221</v>
      </c>
      <c r="D24" s="13" t="s">
        <v>224</v>
      </c>
      <c r="E24" s="13" t="s">
        <v>225</v>
      </c>
      <c r="F24" s="13" t="s">
        <v>226</v>
      </c>
      <c r="G24" s="13" t="s">
        <v>227</v>
      </c>
      <c r="H24" s="13" t="s">
        <v>228</v>
      </c>
      <c r="I24" s="13" t="s">
        <v>229</v>
      </c>
      <c r="J24" s="12" t="s">
        <v>75</v>
      </c>
      <c r="K24" s="12" t="s">
        <v>80</v>
      </c>
      <c r="L24" s="12" t="s">
        <v>77</v>
      </c>
      <c r="M24" s="12" t="s">
        <v>78</v>
      </c>
      <c r="N24" s="12" t="s">
        <v>184</v>
      </c>
      <c r="O24" s="12" t="s">
        <v>185</v>
      </c>
      <c r="P24" s="310" t="s">
        <v>59</v>
      </c>
    </row>
    <row r="25" spans="1:16" x14ac:dyDescent="0.25">
      <c r="A25" s="66" t="s">
        <v>12</v>
      </c>
      <c r="B25" s="67" t="str">
        <f t="shared" ref="B25:J28" si="2">IF($N3="","",IF($N3&lt;&gt;0,B3/$N3,0))</f>
        <v/>
      </c>
      <c r="C25" s="67" t="str">
        <f t="shared" si="2"/>
        <v/>
      </c>
      <c r="D25" s="67" t="str">
        <f t="shared" si="2"/>
        <v/>
      </c>
      <c r="E25" s="67" t="str">
        <f t="shared" si="2"/>
        <v/>
      </c>
      <c r="F25" s="67" t="str">
        <f t="shared" si="2"/>
        <v/>
      </c>
      <c r="G25" s="67" t="str">
        <f t="shared" si="2"/>
        <v/>
      </c>
      <c r="H25" s="67" t="str">
        <f t="shared" si="2"/>
        <v/>
      </c>
      <c r="I25" s="67" t="str">
        <f t="shared" si="2"/>
        <v/>
      </c>
      <c r="J25" s="67" t="str">
        <f t="shared" si="2"/>
        <v/>
      </c>
      <c r="K25" s="68" t="s">
        <v>72</v>
      </c>
      <c r="L25" s="67" t="str">
        <f t="shared" ref="L25:M27" si="3">IF($N3="","",IF($N3&lt;&gt;0,L3/$N3,0))</f>
        <v/>
      </c>
      <c r="M25" s="67" t="str">
        <f t="shared" si="3"/>
        <v/>
      </c>
      <c r="N25" s="67" t="str">
        <f t="shared" ref="N25:N36" si="4">IF($N3="","",IF($N3&lt;&gt;0,(N3-B3)/$N3,0))</f>
        <v/>
      </c>
      <c r="O25" s="67" t="str">
        <f t="shared" ref="O25:O36" si="5">IF(N3="","",IF(N3&lt;&gt;0,(N3-SUM(D3,E3,G3,H3,I3))/N3,0))</f>
        <v/>
      </c>
      <c r="P25" s="311"/>
    </row>
    <row r="26" spans="1:16" x14ac:dyDescent="0.25">
      <c r="A26" s="69" t="s">
        <v>13</v>
      </c>
      <c r="B26" s="67" t="str">
        <f t="shared" si="2"/>
        <v/>
      </c>
      <c r="C26" s="67" t="str">
        <f t="shared" si="2"/>
        <v/>
      </c>
      <c r="D26" s="67" t="str">
        <f t="shared" si="2"/>
        <v/>
      </c>
      <c r="E26" s="67" t="str">
        <f t="shared" si="2"/>
        <v/>
      </c>
      <c r="F26" s="67" t="str">
        <f t="shared" si="2"/>
        <v/>
      </c>
      <c r="G26" s="67" t="str">
        <f t="shared" si="2"/>
        <v/>
      </c>
      <c r="H26" s="67" t="str">
        <f t="shared" si="2"/>
        <v/>
      </c>
      <c r="I26" s="67" t="str">
        <f t="shared" si="2"/>
        <v/>
      </c>
      <c r="J26" s="67" t="str">
        <f t="shared" si="2"/>
        <v/>
      </c>
      <c r="K26" s="68" t="s">
        <v>72</v>
      </c>
      <c r="L26" s="67" t="str">
        <f t="shared" si="3"/>
        <v/>
      </c>
      <c r="M26" s="67" t="str">
        <f t="shared" si="3"/>
        <v/>
      </c>
      <c r="N26" s="67" t="str">
        <f t="shared" si="4"/>
        <v/>
      </c>
      <c r="O26" s="67" t="str">
        <f t="shared" si="5"/>
        <v/>
      </c>
      <c r="P26" s="311"/>
    </row>
    <row r="27" spans="1:16" x14ac:dyDescent="0.25">
      <c r="A27" s="69" t="s">
        <v>14</v>
      </c>
      <c r="B27" s="67" t="str">
        <f t="shared" si="2"/>
        <v/>
      </c>
      <c r="C27" s="67" t="str">
        <f t="shared" si="2"/>
        <v/>
      </c>
      <c r="D27" s="67" t="str">
        <f t="shared" si="2"/>
        <v/>
      </c>
      <c r="E27" s="67" t="str">
        <f t="shared" si="2"/>
        <v/>
      </c>
      <c r="F27" s="67" t="str">
        <f t="shared" si="2"/>
        <v/>
      </c>
      <c r="G27" s="67" t="str">
        <f t="shared" si="2"/>
        <v/>
      </c>
      <c r="H27" s="67" t="str">
        <f t="shared" si="2"/>
        <v/>
      </c>
      <c r="I27" s="67" t="str">
        <f t="shared" si="2"/>
        <v/>
      </c>
      <c r="J27" s="67" t="str">
        <f t="shared" si="2"/>
        <v/>
      </c>
      <c r="K27" s="68" t="s">
        <v>72</v>
      </c>
      <c r="L27" s="67" t="str">
        <f t="shared" si="3"/>
        <v/>
      </c>
      <c r="M27" s="67" t="str">
        <f t="shared" si="3"/>
        <v/>
      </c>
      <c r="N27" s="67" t="str">
        <f t="shared" si="4"/>
        <v/>
      </c>
      <c r="O27" s="67" t="str">
        <f t="shared" si="5"/>
        <v/>
      </c>
      <c r="P27" s="311"/>
    </row>
    <row r="28" spans="1:16" ht="15.75" thickBot="1" x14ac:dyDescent="0.3">
      <c r="A28" s="69" t="s">
        <v>220</v>
      </c>
      <c r="B28" s="67"/>
      <c r="C28" s="67"/>
      <c r="D28" s="67"/>
      <c r="E28" s="67"/>
      <c r="F28" s="67"/>
      <c r="G28" s="67"/>
      <c r="H28" s="67"/>
      <c r="I28" s="67"/>
      <c r="J28" s="67" t="str">
        <f t="shared" si="2"/>
        <v/>
      </c>
      <c r="K28" s="68"/>
      <c r="L28" s="67"/>
      <c r="M28" s="67"/>
      <c r="N28" s="67"/>
      <c r="O28" s="67" t="str">
        <f t="shared" si="5"/>
        <v/>
      </c>
      <c r="P28" s="311"/>
    </row>
    <row r="29" spans="1:16" ht="15.75" thickBot="1" x14ac:dyDescent="0.3">
      <c r="A29" s="70" t="s">
        <v>45</v>
      </c>
      <c r="B29" s="71"/>
      <c r="C29" s="71"/>
      <c r="D29" s="71"/>
      <c r="E29" s="71"/>
      <c r="F29" s="71"/>
      <c r="G29" s="71"/>
      <c r="H29" s="71"/>
      <c r="I29" s="71"/>
      <c r="J29" s="71">
        <f>IF($N7 &lt;&gt; 0, J7/$N7, 0)</f>
        <v>0</v>
      </c>
      <c r="K29" s="72"/>
      <c r="L29" s="71"/>
      <c r="M29" s="71"/>
      <c r="N29" s="71"/>
      <c r="O29" s="71">
        <f t="shared" si="5"/>
        <v>0</v>
      </c>
      <c r="P29" s="311"/>
    </row>
    <row r="30" spans="1:16" x14ac:dyDescent="0.25">
      <c r="A30" s="66" t="s">
        <v>24</v>
      </c>
      <c r="B30" s="67"/>
      <c r="C30" s="67"/>
      <c r="D30" s="67"/>
      <c r="E30" s="67"/>
      <c r="F30" s="67"/>
      <c r="G30" s="67"/>
      <c r="H30" s="67"/>
      <c r="I30" s="67"/>
      <c r="J30" s="68" t="s">
        <v>72</v>
      </c>
      <c r="K30" s="68"/>
      <c r="L30" s="67"/>
      <c r="M30" s="67"/>
      <c r="N30" s="67"/>
      <c r="O30" s="67" t="str">
        <f t="shared" si="5"/>
        <v/>
      </c>
      <c r="P30" s="311"/>
    </row>
    <row r="31" spans="1:16" x14ac:dyDescent="0.25">
      <c r="A31" s="69" t="s">
        <v>25</v>
      </c>
      <c r="B31" s="67" t="str">
        <f t="shared" ref="B31:I35" si="6">IF($N9="","",IF($N9&lt;&gt;0,B9/$N9,0))</f>
        <v/>
      </c>
      <c r="C31" s="67" t="str">
        <f t="shared" si="6"/>
        <v/>
      </c>
      <c r="D31" s="67" t="str">
        <f t="shared" si="6"/>
        <v/>
      </c>
      <c r="E31" s="67" t="str">
        <f t="shared" si="6"/>
        <v/>
      </c>
      <c r="F31" s="67" t="str">
        <f t="shared" si="6"/>
        <v/>
      </c>
      <c r="G31" s="67" t="str">
        <f t="shared" si="6"/>
        <v/>
      </c>
      <c r="H31" s="67" t="str">
        <f t="shared" si="6"/>
        <v/>
      </c>
      <c r="I31" s="67" t="str">
        <f t="shared" si="6"/>
        <v/>
      </c>
      <c r="J31" s="68" t="s">
        <v>72</v>
      </c>
      <c r="K31" s="68" t="s">
        <v>72</v>
      </c>
      <c r="L31" s="67" t="str">
        <f t="shared" ref="L31:M35" si="7">IF($N9="","",IF($N9&lt;&gt;0,L9/$N9,0))</f>
        <v/>
      </c>
      <c r="M31" s="67" t="str">
        <f t="shared" si="7"/>
        <v/>
      </c>
      <c r="N31" s="67" t="str">
        <f t="shared" si="4"/>
        <v/>
      </c>
      <c r="O31" s="67" t="str">
        <f t="shared" si="5"/>
        <v/>
      </c>
      <c r="P31" s="311"/>
    </row>
    <row r="32" spans="1:16" x14ac:dyDescent="0.25">
      <c r="A32" s="69" t="s">
        <v>26</v>
      </c>
      <c r="B32" s="67" t="str">
        <f t="shared" si="6"/>
        <v/>
      </c>
      <c r="C32" s="67" t="str">
        <f t="shared" si="6"/>
        <v/>
      </c>
      <c r="D32" s="67" t="str">
        <f t="shared" si="6"/>
        <v/>
      </c>
      <c r="E32" s="67" t="str">
        <f t="shared" si="6"/>
        <v/>
      </c>
      <c r="F32" s="67" t="str">
        <f t="shared" si="6"/>
        <v/>
      </c>
      <c r="G32" s="67" t="str">
        <f t="shared" si="6"/>
        <v/>
      </c>
      <c r="H32" s="67" t="str">
        <f t="shared" si="6"/>
        <v/>
      </c>
      <c r="I32" s="67" t="str">
        <f t="shared" si="6"/>
        <v/>
      </c>
      <c r="J32" s="68" t="s">
        <v>72</v>
      </c>
      <c r="K32" s="68" t="s">
        <v>72</v>
      </c>
      <c r="L32" s="67" t="str">
        <f t="shared" si="7"/>
        <v/>
      </c>
      <c r="M32" s="67" t="str">
        <f t="shared" si="7"/>
        <v/>
      </c>
      <c r="N32" s="67" t="str">
        <f t="shared" si="4"/>
        <v/>
      </c>
      <c r="O32" s="67" t="str">
        <f t="shared" si="5"/>
        <v/>
      </c>
      <c r="P32" s="311"/>
    </row>
    <row r="33" spans="1:16" x14ac:dyDescent="0.25">
      <c r="A33" s="69" t="s">
        <v>169</v>
      </c>
      <c r="B33" s="67" t="str">
        <f t="shared" si="6"/>
        <v/>
      </c>
      <c r="C33" s="67" t="str">
        <f t="shared" si="6"/>
        <v/>
      </c>
      <c r="D33" s="67" t="str">
        <f t="shared" si="6"/>
        <v/>
      </c>
      <c r="E33" s="67" t="str">
        <f t="shared" si="6"/>
        <v/>
      </c>
      <c r="F33" s="67" t="str">
        <f t="shared" si="6"/>
        <v/>
      </c>
      <c r="G33" s="67" t="str">
        <f t="shared" si="6"/>
        <v/>
      </c>
      <c r="H33" s="67" t="str">
        <f t="shared" si="6"/>
        <v/>
      </c>
      <c r="I33" s="67" t="str">
        <f t="shared" si="6"/>
        <v/>
      </c>
      <c r="J33" s="68" t="s">
        <v>72</v>
      </c>
      <c r="K33" s="68" t="s">
        <v>72</v>
      </c>
      <c r="L33" s="67" t="str">
        <f t="shared" si="7"/>
        <v/>
      </c>
      <c r="M33" s="67" t="str">
        <f t="shared" si="7"/>
        <v/>
      </c>
      <c r="N33" s="67" t="str">
        <f t="shared" si="4"/>
        <v/>
      </c>
      <c r="O33" s="67" t="str">
        <f t="shared" si="5"/>
        <v/>
      </c>
      <c r="P33" s="311"/>
    </row>
    <row r="34" spans="1:16" x14ac:dyDescent="0.25">
      <c r="A34" s="69" t="s">
        <v>170</v>
      </c>
      <c r="B34" s="67" t="str">
        <f t="shared" si="6"/>
        <v/>
      </c>
      <c r="C34" s="67" t="str">
        <f t="shared" si="6"/>
        <v/>
      </c>
      <c r="D34" s="67" t="str">
        <f t="shared" si="6"/>
        <v/>
      </c>
      <c r="E34" s="67" t="str">
        <f t="shared" si="6"/>
        <v/>
      </c>
      <c r="F34" s="67" t="str">
        <f t="shared" si="6"/>
        <v/>
      </c>
      <c r="G34" s="67" t="str">
        <f t="shared" si="6"/>
        <v/>
      </c>
      <c r="H34" s="67" t="str">
        <f t="shared" si="6"/>
        <v/>
      </c>
      <c r="I34" s="67" t="str">
        <f t="shared" si="6"/>
        <v/>
      </c>
      <c r="J34" s="68" t="s">
        <v>72</v>
      </c>
      <c r="K34" s="68" t="s">
        <v>72</v>
      </c>
      <c r="L34" s="67" t="str">
        <f t="shared" si="7"/>
        <v/>
      </c>
      <c r="M34" s="67" t="str">
        <f t="shared" si="7"/>
        <v/>
      </c>
      <c r="N34" s="67" t="str">
        <f t="shared" si="4"/>
        <v/>
      </c>
      <c r="O34" s="67" t="str">
        <f t="shared" si="5"/>
        <v/>
      </c>
      <c r="P34" s="311"/>
    </row>
    <row r="35" spans="1:16" s="2" customFormat="1" ht="15.75" thickBot="1" x14ac:dyDescent="0.3">
      <c r="A35" s="69" t="s">
        <v>171</v>
      </c>
      <c r="B35" s="67" t="str">
        <f t="shared" si="6"/>
        <v/>
      </c>
      <c r="C35" s="67" t="str">
        <f t="shared" si="6"/>
        <v/>
      </c>
      <c r="D35" s="67" t="str">
        <f t="shared" si="6"/>
        <v/>
      </c>
      <c r="E35" s="67" t="str">
        <f t="shared" si="6"/>
        <v/>
      </c>
      <c r="F35" s="67" t="str">
        <f t="shared" si="6"/>
        <v/>
      </c>
      <c r="G35" s="67" t="str">
        <f t="shared" si="6"/>
        <v/>
      </c>
      <c r="H35" s="67" t="str">
        <f t="shared" si="6"/>
        <v/>
      </c>
      <c r="I35" s="67" t="str">
        <f t="shared" si="6"/>
        <v/>
      </c>
      <c r="J35" s="68" t="s">
        <v>72</v>
      </c>
      <c r="K35" s="68" t="s">
        <v>72</v>
      </c>
      <c r="L35" s="67" t="str">
        <f t="shared" si="7"/>
        <v/>
      </c>
      <c r="M35" s="67" t="str">
        <f t="shared" si="7"/>
        <v/>
      </c>
      <c r="N35" s="67" t="str">
        <f t="shared" si="4"/>
        <v/>
      </c>
      <c r="O35" s="67" t="str">
        <f t="shared" si="5"/>
        <v/>
      </c>
      <c r="P35" s="311"/>
    </row>
    <row r="36" spans="1:16" ht="15.75" thickBot="1" x14ac:dyDescent="0.3">
      <c r="A36" s="70" t="s">
        <v>45</v>
      </c>
      <c r="B36" s="71">
        <f t="shared" ref="B36:I36" si="8">IF($N14 &lt;&gt; 0, B14/$N14, 0)</f>
        <v>0</v>
      </c>
      <c r="C36" s="71">
        <f t="shared" si="8"/>
        <v>0</v>
      </c>
      <c r="D36" s="71">
        <f t="shared" si="8"/>
        <v>0</v>
      </c>
      <c r="E36" s="71">
        <f t="shared" si="8"/>
        <v>0</v>
      </c>
      <c r="F36" s="71">
        <f t="shared" si="8"/>
        <v>0</v>
      </c>
      <c r="G36" s="71">
        <f t="shared" si="8"/>
        <v>0</v>
      </c>
      <c r="H36" s="71">
        <f t="shared" si="8"/>
        <v>0</v>
      </c>
      <c r="I36" s="71">
        <f t="shared" si="8"/>
        <v>0</v>
      </c>
      <c r="J36" s="72" t="s">
        <v>72</v>
      </c>
      <c r="K36" s="72" t="s">
        <v>72</v>
      </c>
      <c r="L36" s="71">
        <f>IF($N14 &lt;&gt; 0, L14/$N14, 0)</f>
        <v>0</v>
      </c>
      <c r="M36" s="71">
        <f>IF($N14 &lt;&gt; 0, M14/$N14, 0)</f>
        <v>0</v>
      </c>
      <c r="N36" s="71">
        <f t="shared" si="4"/>
        <v>0</v>
      </c>
      <c r="O36" s="71">
        <f t="shared" si="5"/>
        <v>0</v>
      </c>
      <c r="P36" s="311"/>
    </row>
    <row r="37" spans="1:16" ht="30.75" thickBot="1" x14ac:dyDescent="0.3">
      <c r="A37" s="73"/>
      <c r="B37" s="64" t="s">
        <v>46</v>
      </c>
      <c r="C37" s="64" t="s">
        <v>186</v>
      </c>
      <c r="D37" s="64" t="s">
        <v>187</v>
      </c>
      <c r="E37" s="64" t="s">
        <v>188</v>
      </c>
      <c r="F37" s="64" t="s">
        <v>189</v>
      </c>
      <c r="G37" s="64" t="s">
        <v>56</v>
      </c>
      <c r="H37" s="64" t="s">
        <v>190</v>
      </c>
      <c r="I37" s="64" t="s">
        <v>60</v>
      </c>
      <c r="J37" s="12" t="s">
        <v>75</v>
      </c>
      <c r="K37" s="12" t="s">
        <v>80</v>
      </c>
      <c r="L37" s="12" t="s">
        <v>77</v>
      </c>
      <c r="M37" s="12" t="s">
        <v>78</v>
      </c>
      <c r="N37" s="12" t="s">
        <v>184</v>
      </c>
      <c r="O37" s="74"/>
      <c r="P37" s="311"/>
    </row>
    <row r="38" spans="1:16" x14ac:dyDescent="0.25">
      <c r="A38" s="66" t="s">
        <v>181</v>
      </c>
      <c r="B38" s="67" t="str">
        <f t="shared" ref="B38:I40" si="9">IF($M16="","",IF($M16&lt;&gt;0,B16/$M16,0))</f>
        <v/>
      </c>
      <c r="C38" s="67" t="str">
        <f t="shared" si="9"/>
        <v/>
      </c>
      <c r="D38" s="67" t="str">
        <f t="shared" si="9"/>
        <v/>
      </c>
      <c r="E38" s="67" t="str">
        <f t="shared" si="9"/>
        <v/>
      </c>
      <c r="F38" s="67" t="str">
        <f t="shared" si="9"/>
        <v/>
      </c>
      <c r="G38" s="67" t="str">
        <f t="shared" si="9"/>
        <v/>
      </c>
      <c r="H38" s="67" t="str">
        <f t="shared" si="9"/>
        <v/>
      </c>
      <c r="I38" s="67" t="str">
        <f t="shared" si="9"/>
        <v/>
      </c>
      <c r="J38" s="68" t="s">
        <v>72</v>
      </c>
      <c r="K38" s="68" t="s">
        <v>72</v>
      </c>
      <c r="L38" s="68" t="s">
        <v>72</v>
      </c>
      <c r="M38" s="68" t="s">
        <v>72</v>
      </c>
      <c r="N38" s="68" t="s">
        <v>72</v>
      </c>
      <c r="O38" s="75"/>
      <c r="P38" s="311"/>
    </row>
    <row r="39" spans="1:16" ht="15.75" thickBot="1" x14ac:dyDescent="0.3">
      <c r="A39" s="69" t="s">
        <v>182</v>
      </c>
      <c r="B39" s="67" t="str">
        <f t="shared" si="9"/>
        <v/>
      </c>
      <c r="C39" s="67" t="str">
        <f t="shared" si="9"/>
        <v/>
      </c>
      <c r="D39" s="67" t="str">
        <f t="shared" si="9"/>
        <v/>
      </c>
      <c r="E39" s="67" t="str">
        <f t="shared" si="9"/>
        <v/>
      </c>
      <c r="F39" s="67" t="str">
        <f t="shared" si="9"/>
        <v/>
      </c>
      <c r="G39" s="67" t="str">
        <f t="shared" si="9"/>
        <v/>
      </c>
      <c r="H39" s="67" t="str">
        <f t="shared" si="9"/>
        <v/>
      </c>
      <c r="I39" s="67" t="str">
        <f t="shared" si="9"/>
        <v/>
      </c>
      <c r="J39" s="68" t="s">
        <v>72</v>
      </c>
      <c r="K39" s="68" t="s">
        <v>72</v>
      </c>
      <c r="L39" s="68" t="s">
        <v>72</v>
      </c>
      <c r="M39" s="68" t="s">
        <v>72</v>
      </c>
      <c r="N39" s="68" t="s">
        <v>72</v>
      </c>
      <c r="O39" s="75"/>
      <c r="P39" s="311"/>
    </row>
    <row r="40" spans="1:16" s="2" customFormat="1" ht="15.75" thickBot="1" x14ac:dyDescent="0.3">
      <c r="A40" s="70" t="s">
        <v>45</v>
      </c>
      <c r="B40" s="76" t="str">
        <f t="shared" si="9"/>
        <v/>
      </c>
      <c r="C40" s="76" t="str">
        <f t="shared" si="9"/>
        <v/>
      </c>
      <c r="D40" s="76" t="str">
        <f t="shared" si="9"/>
        <v/>
      </c>
      <c r="E40" s="76" t="str">
        <f t="shared" si="9"/>
        <v/>
      </c>
      <c r="F40" s="76" t="str">
        <f t="shared" si="9"/>
        <v/>
      </c>
      <c r="G40" s="76" t="str">
        <f t="shared" si="9"/>
        <v/>
      </c>
      <c r="H40" s="76" t="str">
        <f t="shared" si="9"/>
        <v/>
      </c>
      <c r="I40" s="76" t="str">
        <f t="shared" si="9"/>
        <v/>
      </c>
      <c r="J40" s="72" t="s">
        <v>72</v>
      </c>
      <c r="K40" s="76" t="s">
        <v>72</v>
      </c>
      <c r="L40" s="76" t="str">
        <f>IF($N18="","",IF($N18&lt;&gt;0,L18/$N18,0))</f>
        <v/>
      </c>
      <c r="M40" s="76" t="str">
        <f>IF($N18="","",IF($N18&lt;&gt;0,M18/$N18,0))</f>
        <v/>
      </c>
      <c r="N40" s="71" t="str">
        <f>IF($N20="","",IF($N20&lt;&gt;0,(N20-B18)/$N20,0))</f>
        <v/>
      </c>
      <c r="O40" s="77"/>
      <c r="P40" s="311"/>
    </row>
    <row r="41" spans="1:16" ht="30.75" thickBot="1" x14ac:dyDescent="0.3">
      <c r="A41" s="70"/>
      <c r="B41" s="78" t="s">
        <v>191</v>
      </c>
      <c r="C41" s="79" t="s">
        <v>192</v>
      </c>
      <c r="D41" s="79" t="s">
        <v>193</v>
      </c>
      <c r="E41" s="80" t="s">
        <v>194</v>
      </c>
      <c r="F41" s="79" t="s">
        <v>195</v>
      </c>
      <c r="G41" s="81" t="s">
        <v>196</v>
      </c>
      <c r="H41" s="79" t="s">
        <v>197</v>
      </c>
      <c r="I41" s="64" t="s">
        <v>198</v>
      </c>
      <c r="J41" s="82"/>
      <c r="K41" s="83"/>
      <c r="L41" s="64" t="s">
        <v>199</v>
      </c>
      <c r="M41" s="80" t="s">
        <v>57</v>
      </c>
      <c r="N41" s="64" t="s">
        <v>200</v>
      </c>
      <c r="O41" s="84"/>
      <c r="P41" s="311"/>
    </row>
    <row r="42" spans="1:16" s="9" customFormat="1" ht="18.75" customHeight="1" thickBot="1" x14ac:dyDescent="0.3">
      <c r="A42" s="66" t="s">
        <v>183</v>
      </c>
      <c r="B42" s="67" t="str">
        <f>IF($N20="","",IF($N20&lt;&gt;0,(B20-B18)/$N20,0))</f>
        <v/>
      </c>
      <c r="C42" s="67" t="str">
        <f t="shared" ref="C42:I42" si="10">IF($N20="","",IF($N20&lt;&gt;0,C20/$N20,0))</f>
        <v/>
      </c>
      <c r="D42" s="67" t="str">
        <f t="shared" si="10"/>
        <v/>
      </c>
      <c r="E42" s="67" t="str">
        <f t="shared" si="10"/>
        <v/>
      </c>
      <c r="F42" s="67" t="str">
        <f t="shared" si="10"/>
        <v/>
      </c>
      <c r="G42" s="67" t="str">
        <f t="shared" si="10"/>
        <v/>
      </c>
      <c r="H42" s="67" t="str">
        <f t="shared" si="10"/>
        <v/>
      </c>
      <c r="I42" s="67" t="str">
        <f t="shared" si="10"/>
        <v/>
      </c>
      <c r="J42" s="68" t="s">
        <v>72</v>
      </c>
      <c r="K42" s="67" t="s">
        <v>72</v>
      </c>
      <c r="L42" s="67" t="str">
        <f>IF($N20="","",IF($N20&lt;&gt;0,L20/$N20,0))</f>
        <v/>
      </c>
      <c r="M42" s="67" t="str">
        <f>IF($N20="","",IF($N20&lt;&gt;0,M20/$N20,0))</f>
        <v/>
      </c>
      <c r="N42" s="67" t="str">
        <f>IF($N20="","",IF($N20&lt;&gt;0,(N20-B20+B18)/$N20,0))</f>
        <v/>
      </c>
      <c r="O42" s="75"/>
      <c r="P42" s="311"/>
    </row>
    <row r="43" spans="1:16" ht="15" customHeight="1" thickBot="1" x14ac:dyDescent="0.3">
      <c r="A43" s="85" t="s">
        <v>201</v>
      </c>
      <c r="B43" s="71">
        <f t="shared" ref="B43:I43" si="11">IF($N21 &lt;&gt; 0, B21/$N21, 0)</f>
        <v>0</v>
      </c>
      <c r="C43" s="86">
        <f t="shared" si="11"/>
        <v>0</v>
      </c>
      <c r="D43" s="86">
        <f t="shared" si="11"/>
        <v>0</v>
      </c>
      <c r="E43" s="86">
        <f t="shared" si="11"/>
        <v>0</v>
      </c>
      <c r="F43" s="86">
        <f t="shared" si="11"/>
        <v>0</v>
      </c>
      <c r="G43" s="86">
        <f t="shared" si="11"/>
        <v>0</v>
      </c>
      <c r="H43" s="86">
        <f t="shared" si="11"/>
        <v>0</v>
      </c>
      <c r="I43" s="86">
        <f t="shared" si="11"/>
        <v>0</v>
      </c>
      <c r="J43" s="87" t="s">
        <v>72</v>
      </c>
      <c r="K43" s="87" t="s">
        <v>72</v>
      </c>
      <c r="L43" s="71">
        <f>IF($N21 &lt;&gt; 0, L21/$N21, 0)</f>
        <v>0</v>
      </c>
      <c r="M43" s="71">
        <f>IF($N21 &lt;&gt; 0, M21/$N21, 0)</f>
        <v>0</v>
      </c>
      <c r="N43" s="71" t="str">
        <f>IF($N21="","",IF($N21&lt;&gt;0,(N21-B21)/$N21,0))</f>
        <v/>
      </c>
      <c r="O43" s="88"/>
      <c r="P43" s="312"/>
    </row>
    <row r="44" spans="1:16" ht="15" customHeight="1" x14ac:dyDescent="0.25">
      <c r="N44" s="89"/>
    </row>
    <row r="45" spans="1:16" ht="15" customHeight="1" x14ac:dyDescent="0.25">
      <c r="N45" s="89"/>
    </row>
    <row r="46" spans="1:16" ht="15" customHeight="1" x14ac:dyDescent="0.25">
      <c r="N46" s="89"/>
    </row>
    <row r="47" spans="1:16" ht="15" customHeight="1" x14ac:dyDescent="0.25">
      <c r="N47" s="89"/>
    </row>
    <row r="48" spans="1:16" ht="15" customHeight="1" x14ac:dyDescent="0.25">
      <c r="N48" s="89"/>
    </row>
    <row r="49" spans="1:14" ht="15" customHeight="1" x14ac:dyDescent="0.25">
      <c r="N49" s="89"/>
    </row>
    <row r="50" spans="1:14" ht="15" customHeight="1" x14ac:dyDescent="0.25">
      <c r="N50" s="89"/>
    </row>
    <row r="51" spans="1:14" ht="15" customHeight="1" x14ac:dyDescent="0.25">
      <c r="N51" s="89"/>
    </row>
    <row r="52" spans="1:14" ht="15" customHeight="1" x14ac:dyDescent="0.25">
      <c r="N52" s="89"/>
    </row>
    <row r="53" spans="1:14" ht="15" customHeight="1" x14ac:dyDescent="0.25">
      <c r="N53" s="89"/>
    </row>
    <row r="54" spans="1:14" ht="15" customHeight="1" x14ac:dyDescent="0.25">
      <c r="N54" s="89"/>
    </row>
    <row r="55" spans="1:14" s="2" customFormat="1" ht="15" customHeight="1" x14ac:dyDescent="0.25">
      <c r="A55"/>
      <c r="B55"/>
      <c r="C55" s="1"/>
      <c r="D55"/>
      <c r="E55" s="1"/>
      <c r="F55"/>
      <c r="G55" s="1"/>
      <c r="H55" s="1"/>
      <c r="I55" s="1"/>
      <c r="J55"/>
      <c r="K55"/>
      <c r="L55"/>
      <c r="M55"/>
      <c r="N55" s="89"/>
    </row>
    <row r="56" spans="1:14" ht="15" customHeight="1" x14ac:dyDescent="0.25">
      <c r="N56" s="89"/>
    </row>
    <row r="57" spans="1:14" ht="15" customHeight="1" x14ac:dyDescent="0.25">
      <c r="N57" s="89"/>
    </row>
    <row r="58" spans="1:14" ht="15" customHeight="1" x14ac:dyDescent="0.25">
      <c r="N58" s="89"/>
    </row>
    <row r="59" spans="1:14" ht="15" customHeight="1" x14ac:dyDescent="0.25">
      <c r="N59" s="89"/>
    </row>
    <row r="60" spans="1:14" ht="15" customHeight="1" x14ac:dyDescent="0.25"/>
    <row r="61" spans="1:14" ht="15" customHeight="1" x14ac:dyDescent="0.25"/>
    <row r="62" spans="1:14" ht="15" customHeight="1" x14ac:dyDescent="0.25"/>
    <row r="63" spans="1:14" ht="15" customHeight="1" x14ac:dyDescent="0.25"/>
    <row r="64" spans="1:14" ht="15" customHeight="1" x14ac:dyDescent="0.25"/>
    <row r="65" spans="1:14" ht="15" customHeight="1" x14ac:dyDescent="0.25"/>
    <row r="66" spans="1:14" ht="15" customHeight="1" x14ac:dyDescent="0.25"/>
    <row r="67" spans="1:14" s="2" customFormat="1" ht="15.75" customHeight="1" x14ac:dyDescent="0.25">
      <c r="A67"/>
      <c r="B67"/>
      <c r="C67" s="1"/>
      <c r="D67"/>
      <c r="E67" s="1"/>
      <c r="F67"/>
      <c r="G67" s="1"/>
      <c r="H67" s="1"/>
      <c r="I67" s="1"/>
      <c r="J67"/>
      <c r="K67"/>
      <c r="L67"/>
      <c r="M67"/>
      <c r="N67"/>
    </row>
    <row r="68" spans="1:14" ht="15" customHeight="1" x14ac:dyDescent="0.25"/>
    <row r="69" spans="1:14" ht="15" customHeight="1" x14ac:dyDescent="0.25"/>
    <row r="70" spans="1:14" ht="15" customHeight="1" x14ac:dyDescent="0.25"/>
    <row r="71" spans="1:14" ht="15" customHeight="1" x14ac:dyDescent="0.25"/>
    <row r="72" spans="1:14" s="2" customFormat="1" ht="15" customHeight="1" x14ac:dyDescent="0.25">
      <c r="A72"/>
      <c r="B72"/>
      <c r="C72" s="1"/>
      <c r="D72"/>
      <c r="E72" s="1"/>
      <c r="F72"/>
      <c r="G72" s="1"/>
      <c r="H72" s="1"/>
      <c r="I72" s="1"/>
      <c r="J72"/>
      <c r="K72"/>
      <c r="L72"/>
      <c r="M72"/>
      <c r="N72"/>
    </row>
    <row r="73" spans="1:14" ht="15" customHeight="1" x14ac:dyDescent="0.25"/>
    <row r="74" spans="1:14" ht="15" customHeight="1" x14ac:dyDescent="0.25"/>
    <row r="75" spans="1:14" ht="15" customHeight="1" x14ac:dyDescent="0.25"/>
    <row r="76" spans="1:14" ht="15" customHeight="1" x14ac:dyDescent="0.25"/>
    <row r="77" spans="1:14" s="2" customFormat="1" ht="15.75" customHeight="1" x14ac:dyDescent="0.25">
      <c r="A77"/>
      <c r="B77"/>
      <c r="C77" s="1"/>
      <c r="D77"/>
      <c r="E77" s="1"/>
      <c r="F77"/>
      <c r="G77" s="1"/>
      <c r="H77" s="1"/>
      <c r="I77" s="1"/>
      <c r="J77"/>
      <c r="K77"/>
      <c r="L77"/>
      <c r="M77"/>
      <c r="N77"/>
    </row>
  </sheetData>
  <sheetProtection algorithmName="SHA-512" hashValue="2LCNIyTyoD+WOuGy3WRNx0EZXSx1KLEtlGA4S8CO3jtn8gn42flwbVK7OKWthYCr6PGy4BLZxQTYCqjZqkD+jg==" saltValue="fojCev5vf9wTle/ZeLfZ7g==" spinCount="100000" sheet="1" objects="1" scenarios="1" formatCells="0"/>
  <mergeCells count="3">
    <mergeCell ref="A1:N1"/>
    <mergeCell ref="P24:P43"/>
    <mergeCell ref="B22:C22"/>
  </mergeCells>
  <conditionalFormatting sqref="O25:O28">
    <cfRule type="cellIs" dxfId="58" priority="163" operator="greaterThanOrEqual">
      <formula>100%</formula>
    </cfRule>
  </conditionalFormatting>
  <conditionalFormatting sqref="O25:O28">
    <cfRule type="cellIs" dxfId="57" priority="164" operator="greaterThanOrEqual">
      <formula>0.95</formula>
    </cfRule>
    <cfRule type="cellIs" dxfId="56" priority="165" operator="lessThan">
      <formula>0.95</formula>
    </cfRule>
  </conditionalFormatting>
  <conditionalFormatting sqref="O30:O35">
    <cfRule type="cellIs" dxfId="55" priority="160" operator="greaterThanOrEqual">
      <formula>100%</formula>
    </cfRule>
  </conditionalFormatting>
  <conditionalFormatting sqref="O30:O35">
    <cfRule type="cellIs" dxfId="54" priority="161" operator="greaterThanOrEqual">
      <formula>0.95</formula>
    </cfRule>
    <cfRule type="cellIs" dxfId="53" priority="162" operator="lessThan">
      <formula>0.95</formula>
    </cfRule>
  </conditionalFormatting>
  <conditionalFormatting sqref="M13:N13">
    <cfRule type="expression" priority="156" stopIfTrue="1">
      <formula>NOT(#REF!)</formula>
    </cfRule>
  </conditionalFormatting>
  <conditionalFormatting sqref="L13">
    <cfRule type="expression" priority="155" stopIfTrue="1">
      <formula>NOT(#REF!)</formula>
    </cfRule>
  </conditionalFormatting>
  <conditionalFormatting sqref="B3:B6">
    <cfRule type="colorScale" priority="154">
      <colorScale>
        <cfvo type="min"/>
        <cfvo type="max"/>
        <color theme="4" tint="0.59999389629810485"/>
        <color rgb="FF00B0F0"/>
      </colorScale>
    </cfRule>
  </conditionalFormatting>
  <conditionalFormatting sqref="D3:D6">
    <cfRule type="colorScale" priority="152">
      <colorScale>
        <cfvo type="min"/>
        <cfvo type="max"/>
        <color theme="4" tint="0.59999389629810485"/>
        <color rgb="FF00B0F0"/>
      </colorScale>
    </cfRule>
  </conditionalFormatting>
  <conditionalFormatting sqref="E3:E6">
    <cfRule type="colorScale" priority="151">
      <colorScale>
        <cfvo type="min"/>
        <cfvo type="max"/>
        <color theme="4" tint="0.59999389629810485"/>
        <color rgb="FF00B0F0"/>
      </colorScale>
    </cfRule>
  </conditionalFormatting>
  <conditionalFormatting sqref="F3:F6">
    <cfRule type="colorScale" priority="150">
      <colorScale>
        <cfvo type="min"/>
        <cfvo type="max"/>
        <color theme="4" tint="0.59999389629810485"/>
        <color rgb="FF00B0F0"/>
      </colorScale>
    </cfRule>
  </conditionalFormatting>
  <conditionalFormatting sqref="G3:G6">
    <cfRule type="colorScale" priority="149">
      <colorScale>
        <cfvo type="num" val="0"/>
        <cfvo type="max"/>
        <color theme="4" tint="0.59999389629810485"/>
        <color rgb="FF00B0F0"/>
      </colorScale>
    </cfRule>
  </conditionalFormatting>
  <conditionalFormatting sqref="H3:H6">
    <cfRule type="colorScale" priority="148">
      <colorScale>
        <cfvo type="min"/>
        <cfvo type="max"/>
        <color theme="4" tint="0.59999389629810485"/>
        <color rgb="FF00B0F0"/>
      </colorScale>
    </cfRule>
  </conditionalFormatting>
  <conditionalFormatting sqref="I3:I6">
    <cfRule type="colorScale" priority="147">
      <colorScale>
        <cfvo type="min"/>
        <cfvo type="max"/>
        <color theme="4" tint="0.59999389629810485"/>
        <color rgb="FF00B0F0"/>
      </colorScale>
    </cfRule>
  </conditionalFormatting>
  <conditionalFormatting sqref="J3:J6">
    <cfRule type="colorScale" priority="146">
      <colorScale>
        <cfvo type="min"/>
        <cfvo type="max"/>
        <color theme="4" tint="0.59999389629810485"/>
        <color rgb="FF00B0F0"/>
      </colorScale>
    </cfRule>
  </conditionalFormatting>
  <conditionalFormatting sqref="L3:N5 L6:M6">
    <cfRule type="expression" priority="145" stopIfTrue="1">
      <formula>NOT(#REF!)</formula>
    </cfRule>
  </conditionalFormatting>
  <conditionalFormatting sqref="B8:B13">
    <cfRule type="colorScale" priority="144">
      <colorScale>
        <cfvo type="min"/>
        <cfvo type="max"/>
        <color theme="4" tint="0.59999389629810485"/>
        <color rgb="FF00B0F0"/>
      </colorScale>
    </cfRule>
  </conditionalFormatting>
  <conditionalFormatting sqref="D8:D13">
    <cfRule type="colorScale" priority="142">
      <colorScale>
        <cfvo type="min"/>
        <cfvo type="max"/>
        <color theme="4" tint="0.59999389629810485"/>
        <color rgb="FF00B0F0"/>
      </colorScale>
    </cfRule>
  </conditionalFormatting>
  <conditionalFormatting sqref="E8:E13">
    <cfRule type="colorScale" priority="141">
      <colorScale>
        <cfvo type="min"/>
        <cfvo type="max"/>
        <color theme="4" tint="0.59999389629810485"/>
        <color rgb="FF00B0F0"/>
      </colorScale>
    </cfRule>
  </conditionalFormatting>
  <conditionalFormatting sqref="F8:F13">
    <cfRule type="colorScale" priority="140">
      <colorScale>
        <cfvo type="min"/>
        <cfvo type="max"/>
        <color theme="4" tint="0.59999389629810485"/>
        <color rgb="FF00B0F0"/>
      </colorScale>
    </cfRule>
  </conditionalFormatting>
  <conditionalFormatting sqref="G8:G13">
    <cfRule type="colorScale" priority="139">
      <colorScale>
        <cfvo type="min"/>
        <cfvo type="max"/>
        <color theme="4" tint="0.59999389629810485"/>
        <color rgb="FF00B0F0"/>
      </colorScale>
    </cfRule>
  </conditionalFormatting>
  <conditionalFormatting sqref="H8:H13">
    <cfRule type="colorScale" priority="138">
      <colorScale>
        <cfvo type="min"/>
        <cfvo type="max"/>
        <color theme="4" tint="0.59999389629810485"/>
        <color rgb="FF00B0F0"/>
      </colorScale>
    </cfRule>
  </conditionalFormatting>
  <conditionalFormatting sqref="I8:I13">
    <cfRule type="colorScale" priority="137">
      <colorScale>
        <cfvo type="min"/>
        <cfvo type="max"/>
        <color theme="4" tint="0.59999389629810485"/>
        <color rgb="FF00B0F0"/>
      </colorScale>
    </cfRule>
  </conditionalFormatting>
  <conditionalFormatting sqref="M11:N12">
    <cfRule type="expression" priority="136" stopIfTrue="1">
      <formula>NOT(#REF!)</formula>
    </cfRule>
  </conditionalFormatting>
  <conditionalFormatting sqref="L11:L12 L8:N10">
    <cfRule type="expression" priority="135" stopIfTrue="1">
      <formula>NOT(#REF!)</formula>
    </cfRule>
  </conditionalFormatting>
  <conditionalFormatting sqref="L30:L35">
    <cfRule type="top10" dxfId="52" priority="47" rank="1"/>
    <cfRule type="containsBlanks" priority="48" stopIfTrue="1">
      <formula>LEN(TRIM(L30))=0</formula>
    </cfRule>
    <cfRule type="top10" dxfId="51" priority="49" bottom="1" rank="3"/>
  </conditionalFormatting>
  <conditionalFormatting sqref="B25:J28 B30:J35">
    <cfRule type="cellIs" dxfId="50" priority="26" operator="greaterThanOrEqual">
      <formula>1</formula>
    </cfRule>
  </conditionalFormatting>
  <conditionalFormatting sqref="L30:N35 L25:N28">
    <cfRule type="cellIs" dxfId="49" priority="23" operator="greaterThanOrEqual">
      <formula>100%</formula>
    </cfRule>
  </conditionalFormatting>
  <conditionalFormatting sqref="B25:B28 B30:B35">
    <cfRule type="cellIs" dxfId="48" priority="27" operator="lessThanOrEqual">
      <formula>0.05</formula>
    </cfRule>
    <cfRule type="cellIs" dxfId="47" priority="28" operator="greaterThan">
      <formula>0.05</formula>
    </cfRule>
  </conditionalFormatting>
  <conditionalFormatting sqref="C25:C28 C30:C35">
    <cfRule type="cellIs" dxfId="46" priority="29" operator="lessThanOrEqual">
      <formula>0.05</formula>
    </cfRule>
    <cfRule type="cellIs" dxfId="45" priority="30" operator="greaterThan">
      <formula>0.05</formula>
    </cfRule>
  </conditionalFormatting>
  <conditionalFormatting sqref="F25:F28 B30:F35">
    <cfRule type="cellIs" dxfId="44" priority="32" operator="greaterThan">
      <formula>0.05</formula>
    </cfRule>
  </conditionalFormatting>
  <conditionalFormatting sqref="F25:F28 F30:F35">
    <cfRule type="cellIs" dxfId="43" priority="31" operator="lessThanOrEqual">
      <formula>0.05</formula>
    </cfRule>
  </conditionalFormatting>
  <conditionalFormatting sqref="E25:E28 E30:E35">
    <cfRule type="cellIs" dxfId="42" priority="33" operator="lessThanOrEqual">
      <formula>0.02</formula>
    </cfRule>
    <cfRule type="cellIs" dxfId="41" priority="34" operator="greaterThan">
      <formula>0.02</formula>
    </cfRule>
  </conditionalFormatting>
  <conditionalFormatting sqref="D25:D28 D30:D35">
    <cfRule type="cellIs" dxfId="40" priority="35" operator="lessThanOrEqual">
      <formula>0.02</formula>
    </cfRule>
    <cfRule type="cellIs" dxfId="39" priority="36" operator="greaterThan">
      <formula>0.02</formula>
    </cfRule>
  </conditionalFormatting>
  <conditionalFormatting sqref="G25:G28 G30:G35">
    <cfRule type="cellIs" dxfId="38" priority="37" operator="lessThanOrEqual">
      <formula>0.02</formula>
    </cfRule>
    <cfRule type="cellIs" dxfId="37" priority="38" operator="greaterThan">
      <formula>0.02</formula>
    </cfRule>
  </conditionalFormatting>
  <conditionalFormatting sqref="H25:H28 H30:H35">
    <cfRule type="cellIs" dxfId="36" priority="39" operator="lessThanOrEqual">
      <formula>0.01</formula>
    </cfRule>
    <cfRule type="cellIs" dxfId="35" priority="40" operator="greaterThan">
      <formula>0.01</formula>
    </cfRule>
  </conditionalFormatting>
  <conditionalFormatting sqref="I25:I28 B30:I35">
    <cfRule type="cellIs" dxfId="34" priority="42" operator="greaterThan">
      <formula>0.01</formula>
    </cfRule>
  </conditionalFormatting>
  <conditionalFormatting sqref="J25:J28 J30:J35">
    <cfRule type="cellIs" dxfId="33" priority="43" operator="lessThanOrEqual">
      <formula>0.05</formula>
    </cfRule>
    <cfRule type="cellIs" dxfId="32" priority="44" operator="greaterThan">
      <formula>0.05</formula>
    </cfRule>
  </conditionalFormatting>
  <conditionalFormatting sqref="I25:I28 I30:I35">
    <cfRule type="cellIs" dxfId="31" priority="41" operator="lessThanOrEqual">
      <formula>0.01</formula>
    </cfRule>
  </conditionalFormatting>
  <conditionalFormatting sqref="N30:N35 N25:N28">
    <cfRule type="cellIs" dxfId="30" priority="24" operator="greaterThanOrEqual">
      <formula>0.95</formula>
    </cfRule>
    <cfRule type="cellIs" dxfId="29" priority="25" operator="lessThan">
      <formula>0.95</formula>
    </cfRule>
  </conditionalFormatting>
  <conditionalFormatting sqref="L25:L28 L30:L35">
    <cfRule type="cellIs" dxfId="28" priority="45" operator="greaterThanOrEqual">
      <formula>0.985</formula>
    </cfRule>
    <cfRule type="cellIs" dxfId="27" priority="46" operator="lessThan">
      <formula>0.985</formula>
    </cfRule>
  </conditionalFormatting>
  <conditionalFormatting sqref="B38:I39 B42:I42">
    <cfRule type="cellIs" dxfId="26" priority="52" stopIfTrue="1" operator="greaterThanOrEqual">
      <formula>1</formula>
    </cfRule>
  </conditionalFormatting>
  <conditionalFormatting sqref="B38:B39 B42:I42">
    <cfRule type="cellIs" dxfId="25" priority="53" operator="lessThanOrEqual">
      <formula>0.05</formula>
    </cfRule>
    <cfRule type="cellIs" dxfId="24" priority="54" operator="greaterThan">
      <formula>0.05</formula>
    </cfRule>
  </conditionalFormatting>
  <conditionalFormatting sqref="C42 C38:C39">
    <cfRule type="cellIs" dxfId="23" priority="55" operator="lessThanOrEqual">
      <formula>0.03</formula>
    </cfRule>
    <cfRule type="cellIs" dxfId="22" priority="56" operator="greaterThan">
      <formula>0.03</formula>
    </cfRule>
  </conditionalFormatting>
  <conditionalFormatting sqref="D42 D38:D39">
    <cfRule type="cellIs" dxfId="21" priority="57" operator="lessThanOrEqual">
      <formula>0.03</formula>
    </cfRule>
    <cfRule type="cellIs" dxfId="20" priority="58" operator="greaterThan">
      <formula>0.03</formula>
    </cfRule>
  </conditionalFormatting>
  <conditionalFormatting sqref="E42 E38:E39">
    <cfRule type="cellIs" dxfId="19" priority="59" operator="lessThanOrEqual">
      <formula>0.05</formula>
    </cfRule>
    <cfRule type="cellIs" dxfId="18" priority="60" operator="greaterThan">
      <formula>0.05</formula>
    </cfRule>
  </conditionalFormatting>
  <conditionalFormatting sqref="F42 F38:F39">
    <cfRule type="cellIs" dxfId="17" priority="61" operator="lessThanOrEqual">
      <formula>0.05</formula>
    </cfRule>
    <cfRule type="cellIs" dxfId="16" priority="62" operator="greaterThan">
      <formula>0.05</formula>
    </cfRule>
  </conditionalFormatting>
  <conditionalFormatting sqref="G42 G38:G39">
    <cfRule type="cellIs" dxfId="15" priority="63" operator="lessThanOrEqual">
      <formula>0.03</formula>
    </cfRule>
    <cfRule type="cellIs" dxfId="14" priority="64" operator="greaterThan">
      <formula>0.03</formula>
    </cfRule>
  </conditionalFormatting>
  <conditionalFormatting sqref="H42 H38:H39">
    <cfRule type="cellIs" dxfId="13" priority="65" operator="lessThanOrEqual">
      <formula>0.03</formula>
    </cfRule>
    <cfRule type="cellIs" dxfId="12" priority="66" operator="greaterThan">
      <formula>0.03</formula>
    </cfRule>
  </conditionalFormatting>
  <conditionalFormatting sqref="I42 I38:I39">
    <cfRule type="cellIs" dxfId="11" priority="67" operator="lessThanOrEqual">
      <formula>0.03</formula>
    </cfRule>
    <cfRule type="cellIs" dxfId="10" priority="68" operator="greaterThan">
      <formula>0.03</formula>
    </cfRule>
  </conditionalFormatting>
  <conditionalFormatting sqref="C16:C17">
    <cfRule type="colorScale" priority="16">
      <colorScale>
        <cfvo type="min"/>
        <cfvo type="max"/>
        <color theme="4" tint="0.59999389629810485"/>
        <color rgb="FF00B0F0"/>
      </colorScale>
    </cfRule>
  </conditionalFormatting>
  <conditionalFormatting sqref="D16:D17">
    <cfRule type="colorScale" priority="17">
      <colorScale>
        <cfvo type="min"/>
        <cfvo type="max"/>
        <color theme="4" tint="0.59999389629810485"/>
        <color rgb="FF00B0F0"/>
      </colorScale>
    </cfRule>
  </conditionalFormatting>
  <conditionalFormatting sqref="E16:E17">
    <cfRule type="colorScale" priority="18">
      <colorScale>
        <cfvo type="min"/>
        <cfvo type="max"/>
        <color theme="4" tint="0.59999389629810485"/>
        <color rgb="FF00B0F0"/>
      </colorScale>
    </cfRule>
  </conditionalFormatting>
  <conditionalFormatting sqref="F16:F17">
    <cfRule type="colorScale" priority="19">
      <colorScale>
        <cfvo type="min"/>
        <cfvo type="max"/>
        <color theme="4" tint="0.59999389629810485"/>
        <color rgb="FF00B0F0"/>
      </colorScale>
    </cfRule>
  </conditionalFormatting>
  <conditionalFormatting sqref="G16:G17">
    <cfRule type="colorScale" priority="20">
      <colorScale>
        <cfvo type="min"/>
        <cfvo type="max"/>
        <color theme="4" tint="0.59999389629810485"/>
        <color rgb="FF00B0F0"/>
      </colorScale>
    </cfRule>
  </conditionalFormatting>
  <conditionalFormatting sqref="H16:H17">
    <cfRule type="colorScale" priority="21">
      <colorScale>
        <cfvo type="min"/>
        <cfvo type="max"/>
        <color theme="4" tint="0.59999389629810485"/>
        <color rgb="FF00B0F0"/>
      </colorScale>
    </cfRule>
  </conditionalFormatting>
  <conditionalFormatting sqref="I16:I17">
    <cfRule type="colorScale" priority="22">
      <colorScale>
        <cfvo type="min"/>
        <cfvo type="max"/>
        <color theme="4" tint="0.59999389629810485"/>
        <color rgb="FF00B0F0"/>
      </colorScale>
    </cfRule>
  </conditionalFormatting>
  <conditionalFormatting sqref="N42">
    <cfRule type="cellIs" dxfId="9" priority="11" operator="greaterThanOrEqual">
      <formula>100%</formula>
    </cfRule>
  </conditionalFormatting>
  <conditionalFormatting sqref="N42">
    <cfRule type="cellIs" dxfId="8" priority="12" operator="greaterThanOrEqual">
      <formula>0.985</formula>
    </cfRule>
    <cfRule type="cellIs" dxfId="7" priority="13" operator="lessThan">
      <formula>0.985</formula>
    </cfRule>
  </conditionalFormatting>
  <conditionalFormatting sqref="K42">
    <cfRule type="top10" dxfId="6" priority="70" bottom="1" rank="1"/>
    <cfRule type="containsBlanks" priority="71" stopIfTrue="1">
      <formula>LEN(TRIM(K42))=0</formula>
    </cfRule>
    <cfRule type="top10" dxfId="5" priority="72" rank="1"/>
  </conditionalFormatting>
  <conditionalFormatting sqref="L42">
    <cfRule type="cellIs" dxfId="4" priority="50" operator="greaterThanOrEqual">
      <formula>1</formula>
    </cfRule>
    <cfRule type="cellIs" dxfId="3" priority="51" operator="greaterThanOrEqual">
      <formula>0.9</formula>
    </cfRule>
    <cfRule type="cellIs" dxfId="2" priority="69" operator="lessThan">
      <formula>0.9</formula>
    </cfRule>
  </conditionalFormatting>
  <conditionalFormatting sqref="B20:I20">
    <cfRule type="cellIs" dxfId="1" priority="9" operator="greaterThan">
      <formula>0</formula>
    </cfRule>
  </conditionalFormatting>
  <conditionalFormatting sqref="B16">
    <cfRule type="colorScale" priority="5">
      <colorScale>
        <cfvo type="min"/>
        <cfvo type="max"/>
        <color theme="4" tint="0.59999389629810485"/>
        <color rgb="FF00B0F0"/>
      </colorScale>
    </cfRule>
  </conditionalFormatting>
  <conditionalFormatting sqref="B17">
    <cfRule type="colorScale" priority="4">
      <colorScale>
        <cfvo type="min"/>
        <cfvo type="max"/>
        <color theme="4" tint="0.59999389629810485"/>
        <color rgb="FF00B0F0"/>
      </colorScale>
    </cfRule>
  </conditionalFormatting>
  <conditionalFormatting sqref="C3:C6">
    <cfRule type="colorScale" priority="3">
      <colorScale>
        <cfvo type="min"/>
        <cfvo type="max"/>
        <color theme="4" tint="0.59999389629810485"/>
        <color rgb="FF00B0F0"/>
      </colorScale>
    </cfRule>
  </conditionalFormatting>
  <conditionalFormatting sqref="C8:C13">
    <cfRule type="colorScale" priority="2">
      <colorScale>
        <cfvo type="min"/>
        <cfvo type="max"/>
        <color theme="4" tint="0.59999389629810485"/>
        <color rgb="FF00B0F0"/>
      </colorScale>
    </cfRule>
  </conditionalFormatting>
  <conditionalFormatting sqref="N6">
    <cfRule type="expression" priority="1" stopIfTrue="1">
      <formula>NOT(#REF!)</formula>
    </cfRule>
  </conditionalFormatting>
  <pageMargins left="0.7" right="0.7" top="0.75" bottom="0.75" header="0.3" footer="0.3"/>
  <pageSetup orientation="portrait" r:id="rId1"/>
  <ignoredErrors>
    <ignoredError sqref="C14 C7" formula="1"/>
  </ignoredErrors>
  <extLst>
    <ext xmlns:x14="http://schemas.microsoft.com/office/spreadsheetml/2009/9/main" uri="{78C0D931-6437-407d-A8EE-F0AAD7539E65}">
      <x14:conditionalFormattings>
        <x14:conditionalFormatting xmlns:xm="http://schemas.microsoft.com/office/excel/2006/main">
          <x14:cfRule type="expression" priority="616" stopIfTrue="1" id="{25742571-C5B0-4229-AF5F-2F908E2C036E}">
            <xm:f>CheckSheet!$O$1=FALSE</xm:f>
            <x14:dxf/>
          </x14:cfRule>
          <xm:sqref>O22:O23</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R26"/>
  <sheetViews>
    <sheetView showGridLines="0" tabSelected="1" workbookViewId="0">
      <selection activeCell="F3" sqref="F3:G3"/>
    </sheetView>
  </sheetViews>
  <sheetFormatPr defaultRowHeight="15" x14ac:dyDescent="0.25"/>
  <cols>
    <col min="1" max="1" width="2.85546875" style="31" customWidth="1"/>
    <col min="2" max="2" width="22.140625" style="32" customWidth="1"/>
    <col min="3" max="3" width="38" style="32" customWidth="1"/>
    <col min="4" max="4" width="25.5703125" style="32" customWidth="1"/>
    <col min="5" max="5" width="22.42578125" style="30" customWidth="1"/>
    <col min="6" max="6" width="16.28515625" style="47" customWidth="1"/>
    <col min="7" max="7" width="48.42578125" style="32" customWidth="1"/>
    <col min="8" max="18" width="18.140625" style="7" customWidth="1"/>
  </cols>
  <sheetData>
    <row r="1" spans="1:9" ht="15.75" thickBot="1" x14ac:dyDescent="0.3">
      <c r="E1" s="95"/>
      <c r="F1" s="95"/>
    </row>
    <row r="2" spans="1:9" ht="15" customHeight="1" x14ac:dyDescent="0.25">
      <c r="A2" s="44"/>
      <c r="B2" s="332"/>
      <c r="C2" s="332"/>
      <c r="D2" s="332"/>
      <c r="E2" s="333"/>
      <c r="F2" s="334"/>
      <c r="G2" s="335"/>
    </row>
    <row r="3" spans="1:9" ht="48.75" customHeight="1" x14ac:dyDescent="0.25">
      <c r="A3" s="45"/>
      <c r="B3" s="318" t="s">
        <v>237</v>
      </c>
      <c r="C3" s="319"/>
      <c r="D3" s="319"/>
      <c r="E3" s="320"/>
      <c r="F3" s="314"/>
      <c r="G3" s="315"/>
    </row>
    <row r="4" spans="1:9" ht="37.5" customHeight="1" x14ac:dyDescent="0.25">
      <c r="A4" s="45"/>
      <c r="B4" s="321"/>
      <c r="C4" s="321"/>
      <c r="D4" s="321"/>
      <c r="E4" s="322"/>
      <c r="F4" s="54"/>
      <c r="G4" s="55"/>
    </row>
    <row r="5" spans="1:9" ht="34.5" customHeight="1" x14ac:dyDescent="0.25">
      <c r="A5" s="45"/>
      <c r="B5" s="96" t="s">
        <v>91</v>
      </c>
      <c r="C5" s="157" t="str">
        <f>IF(Report!B1 &lt;&gt; "", Report!B1, "No Sort Selected")</f>
        <v>Pre/Sun</v>
      </c>
      <c r="D5" s="65"/>
      <c r="E5" s="65"/>
      <c r="F5" s="93"/>
      <c r="G5" s="155"/>
    </row>
    <row r="6" spans="1:9" x14ac:dyDescent="0.25">
      <c r="A6" s="45"/>
      <c r="B6" s="323"/>
      <c r="C6" s="324"/>
      <c r="D6" s="315"/>
      <c r="E6" s="314"/>
      <c r="F6" s="314"/>
      <c r="G6" s="315"/>
    </row>
    <row r="7" spans="1:9" x14ac:dyDescent="0.25">
      <c r="A7" s="45"/>
      <c r="B7" s="323"/>
      <c r="C7" s="324"/>
      <c r="D7" s="315"/>
      <c r="E7" s="314"/>
      <c r="F7" s="314"/>
      <c r="G7" s="315"/>
      <c r="H7" s="190"/>
    </row>
    <row r="8" spans="1:9" x14ac:dyDescent="0.25">
      <c r="A8" s="65"/>
      <c r="B8" s="314"/>
      <c r="C8" s="331"/>
      <c r="D8" s="331"/>
      <c r="E8" s="331"/>
      <c r="F8" s="329"/>
      <c r="G8" s="330"/>
      <c r="H8" s="154"/>
      <c r="I8" s="154"/>
    </row>
    <row r="9" spans="1:9" ht="15" customHeight="1" x14ac:dyDescent="0.25">
      <c r="A9" s="65"/>
      <c r="B9" s="314"/>
      <c r="C9" s="331"/>
      <c r="D9" s="331"/>
      <c r="E9" s="331"/>
      <c r="F9" s="329"/>
      <c r="G9" s="330"/>
    </row>
    <row r="10" spans="1:9" x14ac:dyDescent="0.25">
      <c r="B10" s="156"/>
      <c r="E10" s="95"/>
      <c r="F10" s="93"/>
      <c r="G10" s="155"/>
    </row>
    <row r="11" spans="1:9" ht="17.25" customHeight="1" x14ac:dyDescent="0.25">
      <c r="A11" s="45"/>
      <c r="B11" s="156"/>
      <c r="E11" s="95"/>
      <c r="F11" s="93"/>
      <c r="G11" s="155"/>
    </row>
    <row r="12" spans="1:9" x14ac:dyDescent="0.25">
      <c r="A12" s="45"/>
      <c r="B12" s="156"/>
      <c r="E12" s="95"/>
      <c r="F12" s="314"/>
      <c r="G12" s="315"/>
    </row>
    <row r="13" spans="1:9" x14ac:dyDescent="0.25">
      <c r="A13" s="45"/>
      <c r="B13" s="156"/>
      <c r="E13" s="95"/>
      <c r="F13" s="93"/>
      <c r="G13" s="155"/>
    </row>
    <row r="14" spans="1:9" ht="15" customHeight="1" x14ac:dyDescent="0.25">
      <c r="A14" s="45"/>
      <c r="B14" s="156"/>
      <c r="E14" s="95"/>
      <c r="F14" s="93"/>
      <c r="G14" s="155"/>
    </row>
    <row r="15" spans="1:9" ht="21" customHeight="1" x14ac:dyDescent="0.25">
      <c r="A15" s="45"/>
      <c r="B15" s="156"/>
      <c r="E15" s="95"/>
      <c r="F15" s="336"/>
      <c r="G15" s="337"/>
    </row>
    <row r="16" spans="1:9" ht="23.25" customHeight="1" x14ac:dyDescent="0.25">
      <c r="A16" s="45"/>
      <c r="B16" s="314"/>
      <c r="C16" s="331"/>
      <c r="D16" s="331"/>
      <c r="E16" s="331"/>
      <c r="F16" s="314"/>
      <c r="G16" s="315"/>
    </row>
    <row r="17" spans="1:7" x14ac:dyDescent="0.25">
      <c r="A17" s="45"/>
      <c r="B17" s="314"/>
      <c r="C17" s="331"/>
      <c r="D17" s="331"/>
      <c r="E17" s="331"/>
      <c r="F17" s="93"/>
      <c r="G17" s="155"/>
    </row>
    <row r="18" spans="1:7" x14ac:dyDescent="0.25">
      <c r="A18" s="45"/>
      <c r="B18" s="328"/>
      <c r="C18" s="328"/>
      <c r="D18" s="328"/>
      <c r="E18" s="329"/>
      <c r="F18" s="93"/>
      <c r="G18" s="94"/>
    </row>
    <row r="19" spans="1:7" ht="15.75" thickBot="1" x14ac:dyDescent="0.3">
      <c r="A19" s="45"/>
      <c r="B19" s="327"/>
      <c r="C19" s="327"/>
      <c r="D19" s="327"/>
      <c r="E19" s="314"/>
      <c r="F19" s="93"/>
      <c r="G19" s="94"/>
    </row>
    <row r="20" spans="1:7" ht="31.5" customHeight="1" x14ac:dyDescent="0.25">
      <c r="A20" s="45"/>
      <c r="B20" s="156"/>
      <c r="E20" s="95"/>
      <c r="F20" s="325" t="s">
        <v>172</v>
      </c>
      <c r="G20" s="326"/>
    </row>
    <row r="21" spans="1:7" x14ac:dyDescent="0.25">
      <c r="A21" s="45"/>
      <c r="B21" s="156"/>
      <c r="E21" s="95"/>
      <c r="F21" s="50"/>
      <c r="G21" s="51"/>
    </row>
    <row r="22" spans="1:7" x14ac:dyDescent="0.25">
      <c r="A22" s="45"/>
      <c r="B22" s="156"/>
      <c r="E22" s="95"/>
      <c r="F22" s="50"/>
      <c r="G22" s="51"/>
    </row>
    <row r="23" spans="1:7" ht="15.75" thickBot="1" x14ac:dyDescent="0.3">
      <c r="A23" s="45"/>
      <c r="B23" s="316"/>
      <c r="C23" s="317"/>
      <c r="D23" s="317"/>
      <c r="E23" s="317"/>
      <c r="F23" s="52"/>
      <c r="G23" s="53"/>
    </row>
    <row r="24" spans="1:7" x14ac:dyDescent="0.25">
      <c r="A24" s="45"/>
      <c r="B24" s="30"/>
      <c r="C24" s="30"/>
      <c r="D24" s="30"/>
      <c r="G24" s="43"/>
    </row>
    <row r="25" spans="1:7" x14ac:dyDescent="0.25">
      <c r="A25" s="45"/>
      <c r="B25" s="30"/>
      <c r="C25" s="30"/>
      <c r="D25" s="30"/>
      <c r="G25" s="30"/>
    </row>
    <row r="26" spans="1:7" x14ac:dyDescent="0.25">
      <c r="A26" s="45"/>
      <c r="B26" s="30"/>
      <c r="C26" s="30"/>
      <c r="D26" s="30"/>
      <c r="G26" s="30"/>
    </row>
  </sheetData>
  <sheetProtection algorithmName="SHA-512" hashValue="uCq6WnE4PK/qk0lnJsKyb3jK0x61bOi7jyNjkzMopVQRRfM4tYtv+/Hqn80MYpuGelPBTUsm+VSIJFnWg8q8kw==" saltValue="Bhc/hzH/a/IRZ5IU0BDE1Q==" spinCount="100000" sheet="1" objects="1" scenarios="1" formatCells="0" selectLockedCells="1" selectUnlockedCells="1"/>
  <mergeCells count="21">
    <mergeCell ref="B2:E2"/>
    <mergeCell ref="F2:G2"/>
    <mergeCell ref="F3:G3"/>
    <mergeCell ref="F12:G12"/>
    <mergeCell ref="F15:G15"/>
    <mergeCell ref="F16:G16"/>
    <mergeCell ref="B23:E23"/>
    <mergeCell ref="F6:G6"/>
    <mergeCell ref="F7:G7"/>
    <mergeCell ref="B3:E3"/>
    <mergeCell ref="B4:E4"/>
    <mergeCell ref="B6:B7"/>
    <mergeCell ref="C6:C7"/>
    <mergeCell ref="D6:E6"/>
    <mergeCell ref="F20:G20"/>
    <mergeCell ref="D7:E7"/>
    <mergeCell ref="B19:E19"/>
    <mergeCell ref="B18:E18"/>
    <mergeCell ref="F8:G9"/>
    <mergeCell ref="B16:E17"/>
    <mergeCell ref="B8:E9"/>
  </mergeCells>
  <conditionalFormatting sqref="C5">
    <cfRule type="containsText" dxfId="0" priority="1" operator="containsText" text="No Sort Selected">
      <formula>NOT(ISERROR(SEARCH("No Sort Selected",C5)))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4118" r:id="rId4" name="TextBoxPassword">
          <controlPr defaultSize="0" autoLine="0" r:id="rId5">
            <anchor moveWithCells="1">
              <from>
                <xdr:col>6</xdr:col>
                <xdr:colOff>0</xdr:colOff>
                <xdr:row>19</xdr:row>
                <xdr:rowOff>247650</xdr:rowOff>
              </from>
              <to>
                <xdr:col>6</xdr:col>
                <xdr:colOff>2162175</xdr:colOff>
                <xdr:row>20</xdr:row>
                <xdr:rowOff>133350</xdr:rowOff>
              </to>
            </anchor>
          </controlPr>
        </control>
      </mc:Choice>
      <mc:Fallback>
        <control shapeId="4118" r:id="rId4" name="TextBoxPassword"/>
      </mc:Fallback>
    </mc:AlternateContent>
    <mc:AlternateContent xmlns:mc="http://schemas.openxmlformats.org/markup-compatibility/2006">
      <mc:Choice Requires="x14">
        <control shapeId="4102" r:id="rId6" name="Button 6">
          <controlPr defaultSize="0" print="0" autoFill="0" autoPict="0" macro="[0]!Clear_Stats_Table_PS">
            <anchor moveWithCells="1">
              <from>
                <xdr:col>1</xdr:col>
                <xdr:colOff>381000</xdr:colOff>
                <xdr:row>10</xdr:row>
                <xdr:rowOff>200025</xdr:rowOff>
              </from>
              <to>
                <xdr:col>2</xdr:col>
                <xdr:colOff>809625</xdr:colOff>
                <xdr:row>13</xdr:row>
                <xdr:rowOff>0</xdr:rowOff>
              </to>
            </anchor>
          </controlPr>
        </control>
      </mc:Choice>
    </mc:AlternateContent>
    <mc:AlternateContent xmlns:mc="http://schemas.openxmlformats.org/markup-compatibility/2006">
      <mc:Choice Requires="x14">
        <control shapeId="4103" r:id="rId7" name="Button 7">
          <controlPr defaultSize="0" print="0" autoFill="0" autoPict="0" macro="[0]!Clear_Stats_Table_PD">
            <anchor moveWithCells="1">
              <from>
                <xdr:col>2</xdr:col>
                <xdr:colOff>1171575</xdr:colOff>
                <xdr:row>10</xdr:row>
                <xdr:rowOff>200025</xdr:rowOff>
              </from>
              <to>
                <xdr:col>3</xdr:col>
                <xdr:colOff>542925</xdr:colOff>
                <xdr:row>13</xdr:row>
                <xdr:rowOff>0</xdr:rowOff>
              </to>
            </anchor>
          </controlPr>
        </control>
      </mc:Choice>
    </mc:AlternateContent>
    <mc:AlternateContent xmlns:mc="http://schemas.openxmlformats.org/markup-compatibility/2006">
      <mc:Choice Requires="x14">
        <control shapeId="4104" r:id="rId8" name="Button 8">
          <controlPr defaultSize="0" print="0" autoFill="0" autoPict="0" macro="[0]!Clear_Stats_Table_SLSPri">
            <anchor moveWithCells="1">
              <from>
                <xdr:col>3</xdr:col>
                <xdr:colOff>895350</xdr:colOff>
                <xdr:row>10</xdr:row>
                <xdr:rowOff>200025</xdr:rowOff>
              </from>
              <to>
                <xdr:col>4</xdr:col>
                <xdr:colOff>1095375</xdr:colOff>
                <xdr:row>13</xdr:row>
                <xdr:rowOff>0</xdr:rowOff>
              </to>
            </anchor>
          </controlPr>
        </control>
      </mc:Choice>
    </mc:AlternateContent>
    <mc:AlternateContent xmlns:mc="http://schemas.openxmlformats.org/markup-compatibility/2006">
      <mc:Choice Requires="x14">
        <control shapeId="4106" r:id="rId9" name="Button 10">
          <controlPr defaultSize="0" print="0" autoFill="0" autoPict="0" macro="[0]!Clear_Stats_Table">
            <anchor moveWithCells="1">
              <from>
                <xdr:col>2</xdr:col>
                <xdr:colOff>1171575</xdr:colOff>
                <xdr:row>14</xdr:row>
                <xdr:rowOff>257175</xdr:rowOff>
              </from>
              <to>
                <xdr:col>3</xdr:col>
                <xdr:colOff>542925</xdr:colOff>
                <xdr:row>17</xdr:row>
                <xdr:rowOff>85725</xdr:rowOff>
              </to>
            </anchor>
          </controlPr>
        </control>
      </mc:Choice>
    </mc:AlternateContent>
    <mc:AlternateContent xmlns:mc="http://schemas.openxmlformats.org/markup-compatibility/2006">
      <mc:Choice Requires="x14">
        <control shapeId="4119" r:id="rId10" name="Button 23">
          <controlPr defaultSize="0" print="0" autoFill="0" autoPict="0" macro="[0]!Sheet5.Apply_Unlock_Workbook">
            <anchor moveWithCells="1" sizeWithCells="1">
              <from>
                <xdr:col>6</xdr:col>
                <xdr:colOff>1333500</xdr:colOff>
                <xdr:row>21</xdr:row>
                <xdr:rowOff>9525</xdr:rowOff>
              </from>
              <to>
                <xdr:col>6</xdr:col>
                <xdr:colOff>2314575</xdr:colOff>
                <xdr:row>22</xdr:row>
                <xdr:rowOff>104775</xdr:rowOff>
              </to>
            </anchor>
          </controlPr>
        </control>
      </mc:Choice>
    </mc:AlternateContent>
    <mc:AlternateContent xmlns:mc="http://schemas.openxmlformats.org/markup-compatibility/2006">
      <mc:Choice Requires="x14">
        <control shapeId="4120" r:id="rId11" name="Button 24">
          <controlPr defaultSize="0" print="0" autoFill="0" autoPict="0" macro="[0]!Sheet5.Apply_Lock_Workbook">
            <anchor moveWithCells="1" sizeWithCells="1">
              <from>
                <xdr:col>5</xdr:col>
                <xdr:colOff>962025</xdr:colOff>
                <xdr:row>21</xdr:row>
                <xdr:rowOff>9525</xdr:rowOff>
              </from>
              <to>
                <xdr:col>6</xdr:col>
                <xdr:colOff>838200</xdr:colOff>
                <xdr:row>22</xdr:row>
                <xdr:rowOff>104775</xdr:rowOff>
              </to>
            </anchor>
          </controlPr>
        </control>
      </mc:Choice>
    </mc:AlternateContent>
    <mc:AlternateContent xmlns:mc="http://schemas.openxmlformats.org/markup-compatibility/2006">
      <mc:Choice Requires="x14">
        <control shapeId="4121" r:id="rId12" name="Button 25">
          <controlPr defaultSize="0" print="0" autoFill="0" autoPict="0" macro="[0]!MultiAutoStats">
            <anchor moveWithCells="1">
              <from>
                <xdr:col>2</xdr:col>
                <xdr:colOff>1181100</xdr:colOff>
                <xdr:row>3</xdr:row>
                <xdr:rowOff>419100</xdr:rowOff>
              </from>
              <to>
                <xdr:col>3</xdr:col>
                <xdr:colOff>552450</xdr:colOff>
                <xdr:row>5</xdr:row>
                <xdr:rowOff>95250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P40"/>
  <sheetViews>
    <sheetView workbookViewId="0">
      <selection activeCell="B2" sqref="B2"/>
    </sheetView>
  </sheetViews>
  <sheetFormatPr defaultRowHeight="15" x14ac:dyDescent="0.25"/>
  <cols>
    <col min="1" max="1" width="25.5703125" customWidth="1"/>
    <col min="2" max="2" width="37.140625" customWidth="1"/>
    <col min="3" max="3" width="37.5703125" customWidth="1"/>
    <col min="4" max="4" width="36.85546875" customWidth="1"/>
    <col min="6" max="6" width="10.7109375" bestFit="1" customWidth="1"/>
    <col min="7" max="7" width="7.42578125" bestFit="1" customWidth="1"/>
    <col min="8" max="8" width="12.28515625" bestFit="1" customWidth="1"/>
    <col min="9" max="9" width="11.42578125" bestFit="1" customWidth="1"/>
    <col min="10" max="10" width="11" bestFit="1" customWidth="1"/>
    <col min="11" max="11" width="14.140625" bestFit="1" customWidth="1"/>
    <col min="12" max="12" width="10.85546875" bestFit="1" customWidth="1"/>
    <col min="13" max="13" width="14.42578125" bestFit="1" customWidth="1"/>
    <col min="14" max="14" width="17.5703125" bestFit="1" customWidth="1"/>
    <col min="15" max="15" width="16.140625" bestFit="1" customWidth="1"/>
    <col min="16" max="16" width="12.85546875" bestFit="1" customWidth="1"/>
  </cols>
  <sheetData>
    <row r="1" spans="1:16" ht="15.75" thickBot="1" x14ac:dyDescent="0.3">
      <c r="A1" s="48" t="s">
        <v>111</v>
      </c>
      <c r="B1" s="49" t="s">
        <v>112</v>
      </c>
      <c r="C1" s="48" t="s">
        <v>113</v>
      </c>
      <c r="F1" s="338" t="s">
        <v>129</v>
      </c>
      <c r="G1" s="338"/>
      <c r="H1" s="338"/>
      <c r="I1" s="338"/>
      <c r="J1" s="338"/>
      <c r="K1" s="338"/>
      <c r="L1" s="338"/>
      <c r="M1" s="338"/>
      <c r="N1" s="338"/>
      <c r="O1" s="338"/>
      <c r="P1" s="338"/>
    </row>
    <row r="2" spans="1:16" x14ac:dyDescent="0.25">
      <c r="A2" t="s">
        <v>104</v>
      </c>
      <c r="B2" s="200" t="s">
        <v>235</v>
      </c>
      <c r="F2" s="60" t="s">
        <v>42</v>
      </c>
      <c r="G2" s="61" t="s">
        <v>119</v>
      </c>
      <c r="H2" s="61" t="s">
        <v>120</v>
      </c>
      <c r="I2" s="61" t="s">
        <v>121</v>
      </c>
      <c r="J2" s="61" t="s">
        <v>122</v>
      </c>
      <c r="K2" s="61" t="s">
        <v>123</v>
      </c>
      <c r="L2" s="61" t="s">
        <v>124</v>
      </c>
      <c r="M2" s="61" t="s">
        <v>125</v>
      </c>
      <c r="N2" s="61" t="s">
        <v>126</v>
      </c>
      <c r="O2" s="61" t="s">
        <v>127</v>
      </c>
      <c r="P2" s="61" t="s">
        <v>128</v>
      </c>
    </row>
    <row r="3" spans="1:16" x14ac:dyDescent="0.25">
      <c r="A3" t="s">
        <v>100</v>
      </c>
      <c r="B3" t="s">
        <v>174</v>
      </c>
      <c r="C3" t="s">
        <v>102</v>
      </c>
      <c r="F3" s="58" t="s">
        <v>130</v>
      </c>
      <c r="G3" s="56"/>
      <c r="H3" s="56"/>
      <c r="I3" s="56"/>
      <c r="J3" s="56"/>
      <c r="K3" s="56" t="s">
        <v>155</v>
      </c>
      <c r="L3" s="56" t="s">
        <v>157</v>
      </c>
      <c r="M3" s="56" t="s">
        <v>160</v>
      </c>
      <c r="N3" s="56" t="s">
        <v>160</v>
      </c>
      <c r="O3" s="56" t="s">
        <v>160</v>
      </c>
      <c r="P3" s="56"/>
    </row>
    <row r="4" spans="1:16" x14ac:dyDescent="0.25">
      <c r="A4" t="s">
        <v>101</v>
      </c>
      <c r="B4" t="s">
        <v>175</v>
      </c>
      <c r="C4" t="s">
        <v>103</v>
      </c>
      <c r="F4" s="59" t="s">
        <v>131</v>
      </c>
      <c r="G4" s="57"/>
      <c r="H4" s="57"/>
      <c r="I4" s="57"/>
      <c r="J4" s="57"/>
      <c r="K4" s="57" t="s">
        <v>156</v>
      </c>
      <c r="L4" s="57" t="s">
        <v>158</v>
      </c>
      <c r="M4" s="57" t="s">
        <v>161</v>
      </c>
      <c r="N4" s="57" t="s">
        <v>162</v>
      </c>
      <c r="O4" s="57" t="s">
        <v>161</v>
      </c>
      <c r="P4" s="57"/>
    </row>
    <row r="5" spans="1:16" x14ac:dyDescent="0.25">
      <c r="F5" s="58" t="s">
        <v>132</v>
      </c>
      <c r="G5" s="56"/>
      <c r="H5" s="56"/>
      <c r="I5" s="56"/>
      <c r="J5" s="56"/>
      <c r="K5" s="56"/>
      <c r="L5" s="56" t="s">
        <v>164</v>
      </c>
      <c r="M5" s="56"/>
      <c r="N5" s="56" t="s">
        <v>161</v>
      </c>
      <c r="O5" s="56" t="s">
        <v>163</v>
      </c>
      <c r="P5" s="56"/>
    </row>
    <row r="6" spans="1:16" x14ac:dyDescent="0.25">
      <c r="A6" t="s">
        <v>105</v>
      </c>
      <c r="B6" s="42" t="s">
        <v>177</v>
      </c>
      <c r="C6" t="s">
        <v>114</v>
      </c>
      <c r="D6" t="s">
        <v>116</v>
      </c>
      <c r="F6" s="59" t="s">
        <v>133</v>
      </c>
      <c r="G6" s="57"/>
      <c r="H6" s="57"/>
      <c r="I6" s="57"/>
      <c r="J6" s="57"/>
      <c r="K6" s="57"/>
      <c r="L6" s="57" t="s">
        <v>159</v>
      </c>
      <c r="M6" s="57"/>
      <c r="N6" s="57"/>
      <c r="O6" s="57"/>
      <c r="P6" s="57"/>
    </row>
    <row r="7" spans="1:16" x14ac:dyDescent="0.25">
      <c r="A7" t="s">
        <v>107</v>
      </c>
      <c r="B7" t="s">
        <v>173</v>
      </c>
      <c r="F7" s="58" t="s">
        <v>134</v>
      </c>
      <c r="G7" s="56"/>
      <c r="H7" s="56"/>
      <c r="I7" s="56"/>
      <c r="J7" s="56"/>
      <c r="K7" s="56"/>
      <c r="L7" s="56"/>
      <c r="M7" s="56"/>
      <c r="N7" s="56"/>
      <c r="O7" s="56"/>
      <c r="P7" s="56"/>
    </row>
    <row r="8" spans="1:16" x14ac:dyDescent="0.25">
      <c r="A8" t="s">
        <v>108</v>
      </c>
      <c r="B8" t="s">
        <v>179</v>
      </c>
      <c r="F8" s="59" t="s">
        <v>135</v>
      </c>
      <c r="G8" s="57"/>
      <c r="H8" s="57"/>
      <c r="I8" s="57"/>
      <c r="J8" s="57"/>
      <c r="K8" s="57"/>
      <c r="L8" s="57"/>
      <c r="M8" s="57"/>
      <c r="N8" s="57"/>
      <c r="O8" s="57"/>
      <c r="P8" s="57"/>
    </row>
    <row r="9" spans="1:16" x14ac:dyDescent="0.25">
      <c r="F9" s="58" t="s">
        <v>136</v>
      </c>
      <c r="G9" s="56"/>
      <c r="H9" s="56"/>
      <c r="I9" s="56"/>
      <c r="J9" s="56"/>
      <c r="K9" s="56"/>
      <c r="L9" s="56"/>
      <c r="M9" s="56"/>
      <c r="N9" s="56"/>
      <c r="O9" s="56"/>
      <c r="P9" s="56"/>
    </row>
    <row r="10" spans="1:16" x14ac:dyDescent="0.25">
      <c r="A10" t="s">
        <v>106</v>
      </c>
      <c r="B10" s="42" t="s">
        <v>178</v>
      </c>
      <c r="C10" t="s">
        <v>115</v>
      </c>
      <c r="D10" t="s">
        <v>116</v>
      </c>
      <c r="F10" s="59" t="s">
        <v>137</v>
      </c>
      <c r="G10" s="57"/>
      <c r="H10" s="57"/>
      <c r="I10" s="57"/>
      <c r="J10" s="57"/>
      <c r="K10" s="57"/>
      <c r="L10" s="57"/>
      <c r="M10" s="57"/>
      <c r="N10" s="57"/>
      <c r="O10" s="57"/>
      <c r="P10" s="57"/>
    </row>
    <row r="11" spans="1:16" x14ac:dyDescent="0.25">
      <c r="A11" t="s">
        <v>109</v>
      </c>
      <c r="B11" t="s">
        <v>173</v>
      </c>
      <c r="F11" s="58" t="s">
        <v>138</v>
      </c>
      <c r="G11" s="56"/>
      <c r="H11" s="56"/>
      <c r="I11" s="56"/>
      <c r="J11" s="56"/>
      <c r="K11" s="56"/>
      <c r="L11" s="56"/>
      <c r="M11" s="56"/>
      <c r="N11" s="56"/>
      <c r="O11" s="56"/>
      <c r="P11" s="56"/>
    </row>
    <row r="12" spans="1:16" x14ac:dyDescent="0.25">
      <c r="A12" t="s">
        <v>110</v>
      </c>
      <c r="B12" t="s">
        <v>179</v>
      </c>
      <c r="F12" s="59" t="s">
        <v>21</v>
      </c>
      <c r="G12" s="57"/>
      <c r="H12" s="57"/>
      <c r="I12" s="57"/>
      <c r="J12" s="57"/>
      <c r="K12" s="57"/>
      <c r="L12" s="57"/>
      <c r="M12" s="57"/>
      <c r="N12" s="57"/>
      <c r="O12" s="57"/>
      <c r="P12" s="57"/>
    </row>
    <row r="13" spans="1:16" x14ac:dyDescent="0.25">
      <c r="F13" s="58" t="s">
        <v>22</v>
      </c>
      <c r="G13" s="56"/>
      <c r="H13" s="56"/>
      <c r="I13" s="56"/>
      <c r="J13" s="56"/>
      <c r="K13" s="56"/>
      <c r="L13" s="56"/>
      <c r="M13" s="56"/>
      <c r="N13" s="56"/>
      <c r="O13" s="56"/>
      <c r="P13" s="56"/>
    </row>
    <row r="14" spans="1:16" x14ac:dyDescent="0.25">
      <c r="A14" t="s">
        <v>165</v>
      </c>
      <c r="B14" s="42" t="s">
        <v>180</v>
      </c>
      <c r="C14" t="s">
        <v>166</v>
      </c>
      <c r="F14" s="59" t="s">
        <v>23</v>
      </c>
      <c r="G14" s="57"/>
      <c r="H14" s="57"/>
      <c r="I14" s="57"/>
      <c r="J14" s="57"/>
      <c r="K14" s="57"/>
      <c r="L14" s="57"/>
      <c r="M14" s="57"/>
      <c r="N14" s="57"/>
      <c r="O14" s="57"/>
      <c r="P14" s="57"/>
    </row>
    <row r="15" spans="1:16" x14ac:dyDescent="0.25">
      <c r="F15" s="58" t="s">
        <v>139</v>
      </c>
      <c r="G15" s="56"/>
      <c r="H15" s="56"/>
      <c r="I15" s="56"/>
      <c r="J15" s="56"/>
      <c r="K15" s="56"/>
      <c r="L15" s="56"/>
      <c r="M15" s="56"/>
      <c r="N15" s="56"/>
      <c r="O15" s="56"/>
      <c r="P15" s="56"/>
    </row>
    <row r="16" spans="1:16" x14ac:dyDescent="0.25">
      <c r="F16" s="59" t="s">
        <v>140</v>
      </c>
      <c r="G16" s="57"/>
      <c r="H16" s="57"/>
      <c r="I16" s="57"/>
      <c r="J16" s="57"/>
      <c r="K16" s="57"/>
      <c r="L16" s="57"/>
      <c r="M16" s="57"/>
      <c r="N16" s="57"/>
      <c r="O16" s="57"/>
      <c r="P16" s="57"/>
    </row>
    <row r="17" spans="1:16" x14ac:dyDescent="0.25">
      <c r="A17" s="339" t="s">
        <v>167</v>
      </c>
      <c r="B17" s="339"/>
      <c r="C17" s="339"/>
      <c r="F17" s="58" t="s">
        <v>141</v>
      </c>
      <c r="G17" s="56"/>
      <c r="H17" s="56"/>
      <c r="I17" s="56"/>
      <c r="J17" s="56"/>
      <c r="K17" s="56"/>
      <c r="L17" s="56"/>
      <c r="M17" s="56"/>
      <c r="N17" s="56"/>
      <c r="O17" s="56"/>
      <c r="P17" s="56"/>
    </row>
    <row r="18" spans="1:16" x14ac:dyDescent="0.25">
      <c r="A18" s="339"/>
      <c r="B18" s="339"/>
      <c r="C18" s="339"/>
      <c r="F18" s="59" t="s">
        <v>142</v>
      </c>
      <c r="G18" s="57"/>
      <c r="H18" s="57"/>
      <c r="I18" s="57"/>
      <c r="J18" s="57"/>
      <c r="K18" s="57"/>
      <c r="L18" s="57"/>
      <c r="M18" s="57"/>
      <c r="N18" s="57"/>
      <c r="O18" s="57"/>
      <c r="P18" s="57"/>
    </row>
    <row r="19" spans="1:16" x14ac:dyDescent="0.25">
      <c r="A19" s="340" t="s">
        <v>168</v>
      </c>
      <c r="B19" s="340"/>
      <c r="C19" s="340"/>
      <c r="F19" s="58" t="s">
        <v>143</v>
      </c>
      <c r="G19" s="56"/>
      <c r="H19" s="56"/>
      <c r="I19" s="56"/>
      <c r="J19" s="56"/>
      <c r="K19" s="56"/>
      <c r="L19" s="56"/>
      <c r="M19" s="56"/>
      <c r="N19" s="56"/>
      <c r="O19" s="56"/>
      <c r="P19" s="56"/>
    </row>
    <row r="20" spans="1:16" x14ac:dyDescent="0.25">
      <c r="A20" s="340"/>
      <c r="B20" s="340"/>
      <c r="C20" s="340"/>
      <c r="F20" s="59" t="s">
        <v>144</v>
      </c>
      <c r="G20" s="57"/>
      <c r="H20" s="57"/>
      <c r="I20" s="57"/>
      <c r="J20" s="57"/>
      <c r="K20" s="57"/>
      <c r="L20" s="57"/>
      <c r="M20" s="57"/>
      <c r="N20" s="57"/>
      <c r="O20" s="57"/>
      <c r="P20" s="57"/>
    </row>
    <row r="21" spans="1:16" x14ac:dyDescent="0.25">
      <c r="A21" s="340"/>
      <c r="B21" s="340"/>
      <c r="C21" s="340"/>
      <c r="F21" s="58" t="s">
        <v>145</v>
      </c>
      <c r="G21" s="56"/>
      <c r="H21" s="56"/>
      <c r="I21" s="56"/>
      <c r="J21" s="56"/>
      <c r="K21" s="56"/>
      <c r="L21" s="56"/>
      <c r="M21" s="56"/>
      <c r="N21" s="56"/>
      <c r="O21" s="56"/>
      <c r="P21" s="56"/>
    </row>
    <row r="22" spans="1:16" x14ac:dyDescent="0.25">
      <c r="A22" s="340"/>
      <c r="B22" s="340"/>
      <c r="C22" s="340"/>
      <c r="F22" s="59" t="s">
        <v>146</v>
      </c>
      <c r="G22" s="57"/>
      <c r="H22" s="57"/>
      <c r="I22" s="57"/>
      <c r="J22" s="57"/>
      <c r="K22" s="57"/>
      <c r="L22" s="57"/>
      <c r="M22" s="57"/>
      <c r="N22" s="57"/>
      <c r="O22" s="57"/>
      <c r="P22" s="57"/>
    </row>
    <row r="23" spans="1:16" x14ac:dyDescent="0.25">
      <c r="A23" s="340"/>
      <c r="B23" s="340"/>
      <c r="C23" s="340"/>
      <c r="F23" s="58" t="s">
        <v>147</v>
      </c>
      <c r="G23" s="56"/>
      <c r="H23" s="56"/>
      <c r="I23" s="56"/>
      <c r="J23" s="56"/>
      <c r="K23" s="56"/>
      <c r="L23" s="56"/>
      <c r="M23" s="56"/>
      <c r="N23" s="56"/>
      <c r="O23" s="56"/>
      <c r="P23" s="56"/>
    </row>
    <row r="24" spans="1:16" x14ac:dyDescent="0.25">
      <c r="A24" s="340"/>
      <c r="B24" s="340"/>
      <c r="C24" s="340"/>
      <c r="F24" s="59" t="s">
        <v>33</v>
      </c>
      <c r="G24" s="57"/>
      <c r="H24" s="57"/>
      <c r="I24" s="57"/>
      <c r="J24" s="57"/>
      <c r="K24" s="57"/>
      <c r="L24" s="57"/>
      <c r="M24" s="57"/>
      <c r="N24" s="57"/>
      <c r="O24" s="57"/>
      <c r="P24" s="57"/>
    </row>
    <row r="25" spans="1:16" x14ac:dyDescent="0.25">
      <c r="A25" s="340"/>
      <c r="B25" s="340"/>
      <c r="C25" s="340"/>
      <c r="F25" s="58" t="s">
        <v>34</v>
      </c>
      <c r="G25" s="56"/>
      <c r="H25" s="56"/>
      <c r="I25" s="56"/>
      <c r="J25" s="56"/>
      <c r="K25" s="56"/>
      <c r="L25" s="56"/>
      <c r="M25" s="56"/>
      <c r="N25" s="56"/>
      <c r="O25" s="56"/>
      <c r="P25" s="56"/>
    </row>
    <row r="26" spans="1:16" x14ac:dyDescent="0.25">
      <c r="A26" s="340"/>
      <c r="B26" s="340"/>
      <c r="C26" s="340"/>
      <c r="F26" s="59" t="s">
        <v>63</v>
      </c>
      <c r="G26" s="57"/>
      <c r="H26" s="57"/>
      <c r="I26" s="57"/>
      <c r="J26" s="57"/>
      <c r="K26" s="57"/>
      <c r="L26" s="57"/>
      <c r="M26" s="57"/>
      <c r="N26" s="57"/>
      <c r="O26" s="57"/>
      <c r="P26" s="57"/>
    </row>
    <row r="27" spans="1:16" x14ac:dyDescent="0.25">
      <c r="A27" s="340"/>
      <c r="B27" s="340"/>
      <c r="C27" s="340"/>
      <c r="F27" s="58" t="s">
        <v>64</v>
      </c>
      <c r="G27" s="56"/>
      <c r="H27" s="56"/>
      <c r="I27" s="56"/>
      <c r="J27" s="56"/>
      <c r="K27" s="56"/>
      <c r="L27" s="56"/>
      <c r="M27" s="56"/>
      <c r="N27" s="56"/>
      <c r="O27" s="56"/>
      <c r="P27" s="56"/>
    </row>
    <row r="28" spans="1:16" x14ac:dyDescent="0.25">
      <c r="A28" s="340"/>
      <c r="B28" s="340"/>
      <c r="C28" s="340"/>
      <c r="F28" s="59" t="s">
        <v>65</v>
      </c>
      <c r="G28" s="57"/>
      <c r="H28" s="57"/>
      <c r="I28" s="57"/>
      <c r="J28" s="57"/>
      <c r="K28" s="57"/>
      <c r="L28" s="57"/>
      <c r="M28" s="57"/>
      <c r="N28" s="57"/>
      <c r="O28" s="57"/>
      <c r="P28" s="57"/>
    </row>
    <row r="29" spans="1:16" x14ac:dyDescent="0.25">
      <c r="A29" s="340"/>
      <c r="B29" s="340"/>
      <c r="C29" s="340"/>
      <c r="F29" s="58" t="s">
        <v>66</v>
      </c>
      <c r="G29" s="56"/>
      <c r="H29" s="56"/>
      <c r="I29" s="56"/>
      <c r="J29" s="56"/>
      <c r="K29" s="56"/>
      <c r="L29" s="56"/>
      <c r="M29" s="56"/>
      <c r="N29" s="56"/>
      <c r="O29" s="56"/>
      <c r="P29" s="56"/>
    </row>
    <row r="30" spans="1:16" x14ac:dyDescent="0.25">
      <c r="A30" s="340"/>
      <c r="B30" s="340"/>
      <c r="C30" s="340"/>
      <c r="F30" s="59" t="s">
        <v>67</v>
      </c>
      <c r="G30" s="57"/>
      <c r="H30" s="57"/>
      <c r="I30" s="57"/>
      <c r="J30" s="57"/>
      <c r="K30" s="57"/>
      <c r="L30" s="57"/>
      <c r="M30" s="57"/>
      <c r="N30" s="57"/>
      <c r="O30" s="57"/>
      <c r="P30" s="57"/>
    </row>
    <row r="31" spans="1:16" x14ac:dyDescent="0.25">
      <c r="F31" s="58" t="s">
        <v>68</v>
      </c>
      <c r="G31" s="56"/>
      <c r="H31" s="56"/>
      <c r="I31" s="56"/>
      <c r="J31" s="56"/>
      <c r="K31" s="56"/>
      <c r="L31" s="56"/>
      <c r="M31" s="56"/>
      <c r="N31" s="56"/>
      <c r="O31" s="56"/>
      <c r="P31" s="56"/>
    </row>
    <row r="32" spans="1:16" x14ac:dyDescent="0.25">
      <c r="F32" s="59" t="s">
        <v>69</v>
      </c>
      <c r="G32" s="57"/>
      <c r="H32" s="57"/>
      <c r="I32" s="57"/>
      <c r="J32" s="57"/>
      <c r="K32" s="57"/>
      <c r="L32" s="57"/>
      <c r="M32" s="57"/>
      <c r="N32" s="57"/>
      <c r="O32" s="57"/>
      <c r="P32" s="57"/>
    </row>
    <row r="33" spans="6:16" x14ac:dyDescent="0.25">
      <c r="F33" s="58" t="s">
        <v>70</v>
      </c>
      <c r="G33" s="56"/>
      <c r="H33" s="56"/>
      <c r="I33" s="56"/>
      <c r="J33" s="56"/>
      <c r="K33" s="56"/>
      <c r="L33" s="56"/>
      <c r="M33" s="56"/>
      <c r="N33" s="56"/>
      <c r="O33" s="56"/>
      <c r="P33" s="56"/>
    </row>
    <row r="34" spans="6:16" x14ac:dyDescent="0.25">
      <c r="F34" s="59" t="s">
        <v>148</v>
      </c>
      <c r="G34" s="57"/>
      <c r="H34" s="57"/>
      <c r="I34" s="57"/>
      <c r="J34" s="57"/>
      <c r="K34" s="57"/>
      <c r="L34" s="57"/>
      <c r="M34" s="57"/>
      <c r="N34" s="57"/>
      <c r="O34" s="57"/>
      <c r="P34" s="57"/>
    </row>
    <row r="35" spans="6:16" x14ac:dyDescent="0.25">
      <c r="F35" s="58" t="s">
        <v>149</v>
      </c>
      <c r="G35" s="56"/>
      <c r="H35" s="56"/>
      <c r="I35" s="56"/>
      <c r="J35" s="56"/>
      <c r="K35" s="56"/>
      <c r="L35" s="56"/>
      <c r="M35" s="56"/>
      <c r="N35" s="56"/>
      <c r="O35" s="56"/>
      <c r="P35" s="56"/>
    </row>
    <row r="36" spans="6:16" x14ac:dyDescent="0.25">
      <c r="F36" s="59" t="s">
        <v>150</v>
      </c>
      <c r="G36" s="57"/>
      <c r="H36" s="57"/>
      <c r="I36" s="57"/>
      <c r="J36" s="57"/>
      <c r="K36" s="57"/>
      <c r="L36" s="57"/>
      <c r="M36" s="57"/>
      <c r="N36" s="57"/>
      <c r="O36" s="57"/>
      <c r="P36" s="57"/>
    </row>
    <row r="37" spans="6:16" x14ac:dyDescent="0.25">
      <c r="F37" s="58" t="s">
        <v>151</v>
      </c>
      <c r="G37" s="56"/>
      <c r="H37" s="56"/>
      <c r="I37" s="56"/>
      <c r="J37" s="56"/>
      <c r="K37" s="56"/>
      <c r="L37" s="56"/>
      <c r="M37" s="56"/>
      <c r="N37" s="56"/>
      <c r="O37" s="56"/>
      <c r="P37" s="56"/>
    </row>
    <row r="38" spans="6:16" x14ac:dyDescent="0.25">
      <c r="F38" s="59" t="s">
        <v>152</v>
      </c>
      <c r="G38" s="57"/>
      <c r="H38" s="57"/>
      <c r="I38" s="57"/>
      <c r="J38" s="57"/>
      <c r="K38" s="57"/>
      <c r="L38" s="57"/>
      <c r="M38" s="57"/>
      <c r="N38" s="57"/>
      <c r="O38" s="57"/>
      <c r="P38" s="57"/>
    </row>
    <row r="39" spans="6:16" x14ac:dyDescent="0.25">
      <c r="F39" s="58" t="s">
        <v>153</v>
      </c>
      <c r="G39" s="56"/>
      <c r="H39" s="56"/>
      <c r="I39" s="56"/>
      <c r="J39" s="56"/>
      <c r="K39" s="56"/>
      <c r="L39" s="56"/>
      <c r="M39" s="56"/>
      <c r="N39" s="56"/>
      <c r="O39" s="56"/>
      <c r="P39" s="56"/>
    </row>
    <row r="40" spans="6:16" x14ac:dyDescent="0.25">
      <c r="F40" s="59" t="s">
        <v>154</v>
      </c>
      <c r="G40" s="57"/>
      <c r="H40" s="57"/>
      <c r="I40" s="57"/>
      <c r="J40" s="57"/>
      <c r="K40" s="57"/>
      <c r="L40" s="57"/>
      <c r="M40" s="57"/>
      <c r="N40" s="57"/>
      <c r="O40" s="57"/>
      <c r="P40" s="57"/>
    </row>
  </sheetData>
  <sheetProtection algorithmName="SHA-512" hashValue="7kxl4rJ31nDWcuTPRiQVhMcoudN32bU2ubTo5O5mbF9iaDCbcDodOEGvQ1i2EA7dAiRY9e39ielY4zQuCXuV0Q==" saltValue="g8HgKyMH3qlkYgg5r/h0Jw==" spinCount="100000" sheet="1" objects="1" scenarios="1" formatCells="0" selectLockedCells="1" selectUnlockedCells="1"/>
  <mergeCells count="3">
    <mergeCell ref="F1:P1"/>
    <mergeCell ref="A17:C18"/>
    <mergeCell ref="A19:C30"/>
  </mergeCells>
  <hyperlinks>
    <hyperlink ref="B6" r:id="rId1" xr:uid="{00000000-0004-0000-0400-000000000000}"/>
    <hyperlink ref="B14" r:id="rId2" xr:uid="{00000000-0004-0000-0400-000001000000}"/>
  </hyperlinks>
  <pageMargins left="0.7" right="0.7" top="0.75" bottom="0.75" header="0.3" footer="0.3"/>
  <pageSetup orientation="portrait"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P37"/>
  <sheetViews>
    <sheetView zoomScale="90" zoomScaleNormal="90" workbookViewId="0">
      <selection sqref="A1:N1"/>
    </sheetView>
  </sheetViews>
  <sheetFormatPr defaultRowHeight="15" x14ac:dyDescent="0.25"/>
  <cols>
    <col min="2" max="14" width="18" customWidth="1"/>
    <col min="16" max="16" width="37.5703125" customWidth="1"/>
  </cols>
  <sheetData>
    <row r="1" spans="1:16" ht="30.75" customHeight="1" thickBot="1" x14ac:dyDescent="0.3">
      <c r="A1" s="341" t="s">
        <v>118</v>
      </c>
      <c r="B1" s="341"/>
      <c r="C1" s="341"/>
      <c r="D1" s="341"/>
      <c r="E1" s="341"/>
      <c r="F1" s="341"/>
      <c r="G1" s="341"/>
      <c r="H1" s="341"/>
      <c r="I1" s="341"/>
      <c r="J1" s="341"/>
      <c r="K1" s="341"/>
      <c r="L1" s="341"/>
      <c r="M1" s="341"/>
      <c r="N1" s="341"/>
      <c r="O1" s="24" t="b">
        <f>IFERROR(AND(B3:J14,L3:N14,B16:I26,L16:N26,B28:I31,K28:N31,B33:I36,K33:N36),TRUE)</f>
        <v>0</v>
      </c>
      <c r="P1" s="25" t="s">
        <v>90</v>
      </c>
    </row>
    <row r="2" spans="1:16" ht="30.75" customHeight="1" thickBot="1" x14ac:dyDescent="0.3">
      <c r="A2" s="8"/>
      <c r="B2" s="8" t="s">
        <v>46</v>
      </c>
      <c r="C2" s="8" t="s">
        <v>47</v>
      </c>
      <c r="D2" s="8" t="s">
        <v>48</v>
      </c>
      <c r="E2" s="8" t="s">
        <v>49</v>
      </c>
      <c r="F2" s="8" t="s">
        <v>55</v>
      </c>
      <c r="G2" s="8" t="s">
        <v>56</v>
      </c>
      <c r="H2" s="8" t="s">
        <v>61</v>
      </c>
      <c r="I2" s="8" t="s">
        <v>60</v>
      </c>
      <c r="J2" s="8" t="s">
        <v>62</v>
      </c>
      <c r="K2" s="8" t="s">
        <v>79</v>
      </c>
      <c r="L2" s="8" t="s">
        <v>74</v>
      </c>
      <c r="M2" s="8" t="s">
        <v>57</v>
      </c>
      <c r="N2" s="8" t="s">
        <v>73</v>
      </c>
      <c r="O2" s="24"/>
      <c r="P2" s="26"/>
    </row>
    <row r="3" spans="1:16" x14ac:dyDescent="0.25">
      <c r="A3" s="6" t="s">
        <v>12</v>
      </c>
      <c r="B3" s="14">
        <v>0</v>
      </c>
      <c r="C3" s="14">
        <v>0</v>
      </c>
      <c r="D3" s="14">
        <v>0</v>
      </c>
      <c r="E3" s="14">
        <v>0</v>
      </c>
      <c r="F3" s="14">
        <v>0</v>
      </c>
      <c r="G3" s="14">
        <v>0</v>
      </c>
      <c r="H3" s="14">
        <v>0</v>
      </c>
      <c r="I3" s="14">
        <v>0</v>
      </c>
      <c r="J3" s="14">
        <v>0</v>
      </c>
      <c r="K3" s="15">
        <v>0</v>
      </c>
      <c r="L3" s="14">
        <v>0</v>
      </c>
      <c r="M3" s="14">
        <v>0</v>
      </c>
      <c r="N3" s="14">
        <v>0</v>
      </c>
      <c r="O3" t="b">
        <f>IFERROR(AND(B3:J14,L3:N14),TRUE)</f>
        <v>0</v>
      </c>
      <c r="P3" t="s">
        <v>92</v>
      </c>
    </row>
    <row r="4" spans="1:16" x14ac:dyDescent="0.25">
      <c r="A4" s="4" t="s">
        <v>13</v>
      </c>
      <c r="B4" s="14">
        <v>0</v>
      </c>
      <c r="C4" s="14">
        <v>0</v>
      </c>
      <c r="D4" s="14">
        <v>0</v>
      </c>
      <c r="E4" s="14">
        <v>0</v>
      </c>
      <c r="F4" s="14">
        <v>0</v>
      </c>
      <c r="G4" s="14">
        <v>0</v>
      </c>
      <c r="H4" s="14">
        <v>0</v>
      </c>
      <c r="I4" s="14">
        <v>0</v>
      </c>
      <c r="J4" s="14">
        <v>0</v>
      </c>
      <c r="K4" s="16">
        <v>0</v>
      </c>
      <c r="L4" s="14">
        <v>0</v>
      </c>
      <c r="M4" s="14">
        <v>0</v>
      </c>
      <c r="N4" s="14">
        <v>0</v>
      </c>
    </row>
    <row r="5" spans="1:16" x14ac:dyDescent="0.25">
      <c r="A5" s="4" t="s">
        <v>14</v>
      </c>
      <c r="B5" s="14">
        <v>0</v>
      </c>
      <c r="C5" s="14">
        <v>0</v>
      </c>
      <c r="D5" s="14">
        <v>0</v>
      </c>
      <c r="E5" s="14">
        <v>0</v>
      </c>
      <c r="F5" s="14">
        <v>0</v>
      </c>
      <c r="G5" s="14">
        <v>0</v>
      </c>
      <c r="H5" s="14">
        <v>0</v>
      </c>
      <c r="I5" s="14">
        <v>0</v>
      </c>
      <c r="J5" s="14">
        <v>0</v>
      </c>
      <c r="K5" s="16">
        <v>0</v>
      </c>
      <c r="L5" s="14">
        <v>0</v>
      </c>
      <c r="M5" s="14">
        <v>0</v>
      </c>
      <c r="N5" s="14">
        <v>0</v>
      </c>
    </row>
    <row r="6" spans="1:16" x14ac:dyDescent="0.25">
      <c r="A6" s="4" t="s">
        <v>15</v>
      </c>
      <c r="B6" s="14">
        <v>0</v>
      </c>
      <c r="C6" s="14">
        <v>0</v>
      </c>
      <c r="D6" s="14">
        <v>0</v>
      </c>
      <c r="E6" s="14">
        <v>0</v>
      </c>
      <c r="F6" s="14">
        <v>0</v>
      </c>
      <c r="G6" s="14">
        <v>0</v>
      </c>
      <c r="H6" s="14">
        <v>0</v>
      </c>
      <c r="I6" s="14">
        <v>0</v>
      </c>
      <c r="J6" s="14">
        <v>0</v>
      </c>
      <c r="K6" s="16">
        <v>0</v>
      </c>
      <c r="L6" s="14">
        <v>0</v>
      </c>
      <c r="M6" s="14">
        <v>0</v>
      </c>
      <c r="N6" s="14">
        <v>0</v>
      </c>
    </row>
    <row r="7" spans="1:16" x14ac:dyDescent="0.25">
      <c r="A7" s="4" t="s">
        <v>16</v>
      </c>
      <c r="B7" s="14"/>
      <c r="C7" s="14"/>
      <c r="D7" s="14"/>
      <c r="E7" s="14"/>
      <c r="F7" s="14"/>
      <c r="G7" s="14"/>
      <c r="H7" s="14"/>
      <c r="I7" s="14"/>
      <c r="J7" s="14"/>
      <c r="K7" s="16">
        <v>0</v>
      </c>
      <c r="L7" s="14"/>
      <c r="M7" s="14"/>
      <c r="N7" s="14"/>
    </row>
    <row r="8" spans="1:16" x14ac:dyDescent="0.25">
      <c r="A8" s="4" t="s">
        <v>17</v>
      </c>
      <c r="B8" s="14">
        <v>0</v>
      </c>
      <c r="C8" s="14">
        <v>0</v>
      </c>
      <c r="D8" s="14">
        <v>0</v>
      </c>
      <c r="E8" s="14">
        <v>0</v>
      </c>
      <c r="F8" s="14">
        <v>0</v>
      </c>
      <c r="G8" s="14">
        <v>0</v>
      </c>
      <c r="H8" s="14">
        <v>0</v>
      </c>
      <c r="I8" s="14">
        <v>0</v>
      </c>
      <c r="J8" s="14">
        <v>0</v>
      </c>
      <c r="K8" s="16">
        <v>0</v>
      </c>
      <c r="L8" s="14">
        <v>0</v>
      </c>
      <c r="M8" s="14">
        <v>0</v>
      </c>
      <c r="N8" s="14">
        <v>0</v>
      </c>
    </row>
    <row r="9" spans="1:16" x14ac:dyDescent="0.25">
      <c r="A9" s="4" t="s">
        <v>18</v>
      </c>
      <c r="B9" s="14">
        <v>0</v>
      </c>
      <c r="C9" s="14">
        <v>0</v>
      </c>
      <c r="D9" s="14">
        <v>0</v>
      </c>
      <c r="E9" s="14">
        <v>0</v>
      </c>
      <c r="F9" s="14">
        <v>0</v>
      </c>
      <c r="G9" s="14">
        <v>0</v>
      </c>
      <c r="H9" s="14">
        <v>0</v>
      </c>
      <c r="I9" s="14">
        <v>0</v>
      </c>
      <c r="J9" s="14">
        <v>0</v>
      </c>
      <c r="K9" s="16">
        <v>0</v>
      </c>
      <c r="L9" s="14">
        <v>0</v>
      </c>
      <c r="M9" s="14">
        <v>0</v>
      </c>
      <c r="N9" s="14">
        <v>0</v>
      </c>
    </row>
    <row r="10" spans="1:16" x14ac:dyDescent="0.25">
      <c r="A10" s="4" t="s">
        <v>19</v>
      </c>
      <c r="B10" s="14">
        <v>0</v>
      </c>
      <c r="C10" s="14">
        <v>0</v>
      </c>
      <c r="D10" s="14">
        <v>0</v>
      </c>
      <c r="E10" s="14">
        <v>0</v>
      </c>
      <c r="F10" s="14">
        <v>0</v>
      </c>
      <c r="G10" s="14">
        <v>0</v>
      </c>
      <c r="H10" s="14">
        <v>0</v>
      </c>
      <c r="I10" s="14">
        <v>0</v>
      </c>
      <c r="J10" s="14">
        <v>0</v>
      </c>
      <c r="K10" s="16">
        <v>0</v>
      </c>
      <c r="L10" s="14">
        <v>0</v>
      </c>
      <c r="M10" s="14">
        <v>0</v>
      </c>
      <c r="N10" s="14">
        <v>0</v>
      </c>
    </row>
    <row r="11" spans="1:16" x14ac:dyDescent="0.25">
      <c r="A11" s="4" t="s">
        <v>20</v>
      </c>
      <c r="B11" s="14">
        <v>0</v>
      </c>
      <c r="C11" s="14">
        <v>0</v>
      </c>
      <c r="D11" s="14">
        <v>0</v>
      </c>
      <c r="E11" s="14">
        <v>0</v>
      </c>
      <c r="F11" s="14">
        <v>0</v>
      </c>
      <c r="G11" s="14">
        <v>0</v>
      </c>
      <c r="H11" s="14">
        <v>0</v>
      </c>
      <c r="I11" s="14">
        <v>0</v>
      </c>
      <c r="J11" s="14">
        <v>0</v>
      </c>
      <c r="K11" s="16">
        <v>0</v>
      </c>
      <c r="L11" s="14">
        <v>0</v>
      </c>
      <c r="M11" s="14">
        <v>0</v>
      </c>
      <c r="N11" s="14">
        <v>0</v>
      </c>
    </row>
    <row r="12" spans="1:16" x14ac:dyDescent="0.25">
      <c r="A12" s="4" t="s">
        <v>21</v>
      </c>
      <c r="B12" s="14">
        <v>0</v>
      </c>
      <c r="C12" s="14">
        <v>0</v>
      </c>
      <c r="D12" s="14">
        <v>0</v>
      </c>
      <c r="E12" s="14">
        <v>0</v>
      </c>
      <c r="F12" s="14">
        <v>0</v>
      </c>
      <c r="G12" s="14">
        <v>0</v>
      </c>
      <c r="H12" s="14">
        <v>0</v>
      </c>
      <c r="I12" s="14">
        <v>0</v>
      </c>
      <c r="J12" s="14">
        <v>0</v>
      </c>
      <c r="K12" s="16">
        <v>0</v>
      </c>
      <c r="L12" s="14">
        <v>0</v>
      </c>
      <c r="M12" s="14">
        <v>0</v>
      </c>
      <c r="N12" s="14">
        <v>0</v>
      </c>
    </row>
    <row r="13" spans="1:16" x14ac:dyDescent="0.25">
      <c r="A13" s="4" t="s">
        <v>22</v>
      </c>
      <c r="B13" s="14">
        <v>0</v>
      </c>
      <c r="C13" s="14">
        <v>0</v>
      </c>
      <c r="D13" s="14">
        <v>0</v>
      </c>
      <c r="E13" s="14">
        <v>0</v>
      </c>
      <c r="F13" s="14">
        <v>0</v>
      </c>
      <c r="G13" s="14">
        <v>0</v>
      </c>
      <c r="H13" s="14">
        <v>0</v>
      </c>
      <c r="I13" s="14">
        <v>0</v>
      </c>
      <c r="J13" s="14">
        <v>0</v>
      </c>
      <c r="K13" s="16">
        <v>0</v>
      </c>
      <c r="L13" s="14">
        <v>0</v>
      </c>
      <c r="M13" s="14">
        <v>0</v>
      </c>
      <c r="N13" s="14">
        <v>0</v>
      </c>
    </row>
    <row r="14" spans="1:16" ht="15.75" thickBot="1" x14ac:dyDescent="0.3">
      <c r="A14" s="5" t="s">
        <v>23</v>
      </c>
      <c r="B14" s="14">
        <v>0</v>
      </c>
      <c r="C14" s="14">
        <v>0</v>
      </c>
      <c r="D14" s="14">
        <v>0</v>
      </c>
      <c r="E14" s="14">
        <v>0</v>
      </c>
      <c r="F14" s="14">
        <v>0</v>
      </c>
      <c r="G14" s="14">
        <v>0</v>
      </c>
      <c r="H14" s="14">
        <v>0</v>
      </c>
      <c r="I14" s="14">
        <v>0</v>
      </c>
      <c r="J14" s="14">
        <v>0</v>
      </c>
      <c r="K14" s="17">
        <v>0</v>
      </c>
      <c r="L14" s="14">
        <v>0</v>
      </c>
      <c r="M14" s="14">
        <v>0</v>
      </c>
      <c r="N14" s="14">
        <v>0</v>
      </c>
    </row>
    <row r="15" spans="1:16" ht="15.75" thickBot="1" x14ac:dyDescent="0.3">
      <c r="A15" s="3" t="s">
        <v>45</v>
      </c>
      <c r="B15" s="18"/>
      <c r="C15" s="18"/>
      <c r="D15" s="18"/>
      <c r="E15" s="18"/>
      <c r="F15" s="18"/>
      <c r="G15" s="18"/>
      <c r="H15" s="18"/>
      <c r="I15" s="18"/>
      <c r="J15" s="18"/>
      <c r="K15" s="18"/>
      <c r="L15" s="18"/>
      <c r="M15" s="18"/>
      <c r="N15" s="18"/>
    </row>
    <row r="16" spans="1:16" x14ac:dyDescent="0.25">
      <c r="A16" s="6" t="s">
        <v>24</v>
      </c>
      <c r="B16" s="14">
        <v>0</v>
      </c>
      <c r="C16" s="14">
        <v>0</v>
      </c>
      <c r="D16" s="14">
        <v>0</v>
      </c>
      <c r="E16" s="14">
        <v>0</v>
      </c>
      <c r="F16" s="14">
        <v>0</v>
      </c>
      <c r="G16" s="14">
        <v>0</v>
      </c>
      <c r="H16" s="14">
        <v>0</v>
      </c>
      <c r="I16" s="14">
        <v>0</v>
      </c>
      <c r="J16" s="15">
        <v>0</v>
      </c>
      <c r="K16" s="15">
        <v>0</v>
      </c>
      <c r="L16" s="14">
        <v>0</v>
      </c>
      <c r="M16" s="14">
        <v>0</v>
      </c>
      <c r="N16" s="14">
        <v>0</v>
      </c>
      <c r="O16" t="b">
        <f>IFERROR(AND(B16:I26,L16:N26),TRUE)</f>
        <v>0</v>
      </c>
      <c r="P16" t="s">
        <v>93</v>
      </c>
    </row>
    <row r="17" spans="1:16" x14ac:dyDescent="0.25">
      <c r="A17" s="4" t="s">
        <v>25</v>
      </c>
      <c r="B17" s="14">
        <v>0</v>
      </c>
      <c r="C17" s="14">
        <v>0</v>
      </c>
      <c r="D17" s="14">
        <v>0</v>
      </c>
      <c r="E17" s="14">
        <v>0</v>
      </c>
      <c r="F17" s="14">
        <v>0</v>
      </c>
      <c r="G17" s="14">
        <v>0</v>
      </c>
      <c r="H17" s="14">
        <v>0</v>
      </c>
      <c r="I17" s="14">
        <v>0</v>
      </c>
      <c r="J17" s="15">
        <v>0</v>
      </c>
      <c r="K17" s="15">
        <v>0</v>
      </c>
      <c r="L17" s="14">
        <v>0</v>
      </c>
      <c r="M17" s="14">
        <v>0</v>
      </c>
      <c r="N17" s="14">
        <v>0</v>
      </c>
    </row>
    <row r="18" spans="1:16" x14ac:dyDescent="0.25">
      <c r="A18" s="4" t="s">
        <v>26</v>
      </c>
      <c r="B18" s="14">
        <v>0</v>
      </c>
      <c r="C18" s="14">
        <v>0</v>
      </c>
      <c r="D18" s="14">
        <v>0</v>
      </c>
      <c r="E18" s="14">
        <v>0</v>
      </c>
      <c r="F18" s="14">
        <v>0</v>
      </c>
      <c r="G18" s="14">
        <v>0</v>
      </c>
      <c r="H18" s="14">
        <v>0</v>
      </c>
      <c r="I18" s="14">
        <v>0</v>
      </c>
      <c r="J18" s="15">
        <v>0</v>
      </c>
      <c r="K18" s="15">
        <v>0</v>
      </c>
      <c r="L18" s="14">
        <v>0</v>
      </c>
      <c r="M18" s="14">
        <v>0</v>
      </c>
      <c r="N18" s="14">
        <v>0</v>
      </c>
    </row>
    <row r="19" spans="1:16" x14ac:dyDescent="0.25">
      <c r="A19" s="4" t="s">
        <v>27</v>
      </c>
      <c r="B19" s="14"/>
      <c r="C19" s="14"/>
      <c r="D19" s="14"/>
      <c r="E19" s="14"/>
      <c r="F19" s="14"/>
      <c r="G19" s="14"/>
      <c r="H19" s="14"/>
      <c r="I19" s="14"/>
      <c r="J19" s="15">
        <v>0</v>
      </c>
      <c r="K19" s="15">
        <v>0</v>
      </c>
      <c r="L19" s="14"/>
      <c r="M19" s="14"/>
      <c r="N19" s="14"/>
    </row>
    <row r="20" spans="1:16" x14ac:dyDescent="0.25">
      <c r="A20" s="4" t="s">
        <v>28</v>
      </c>
      <c r="B20" s="14">
        <v>0</v>
      </c>
      <c r="C20" s="14">
        <v>0</v>
      </c>
      <c r="D20" s="14">
        <v>0</v>
      </c>
      <c r="E20" s="14">
        <v>0</v>
      </c>
      <c r="F20" s="14">
        <v>0</v>
      </c>
      <c r="G20" s="14">
        <v>0</v>
      </c>
      <c r="H20" s="14">
        <v>0</v>
      </c>
      <c r="I20" s="14">
        <v>0</v>
      </c>
      <c r="J20" s="15">
        <v>0</v>
      </c>
      <c r="K20" s="15">
        <v>0</v>
      </c>
      <c r="L20" s="14">
        <v>0</v>
      </c>
      <c r="M20" s="14">
        <v>0</v>
      </c>
      <c r="N20" s="14">
        <v>0</v>
      </c>
    </row>
    <row r="21" spans="1:16" x14ac:dyDescent="0.25">
      <c r="A21" s="4" t="s">
        <v>29</v>
      </c>
      <c r="B21" s="14">
        <v>0</v>
      </c>
      <c r="C21" s="14">
        <v>0</v>
      </c>
      <c r="D21" s="14">
        <v>0</v>
      </c>
      <c r="E21" s="14">
        <v>0</v>
      </c>
      <c r="F21" s="14">
        <v>0</v>
      </c>
      <c r="G21" s="14">
        <v>0</v>
      </c>
      <c r="H21" s="14">
        <v>0</v>
      </c>
      <c r="I21" s="14">
        <v>0</v>
      </c>
      <c r="J21" s="15">
        <v>0</v>
      </c>
      <c r="K21" s="15">
        <v>0</v>
      </c>
      <c r="L21" s="14">
        <v>0</v>
      </c>
      <c r="M21" s="14">
        <v>0</v>
      </c>
      <c r="N21" s="14">
        <v>0</v>
      </c>
    </row>
    <row r="22" spans="1:16" x14ac:dyDescent="0.25">
      <c r="A22" s="4" t="s">
        <v>30</v>
      </c>
      <c r="B22" s="14"/>
      <c r="C22" s="14"/>
      <c r="D22" s="14"/>
      <c r="E22" s="14"/>
      <c r="F22" s="14"/>
      <c r="G22" s="14"/>
      <c r="H22" s="14"/>
      <c r="I22" s="14"/>
      <c r="J22" s="15">
        <v>0</v>
      </c>
      <c r="K22" s="15">
        <v>0</v>
      </c>
      <c r="L22" s="14"/>
      <c r="M22" s="14"/>
      <c r="N22" s="14"/>
    </row>
    <row r="23" spans="1:16" x14ac:dyDescent="0.25">
      <c r="A23" s="4" t="s">
        <v>31</v>
      </c>
      <c r="B23" s="14">
        <v>0</v>
      </c>
      <c r="C23" s="14">
        <v>0</v>
      </c>
      <c r="D23" s="14">
        <v>0</v>
      </c>
      <c r="E23" s="14">
        <v>0</v>
      </c>
      <c r="F23" s="14">
        <v>0</v>
      </c>
      <c r="G23" s="14">
        <v>0</v>
      </c>
      <c r="H23" s="14">
        <v>0</v>
      </c>
      <c r="I23" s="14">
        <v>0</v>
      </c>
      <c r="J23" s="15">
        <v>0</v>
      </c>
      <c r="K23" s="15">
        <v>0</v>
      </c>
      <c r="L23" s="14">
        <v>0</v>
      </c>
      <c r="M23" s="14">
        <v>0</v>
      </c>
      <c r="N23" s="14">
        <v>0</v>
      </c>
    </row>
    <row r="24" spans="1:16" x14ac:dyDescent="0.25">
      <c r="A24" s="4" t="s">
        <v>32</v>
      </c>
      <c r="B24" s="14"/>
      <c r="C24" s="14"/>
      <c r="D24" s="14"/>
      <c r="E24" s="14"/>
      <c r="F24" s="14"/>
      <c r="G24" s="14"/>
      <c r="H24" s="14"/>
      <c r="I24" s="14"/>
      <c r="J24" s="15">
        <v>0</v>
      </c>
      <c r="K24" s="15">
        <v>0</v>
      </c>
      <c r="L24" s="14"/>
      <c r="M24" s="14"/>
      <c r="N24" s="14"/>
    </row>
    <row r="25" spans="1:16" x14ac:dyDescent="0.25">
      <c r="A25" s="4" t="s">
        <v>33</v>
      </c>
      <c r="B25" s="14"/>
      <c r="C25" s="14"/>
      <c r="D25" s="14"/>
      <c r="E25" s="14"/>
      <c r="F25" s="14"/>
      <c r="G25" s="14"/>
      <c r="H25" s="14"/>
      <c r="I25" s="14"/>
      <c r="J25" s="15">
        <v>0</v>
      </c>
      <c r="K25" s="15">
        <v>0</v>
      </c>
      <c r="L25" s="14"/>
      <c r="M25" s="14"/>
      <c r="N25" s="14"/>
    </row>
    <row r="26" spans="1:16" ht="15.75" thickBot="1" x14ac:dyDescent="0.3">
      <c r="A26" s="5" t="s">
        <v>34</v>
      </c>
      <c r="B26" s="14">
        <v>0</v>
      </c>
      <c r="C26" s="14">
        <v>0</v>
      </c>
      <c r="D26" s="14">
        <v>0</v>
      </c>
      <c r="E26" s="14">
        <v>0</v>
      </c>
      <c r="F26" s="14">
        <v>0</v>
      </c>
      <c r="G26" s="14">
        <v>0</v>
      </c>
      <c r="H26" s="14">
        <v>0</v>
      </c>
      <c r="I26" s="14">
        <v>0</v>
      </c>
      <c r="J26" s="15">
        <v>0</v>
      </c>
      <c r="K26" s="19">
        <v>0</v>
      </c>
      <c r="L26" s="14">
        <v>0</v>
      </c>
      <c r="M26" s="14">
        <v>0</v>
      </c>
      <c r="N26" s="14">
        <v>0</v>
      </c>
    </row>
    <row r="27" spans="1:16" ht="15.75" thickBot="1" x14ac:dyDescent="0.3">
      <c r="A27" s="3" t="s">
        <v>45</v>
      </c>
      <c r="B27" s="18"/>
      <c r="C27" s="18"/>
      <c r="D27" s="18"/>
      <c r="E27" s="18"/>
      <c r="F27" s="18"/>
      <c r="G27" s="18"/>
      <c r="H27" s="18"/>
      <c r="I27" s="18"/>
      <c r="J27" s="18"/>
      <c r="K27" s="18"/>
      <c r="L27" s="18"/>
      <c r="M27" s="18"/>
      <c r="N27" s="18"/>
    </row>
    <row r="28" spans="1:16" x14ac:dyDescent="0.25">
      <c r="A28" s="6" t="s">
        <v>63</v>
      </c>
      <c r="B28" s="14">
        <v>0</v>
      </c>
      <c r="C28" s="14">
        <v>0</v>
      </c>
      <c r="D28" s="14">
        <v>0</v>
      </c>
      <c r="E28" s="14">
        <v>0</v>
      </c>
      <c r="F28" s="14">
        <v>0</v>
      </c>
      <c r="G28" s="14">
        <v>0</v>
      </c>
      <c r="H28" s="14">
        <v>0</v>
      </c>
      <c r="I28" s="14">
        <v>0</v>
      </c>
      <c r="J28" s="20">
        <v>0</v>
      </c>
      <c r="K28" s="14">
        <v>0</v>
      </c>
      <c r="L28" s="14">
        <v>0</v>
      </c>
      <c r="M28" s="14">
        <v>0</v>
      </c>
      <c r="N28" s="14">
        <v>0</v>
      </c>
      <c r="O28" t="b">
        <f>IFERROR(AND(B28:I31,K28:N31),TRUE)</f>
        <v>0</v>
      </c>
      <c r="P28" t="s">
        <v>94</v>
      </c>
    </row>
    <row r="29" spans="1:16" x14ac:dyDescent="0.25">
      <c r="A29" s="4" t="s">
        <v>64</v>
      </c>
      <c r="B29" s="14">
        <v>0</v>
      </c>
      <c r="C29" s="14">
        <v>0</v>
      </c>
      <c r="D29" s="14">
        <v>0</v>
      </c>
      <c r="E29" s="14">
        <v>0</v>
      </c>
      <c r="F29" s="14">
        <v>0</v>
      </c>
      <c r="G29" s="14">
        <v>0</v>
      </c>
      <c r="H29" s="14">
        <v>0</v>
      </c>
      <c r="I29" s="14">
        <v>0</v>
      </c>
      <c r="J29" s="20">
        <v>0</v>
      </c>
      <c r="K29" s="14">
        <v>0</v>
      </c>
      <c r="L29" s="14">
        <v>0</v>
      </c>
      <c r="M29" s="14">
        <v>0</v>
      </c>
      <c r="N29" s="14">
        <v>0</v>
      </c>
    </row>
    <row r="30" spans="1:16" x14ac:dyDescent="0.25">
      <c r="A30" s="4" t="s">
        <v>65</v>
      </c>
      <c r="B30" s="14"/>
      <c r="C30" s="14"/>
      <c r="D30" s="14"/>
      <c r="E30" s="14"/>
      <c r="F30" s="14"/>
      <c r="G30" s="14"/>
      <c r="H30" s="14"/>
      <c r="I30" s="14"/>
      <c r="J30" s="20">
        <v>0</v>
      </c>
      <c r="K30" s="14"/>
      <c r="L30" s="14"/>
      <c r="M30" s="14"/>
      <c r="N30" s="14"/>
    </row>
    <row r="31" spans="1:16" ht="15.75" thickBot="1" x14ac:dyDescent="0.3">
      <c r="A31" s="5" t="s">
        <v>66</v>
      </c>
      <c r="B31" s="14">
        <v>0</v>
      </c>
      <c r="C31" s="14">
        <v>0</v>
      </c>
      <c r="D31" s="14">
        <v>0</v>
      </c>
      <c r="E31" s="14">
        <v>0</v>
      </c>
      <c r="F31" s="14">
        <v>0</v>
      </c>
      <c r="G31" s="14">
        <v>0</v>
      </c>
      <c r="H31" s="14">
        <v>0</v>
      </c>
      <c r="I31" s="14">
        <v>0</v>
      </c>
      <c r="J31" s="20">
        <v>0</v>
      </c>
      <c r="K31" s="14">
        <v>0</v>
      </c>
      <c r="L31" s="14">
        <v>0</v>
      </c>
      <c r="M31" s="14">
        <v>0</v>
      </c>
      <c r="N31" s="14">
        <v>0</v>
      </c>
    </row>
    <row r="32" spans="1:16" ht="15.75" thickBot="1" x14ac:dyDescent="0.3">
      <c r="A32" s="3" t="s">
        <v>45</v>
      </c>
      <c r="B32" s="21"/>
      <c r="C32" s="21"/>
      <c r="D32" s="21"/>
      <c r="E32" s="21"/>
      <c r="F32" s="21"/>
      <c r="G32" s="21"/>
      <c r="H32" s="21"/>
      <c r="I32" s="21"/>
      <c r="J32" s="21"/>
      <c r="K32" s="21"/>
      <c r="L32" s="21"/>
      <c r="M32" s="21"/>
      <c r="N32" s="21"/>
    </row>
    <row r="33" spans="1:16" x14ac:dyDescent="0.25">
      <c r="A33" s="6" t="s">
        <v>67</v>
      </c>
      <c r="B33" s="14"/>
      <c r="C33" s="14"/>
      <c r="D33" s="14"/>
      <c r="E33" s="14"/>
      <c r="F33" s="14"/>
      <c r="G33" s="14"/>
      <c r="H33" s="14"/>
      <c r="I33" s="14"/>
      <c r="J33" s="20">
        <v>0</v>
      </c>
      <c r="K33" s="14"/>
      <c r="L33" s="14"/>
      <c r="M33" s="14"/>
      <c r="N33" s="14"/>
      <c r="O33" t="b">
        <f>IFERROR(AND(B33:I36,K33:N36),TRUE)</f>
        <v>0</v>
      </c>
      <c r="P33" t="s">
        <v>95</v>
      </c>
    </row>
    <row r="34" spans="1:16" x14ac:dyDescent="0.25">
      <c r="A34" s="4" t="s">
        <v>68</v>
      </c>
      <c r="B34" s="14"/>
      <c r="C34" s="14"/>
      <c r="D34" s="14"/>
      <c r="E34" s="14"/>
      <c r="F34" s="14"/>
      <c r="G34" s="14"/>
      <c r="H34" s="14"/>
      <c r="I34" s="14"/>
      <c r="J34" s="20">
        <v>0</v>
      </c>
      <c r="K34" s="14"/>
      <c r="L34" s="14"/>
      <c r="M34" s="14"/>
      <c r="N34" s="14"/>
    </row>
    <row r="35" spans="1:16" x14ac:dyDescent="0.25">
      <c r="A35" s="4" t="s">
        <v>69</v>
      </c>
      <c r="B35" s="14">
        <v>0</v>
      </c>
      <c r="C35" s="14">
        <v>0</v>
      </c>
      <c r="D35" s="14">
        <v>0</v>
      </c>
      <c r="E35" s="14">
        <v>0</v>
      </c>
      <c r="F35" s="14">
        <v>0</v>
      </c>
      <c r="G35" s="14">
        <v>0</v>
      </c>
      <c r="H35" s="14">
        <v>0</v>
      </c>
      <c r="I35" s="14">
        <v>0</v>
      </c>
      <c r="J35" s="20">
        <v>0</v>
      </c>
      <c r="K35" s="14">
        <v>0</v>
      </c>
      <c r="L35" s="14">
        <v>0</v>
      </c>
      <c r="M35" s="14">
        <v>0</v>
      </c>
      <c r="N35" s="14">
        <v>0</v>
      </c>
    </row>
    <row r="36" spans="1:16" ht="15.75" thickBot="1" x14ac:dyDescent="0.3">
      <c r="A36" s="5" t="s">
        <v>70</v>
      </c>
      <c r="B36" s="14"/>
      <c r="C36" s="14"/>
      <c r="D36" s="14"/>
      <c r="E36" s="14"/>
      <c r="F36" s="14"/>
      <c r="G36" s="14"/>
      <c r="H36" s="14"/>
      <c r="I36" s="14"/>
      <c r="J36" s="20">
        <v>0</v>
      </c>
      <c r="K36" s="14"/>
      <c r="L36" s="14"/>
      <c r="M36" s="14"/>
      <c r="N36" s="14"/>
    </row>
    <row r="37" spans="1:16" ht="15.75" thickBot="1" x14ac:dyDescent="0.3">
      <c r="A37" s="11" t="s">
        <v>45</v>
      </c>
      <c r="B37" s="22"/>
      <c r="C37" s="22"/>
      <c r="D37" s="22"/>
      <c r="E37" s="22"/>
      <c r="F37" s="22"/>
      <c r="G37" s="22"/>
      <c r="H37" s="22"/>
      <c r="I37" s="22"/>
      <c r="J37" s="22"/>
      <c r="K37" s="22"/>
      <c r="L37" s="22"/>
      <c r="M37" s="22"/>
      <c r="N37" s="22"/>
      <c r="O37" t="b">
        <v>1</v>
      </c>
      <c r="P37" t="s">
        <v>117</v>
      </c>
    </row>
  </sheetData>
  <mergeCells count="1">
    <mergeCell ref="A1:N1"/>
  </mergeCells>
  <conditionalFormatting sqref="B16:I26 L16:N26 B28:I31 K28:N31 B33:I36 K33:N36 B3:J14 L3:N14">
    <cfRule type="expression" priority="2">
      <formula>NOT($O$1)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Report</vt:lpstr>
      <vt:lpstr>Dates</vt:lpstr>
      <vt:lpstr>Stats</vt:lpstr>
      <vt:lpstr>StatsInstructions</vt:lpstr>
    </vt:vector>
  </TitlesOfParts>
  <Company>UPS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Lieberman Alexander (VJX3ZRC)</dc:creator>
  <cp:lastModifiedBy>Lieberman Alexander (VJX3ZRC)</cp:lastModifiedBy>
  <cp:lastPrinted>2019-12-28T04:20:22Z</cp:lastPrinted>
  <dcterms:created xsi:type="dcterms:W3CDTF">2018-06-27T02:08:44Z</dcterms:created>
  <dcterms:modified xsi:type="dcterms:W3CDTF">2021-11-16T18:18:50Z</dcterms:modified>
</cp:coreProperties>
</file>