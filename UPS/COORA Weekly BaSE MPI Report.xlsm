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jx3zrc\Desktop\"/>
    </mc:Choice>
  </mc:AlternateContent>
  <xr:revisionPtr revIDLastSave="0" documentId="13_ncr:1_{738FC704-A37E-44C8-BAFC-49B29C87BC00}" xr6:coauthVersionLast="46" xr6:coauthVersionMax="46" xr10:uidLastSave="{00000000-0000-0000-0000-000000000000}"/>
  <bookViews>
    <workbookView xWindow="1020" yWindow="1035" windowWidth="25665" windowHeight="13575" tabRatio="500" xr2:uid="{00000000-000D-0000-FFFF-FFFF00000000}"/>
  </bookViews>
  <sheets>
    <sheet name="MPI Report" sheetId="1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3" i="13" l="1"/>
  <c r="K23" i="13"/>
  <c r="I23" i="13"/>
  <c r="H23" i="13"/>
  <c r="F23" i="13"/>
  <c r="E23" i="13"/>
  <c r="G4" i="13"/>
  <c r="G5" i="13"/>
  <c r="G6" i="13"/>
  <c r="G7" i="13"/>
  <c r="G8" i="13"/>
  <c r="G11" i="13"/>
  <c r="G12" i="13"/>
  <c r="G13" i="13"/>
  <c r="G14" i="13"/>
  <c r="G15" i="13"/>
  <c r="G18" i="13"/>
  <c r="G19" i="13"/>
  <c r="G20" i="13"/>
  <c r="G21" i="13"/>
  <c r="G22" i="13"/>
  <c r="G3" i="13"/>
  <c r="L9" i="13"/>
  <c r="K9" i="13"/>
  <c r="I9" i="13"/>
  <c r="H9" i="13"/>
  <c r="F9" i="13"/>
  <c r="E9" i="13"/>
  <c r="J14" i="13"/>
  <c r="J15" i="13"/>
  <c r="M14" i="13"/>
  <c r="M15" i="13"/>
  <c r="M19" i="13"/>
  <c r="M20" i="13"/>
  <c r="M21" i="13"/>
  <c r="M22" i="13"/>
  <c r="M18" i="13"/>
  <c r="M4" i="13"/>
  <c r="M5" i="13"/>
  <c r="M6" i="13"/>
  <c r="M7" i="13"/>
  <c r="M8" i="13"/>
  <c r="M11" i="13"/>
  <c r="M12" i="13"/>
  <c r="M13" i="13"/>
  <c r="M3" i="13"/>
  <c r="J19" i="13"/>
  <c r="J20" i="13"/>
  <c r="J21" i="13"/>
  <c r="J22" i="13"/>
  <c r="J18" i="13"/>
  <c r="J13" i="13"/>
  <c r="J3" i="13"/>
  <c r="J4" i="13"/>
  <c r="J5" i="13"/>
  <c r="J6" i="13"/>
  <c r="J7" i="13"/>
  <c r="J8" i="13"/>
  <c r="J11" i="13"/>
  <c r="J12" i="13"/>
  <c r="F16" i="13"/>
  <c r="E16" i="13"/>
  <c r="L16" i="13"/>
  <c r="K16" i="13"/>
  <c r="I16" i="13"/>
  <c r="H16" i="13"/>
  <c r="O11" i="13"/>
  <c r="O12" i="13"/>
  <c r="O13" i="13"/>
  <c r="O14" i="13"/>
  <c r="O15" i="13"/>
  <c r="O18" i="13"/>
  <c r="O19" i="13"/>
  <c r="O20" i="13"/>
  <c r="O21" i="13"/>
  <c r="O22" i="13"/>
  <c r="N11" i="13"/>
  <c r="N12" i="13"/>
  <c r="N13" i="13"/>
  <c r="N14" i="13"/>
  <c r="N15" i="13"/>
  <c r="N18" i="13"/>
  <c r="N19" i="13"/>
  <c r="N20" i="13"/>
  <c r="N21" i="13"/>
  <c r="N22" i="13"/>
  <c r="O3" i="13"/>
  <c r="O4" i="13"/>
  <c r="O5" i="13"/>
  <c r="O6" i="13"/>
  <c r="O7" i="13"/>
  <c r="O8" i="13"/>
  <c r="N4" i="13"/>
  <c r="N5" i="13"/>
  <c r="N6" i="13"/>
  <c r="N7" i="13"/>
  <c r="N8" i="13"/>
  <c r="N3" i="13"/>
  <c r="P18" i="13" l="1"/>
  <c r="P14" i="13"/>
  <c r="M28" i="13"/>
  <c r="G28" i="13"/>
  <c r="J28" i="13"/>
  <c r="G27" i="13"/>
  <c r="M27" i="13"/>
  <c r="J27" i="13"/>
  <c r="N23" i="13"/>
  <c r="M23" i="13"/>
  <c r="G23" i="13"/>
  <c r="P11" i="13"/>
  <c r="G16" i="13"/>
  <c r="E25" i="13"/>
  <c r="P6" i="13"/>
  <c r="P4" i="13"/>
  <c r="M9" i="13"/>
  <c r="I25" i="13"/>
  <c r="H25" i="13"/>
  <c r="P22" i="13"/>
  <c r="P19" i="13"/>
  <c r="O23" i="13"/>
  <c r="J23" i="13"/>
  <c r="P21" i="13"/>
  <c r="P20" i="13"/>
  <c r="M16" i="13"/>
  <c r="K25" i="13"/>
  <c r="J16" i="13"/>
  <c r="P13" i="13"/>
  <c r="P15" i="13"/>
  <c r="F25" i="13"/>
  <c r="N9" i="13"/>
  <c r="P7" i="13"/>
  <c r="L25" i="13"/>
  <c r="P3" i="13"/>
  <c r="P8" i="13"/>
  <c r="O9" i="13"/>
  <c r="G9" i="13"/>
  <c r="J9" i="13"/>
  <c r="N16" i="13"/>
  <c r="O16" i="13"/>
  <c r="P5" i="13"/>
  <c r="P12" i="13"/>
  <c r="P28" i="13" l="1"/>
  <c r="P27" i="13"/>
  <c r="P23" i="13"/>
  <c r="P16" i="13"/>
  <c r="G25" i="13"/>
  <c r="M25" i="13"/>
  <c r="J25" i="13"/>
  <c r="N25" i="13"/>
  <c r="P9" i="13"/>
  <c r="O25" i="13"/>
  <c r="P25" i="13" l="1"/>
</calcChain>
</file>

<file path=xl/sharedStrings.xml><?xml version="1.0" encoding="utf-8"?>
<sst xmlns="http://schemas.openxmlformats.org/spreadsheetml/2006/main" count="65" uniqueCount="29">
  <si>
    <t>SortID</t>
  </si>
  <si>
    <t>Date</t>
  </si>
  <si>
    <t>Sort</t>
  </si>
  <si>
    <t>Day</t>
  </si>
  <si>
    <t>Scanned</t>
  </si>
  <si>
    <t>Sorted</t>
  </si>
  <si>
    <t>MPI</t>
  </si>
  <si>
    <t>P</t>
  </si>
  <si>
    <t>D</t>
  </si>
  <si>
    <t>T</t>
  </si>
  <si>
    <t>Tuesday</t>
  </si>
  <si>
    <t>Wednesday</t>
  </si>
  <si>
    <t>Thursday</t>
  </si>
  <si>
    <t>Friday</t>
  </si>
  <si>
    <t>Saturday</t>
  </si>
  <si>
    <t>Building Total</t>
  </si>
  <si>
    <t>Day Total</t>
  </si>
  <si>
    <t>Highest</t>
  </si>
  <si>
    <t>Lowest</t>
  </si>
  <si>
    <t>Total OTE</t>
  </si>
  <si>
    <t>Chute Full/OTE</t>
  </si>
  <si>
    <t>Monday</t>
  </si>
  <si>
    <t>Total</t>
  </si>
  <si>
    <t>Tilt Tray</t>
  </si>
  <si>
    <t>Bigs</t>
  </si>
  <si>
    <t>BaSE MPI Report</t>
  </si>
  <si>
    <t xml:space="preserve">Chute Full </t>
  </si>
  <si>
    <t>Pre Total</t>
  </si>
  <si>
    <t>Twi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</si>
</sst>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0" x14ac:knownFonts="1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8"/>
      <name val="Calibri"/>
      <family val="2"/>
    </font>
    <font>
      <sz val="11"/>
      <name val="Calibri"/>
      <family val="2"/>
    </font>
    <font>
      <sz val="16"/>
      <name val="Calibri"/>
      <family val="2"/>
    </font>
    <font>
      <sz val="11"/>
      <color rgb="FF000000"/>
      <name val="Calibri"/>
      <family val="2"/>
    </font>
    <font>
      <sz val="1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40">
    <xf numFmtId="0" fontId="0" fillId="0" borderId="0" xfId="0" applyFont="1" applyFill="1" applyBorder="1"/>
    <xf numFmtId="0" fontId="1" fillId="0" borderId="0" xfId="0" applyFont="1" applyFill="1" applyBorder="1"/>
    <xf numFmtId="14" fontId="0" fillId="0" borderId="0" xfId="0" applyNumberFormat="1" applyFont="1" applyFill="1" applyBorder="1"/>
    <xf numFmtId="0" fontId="2" fillId="0" borderId="0" xfId="0" applyFont="1" applyFill="1" applyBorder="1"/>
    <xf numFmtId="0" fontId="1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0" fontId="0" fillId="0" borderId="5" xfId="1" applyNumberFormat="1" applyFont="1" applyFill="1" applyBorder="1"/>
    <xf numFmtId="0" fontId="0" fillId="0" borderId="4" xfId="0" applyFont="1" applyFill="1" applyBorder="1"/>
    <xf numFmtId="10" fontId="0" fillId="0" borderId="5" xfId="0" applyNumberFormat="1" applyFont="1" applyFill="1" applyBorder="1"/>
    <xf numFmtId="0" fontId="0" fillId="0" borderId="5" xfId="0" applyFont="1" applyFill="1" applyBorder="1"/>
    <xf numFmtId="0" fontId="0" fillId="0" borderId="6" xfId="0" applyFont="1" applyFill="1" applyBorder="1"/>
    <xf numFmtId="0" fontId="0" fillId="0" borderId="7" xfId="0" applyFont="1" applyFill="1" applyBorder="1"/>
    <xf numFmtId="10" fontId="0" fillId="0" borderId="8" xfId="0" applyNumberFormat="1" applyFont="1" applyFill="1" applyBorder="1"/>
    <xf numFmtId="0" fontId="1" fillId="0" borderId="1" xfId="0" applyFont="1" applyBorder="1"/>
    <xf numFmtId="0" fontId="1" fillId="0" borderId="2" xfId="0" applyFont="1" applyBorder="1"/>
    <xf numFmtId="10" fontId="0" fillId="0" borderId="4" xfId="0" applyNumberFormat="1" applyFont="1" applyFill="1" applyBorder="1"/>
    <xf numFmtId="10" fontId="0" fillId="0" borderId="6" xfId="0" applyNumberFormat="1" applyFont="1" applyFill="1" applyBorder="1"/>
    <xf numFmtId="0" fontId="1" fillId="0" borderId="3" xfId="0" applyFont="1" applyBorder="1"/>
    <xf numFmtId="0" fontId="0" fillId="0" borderId="0" xfId="0" applyFont="1" applyFill="1" applyBorder="1"/>
    <xf numFmtId="0" fontId="3" fillId="0" borderId="0" xfId="0" applyFont="1" applyFill="1" applyBorder="1"/>
    <xf numFmtId="0" fontId="0" fillId="0" borderId="8" xfId="0" applyFont="1" applyFill="1" applyBorder="1"/>
    <xf numFmtId="0" fontId="0" fillId="0" borderId="12" xfId="0" applyFont="1" applyFill="1" applyBorder="1"/>
    <xf numFmtId="0" fontId="0" fillId="0" borderId="11" xfId="0" applyFont="1" applyFill="1" applyBorder="1"/>
    <xf numFmtId="0" fontId="4" fillId="0" borderId="13" xfId="0" applyFont="1" applyFill="1" applyBorder="1" applyAlignment="1"/>
    <xf numFmtId="14" fontId="0" fillId="2" borderId="0" xfId="0" applyNumberFormat="1" applyFont="1" applyFill="1" applyBorder="1"/>
    <xf numFmtId="0" fontId="0" fillId="0" borderId="0" xfId="0" applyFont="1" applyFill="1" applyBorder="1"/>
    <xf numFmtId="10" fontId="0" fillId="0" borderId="7" xfId="0" applyNumberFormat="1" applyFont="1" applyFill="1" applyBorder="1"/>
    <xf numFmtId="10" fontId="0" fillId="0" borderId="16" xfId="0" applyNumberFormat="1" applyFont="1" applyFill="1" applyBorder="1"/>
    <xf numFmtId="43" fontId="0" fillId="0" borderId="4" xfId="2" applyFont="1" applyFill="1" applyBorder="1"/>
    <xf numFmtId="43" fontId="0" fillId="0" borderId="0" xfId="2" applyFont="1" applyFill="1" applyBorder="1"/>
    <xf numFmtId="43" fontId="0" fillId="0" borderId="14" xfId="2" applyFont="1" applyFill="1" applyBorder="1"/>
    <xf numFmtId="43" fontId="0" fillId="0" borderId="15" xfId="2" applyFont="1" applyFill="1" applyBorder="1"/>
    <xf numFmtId="43" fontId="0" fillId="0" borderId="6" xfId="2" applyFont="1" applyFill="1" applyBorder="1"/>
    <xf numFmtId="43" fontId="0" fillId="0" borderId="7" xfId="2" applyFont="1" applyFill="1" applyBorder="1"/>
    <xf numFmtId="43" fontId="0" fillId="0" borderId="1" xfId="2" applyFont="1" applyFill="1" applyBorder="1"/>
    <xf numFmtId="43" fontId="0" fillId="0" borderId="2" xfId="2" applyFont="1" applyFill="1" applyBorder="1"/>
    <xf numFmtId="0" fontId="0" fillId="0" borderId="0" xfId="0" applyFont="1" applyFill="1" applyBorder="1"/>
    <xf numFmtId="0" fontId="7" fillId="0" borderId="9" xfId="0" applyFont="1" applyFill="1" applyBorder="1" applyAlignment="1">
      <alignment horizontal="left" vertical="center"/>
    </xf>
    <xf numFmtId="0" fontId="7" fillId="0" borderId="10" xfId="0" applyFont="1" applyFill="1" applyBorder="1" applyAlignment="1">
      <alignment horizontal="left" vertical="center"/>
    </xf>
  </cellXfs>
  <cellStyles count="3">
    <cellStyle name="Comma" xfId="2" builtinId="3"/>
    <cellStyle name="Normal" xfId="0" builtinId="0"/>
    <cellStyle name="Percent" xfId="1" builtinId="5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BaSE Total MPI Week Ending ...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Report'!$P$3:$P$8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5-441A-8DE9-8F40ED90B772}"/>
            </c:ext>
          </c:extLst>
        </c:ser>
        <c:ser>
          <c:idx val="0"/>
          <c:order val="1"/>
          <c:tx>
            <c:v>DAY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Report'!$P$11:$P$15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25-441A-8DE9-8F40ED90B772}"/>
            </c:ext>
          </c:extLst>
        </c:ser>
        <c:ser>
          <c:idx val="2"/>
          <c:order val="2"/>
          <c:tx>
            <c:v>TWI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Report'!$P$18:$P$22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25-441A-8DE9-8F40ED90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93931423"/>
        <c:axId val="1993934335"/>
      </c:barChart>
      <c:catAx>
        <c:axId val="199393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4335"/>
        <c:crossesAt val="0"/>
        <c:auto val="1"/>
        <c:lblAlgn val="ctr"/>
        <c:lblOffset val="100"/>
        <c:noMultiLvlLbl val="1"/>
      </c:catAx>
      <c:valAx>
        <c:axId val="1993934335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1423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BaSE Bigs MPI Week Ending</a:t>
            </a:r>
            <a:r>
              <a:rPr lang="en-US" baseline="0"/>
              <a:t> ...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Report'!$J$3:$J$8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0-49DE-932D-056646094082}"/>
            </c:ext>
          </c:extLst>
        </c:ser>
        <c:ser>
          <c:idx val="0"/>
          <c:order val="1"/>
          <c:tx>
            <c:v>DAY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Report'!$J$11:$J$15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0-49DE-932D-056646094082}"/>
            </c:ext>
          </c:extLst>
        </c:ser>
        <c:ser>
          <c:idx val="2"/>
          <c:order val="2"/>
          <c:tx>
            <c:v>TWI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Report'!$J$18:$J$22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0-49DE-932D-056646094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93931423"/>
        <c:axId val="1993934335"/>
      </c:barChart>
      <c:catAx>
        <c:axId val="199393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4335"/>
        <c:crossesAt val="0"/>
        <c:auto val="1"/>
        <c:lblAlgn val="ctr"/>
        <c:lblOffset val="100"/>
        <c:noMultiLvlLbl val="1"/>
      </c:catAx>
      <c:valAx>
        <c:axId val="1993934335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14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BaSE Smalls MPI Week Ending ...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Report'!$M$3:$M$8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E-40E4-B5AD-1691113F8E13}"/>
            </c:ext>
          </c:extLst>
        </c:ser>
        <c:ser>
          <c:idx val="0"/>
          <c:order val="1"/>
          <c:tx>
            <c:v>DAY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Report'!$M$11:$M$15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E-40E4-B5AD-1691113F8E13}"/>
            </c:ext>
          </c:extLst>
        </c:ser>
        <c:ser>
          <c:idx val="2"/>
          <c:order val="2"/>
          <c:tx>
            <c:v>TWI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Report'!$M$18:$M$22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E-40E4-B5AD-1691113F8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93931423"/>
        <c:axId val="1993934335"/>
      </c:barChart>
      <c:catAx>
        <c:axId val="199393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4335"/>
        <c:crossesAt val="0"/>
        <c:auto val="1"/>
        <c:lblAlgn val="ctr"/>
        <c:lblOffset val="100"/>
        <c:noMultiLvlLbl val="1"/>
      </c:catAx>
      <c:valAx>
        <c:axId val="1993934335"/>
        <c:scaling>
          <c:orientation val="minMax"/>
          <c:max val="1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1423"/>
        <c:crosses val="autoZero"/>
        <c:crossBetween val="between"/>
        <c:majorUnit val="5.000000000000001E-2"/>
        <c:minorUnit val="1.0000000000000002E-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Preload Sort OTE Chute Full Comparison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Outbound OTE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Report'!$F$3:$F$8</c:f>
              <c:numCache>
                <c:formatCode>_(* #,##0.00_);_(* \(#,##0.00\);_(*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E950-4946-A5BE-336B54A7136E}"/>
            </c:ext>
          </c:extLst>
        </c:ser>
        <c:ser>
          <c:idx val="1"/>
          <c:order val="1"/>
          <c:tx>
            <c:v>Chute Fulls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Report'!$E$3:$E$8</c:f>
              <c:numCache>
                <c:formatCode>_(* #,##0.00_);_(* \(#,##0.00\);_(*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E950-4946-A5BE-336B54A7136E}"/>
            </c:ext>
          </c:extLst>
        </c:ser>
        <c:ser>
          <c:idx val="2"/>
          <c:order val="2"/>
          <c:tx>
            <c:v>Percent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Report'!$G$3:$G$8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50-4946-A5BE-336B54A713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3428112"/>
        <c:axId val="1753437264"/>
      </c:barChart>
      <c:catAx>
        <c:axId val="175342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Ending ...</a:t>
                </a:r>
              </a:p>
            </c:rich>
          </c:tx>
          <c:layout>
            <c:manualLayout>
              <c:xMode val="edge"/>
              <c:yMode val="edge"/>
              <c:x val="0.41675605132691745"/>
              <c:y val="0.890561702318624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37264"/>
        <c:crosses val="autoZero"/>
        <c:auto val="1"/>
        <c:lblAlgn val="ctr"/>
        <c:lblOffset val="100"/>
        <c:noMultiLvlLbl val="1"/>
      </c:catAx>
      <c:valAx>
        <c:axId val="17534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Package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28112"/>
        <c:crosses val="autoZero"/>
        <c:crossBetween val="between"/>
        <c:minorUnit val="7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Day Sort OTE Chute Full Comparison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Outbound OTE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Report'!$F$11:$F$15</c:f>
              <c:numCache>
                <c:formatCode>_(* #,##0.00_);_(* \(#,##0.00\);_(*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2A4C-4B7B-96EC-C9ECDE0A1096}"/>
            </c:ext>
          </c:extLst>
        </c:ser>
        <c:ser>
          <c:idx val="1"/>
          <c:order val="1"/>
          <c:tx>
            <c:v>Chute Fulls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Report'!$E$11:$E$15</c:f>
              <c:numCache>
                <c:formatCode>_(* #,##0.00_);_(* \(#,##0.00\);_(*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2A4C-4B7B-96EC-C9ECDE0A1096}"/>
            </c:ext>
          </c:extLst>
        </c:ser>
        <c:ser>
          <c:idx val="2"/>
          <c:order val="2"/>
          <c:tx>
            <c:v>Percent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Report'!$G$11:$G$15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C-4B7B-96EC-C9ECDE0A10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3428112"/>
        <c:axId val="1753437264"/>
      </c:barChart>
      <c:catAx>
        <c:axId val="175342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Ending </a:t>
                </a:r>
                <a:r>
                  <a:rPr lang="en-US" sz="900" b="1" i="0" u="none" strike="noStrike" baseline="0">
                    <a:effectLst/>
                  </a:rPr>
                  <a:t>...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085818538826827"/>
              <c:y val="0.88929672048770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37264"/>
        <c:crosses val="autoZero"/>
        <c:auto val="1"/>
        <c:lblAlgn val="ctr"/>
        <c:lblOffset val="100"/>
        <c:noMultiLvlLbl val="1"/>
      </c:catAx>
      <c:valAx>
        <c:axId val="175343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Package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28112"/>
        <c:crosses val="autoZero"/>
        <c:crossBetween val="between"/>
        <c:minorUnit val="2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Twilight Sort OTE Chute Full Comparison  </a:t>
            </a:r>
          </a:p>
        </c:rich>
      </c:tx>
      <c:layout>
        <c:manualLayout>
          <c:xMode val="edge"/>
          <c:yMode val="edge"/>
          <c:x val="0.19205631475860244"/>
          <c:y val="1.9002375296912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Outbound OTE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Report'!$F$18:$F$22</c:f>
              <c:numCache>
                <c:formatCode>_(* #,##0.00_);_(* \(#,##0.00\);_(*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C8A6-49FE-9BDC-FEA7FD7D6629}"/>
            </c:ext>
          </c:extLst>
        </c:ser>
        <c:ser>
          <c:idx val="1"/>
          <c:order val="1"/>
          <c:tx>
            <c:v>Chute Fulls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Report'!$E$18:$E$22</c:f>
              <c:numCache>
                <c:formatCode>_(* #,##0.00_);_(* \(#,##0.00\);_(*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C8A6-49FE-9BDC-FEA7FD7D6629}"/>
            </c:ext>
          </c:extLst>
        </c:ser>
        <c:ser>
          <c:idx val="2"/>
          <c:order val="2"/>
          <c:tx>
            <c:v>Percent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</c:numCache>
            </c:numRef>
          </c:cat>
          <c:val>
            <c:numRef>
              <c:f>'MPI Report'!$G$18:$G$22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A6-49FE-9BDC-FEA7FD7D66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3428112"/>
        <c:axId val="1753437264"/>
      </c:barChart>
      <c:catAx>
        <c:axId val="175342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Ending </a:t>
                </a:r>
                <a:r>
                  <a:rPr lang="en-US" sz="900" b="1" i="0" u="none" strike="noStrike" baseline="0">
                    <a:effectLst/>
                  </a:rPr>
                  <a:t>...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0824139753148014"/>
              <c:y val="0.89082924954041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37264"/>
        <c:crosses val="autoZero"/>
        <c:auto val="1"/>
        <c:lblAlgn val="ctr"/>
        <c:lblOffset val="100"/>
        <c:noMultiLvlLbl val="1"/>
      </c:catAx>
      <c:valAx>
        <c:axId val="175343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Package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28112"/>
        <c:crosses val="autoZero"/>
        <c:crossBetween val="between"/>
        <c:minorUnit val="2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180975</xdr:rowOff>
        </xdr:from>
        <xdr:to>
          <xdr:col>18</xdr:col>
          <xdr:colOff>581025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26</xdr:row>
          <xdr:rowOff>123825</xdr:rowOff>
        </xdr:from>
        <xdr:to>
          <xdr:col>16</xdr:col>
          <xdr:colOff>600075</xdr:colOff>
          <xdr:row>28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166687</xdr:colOff>
      <xdr:row>29</xdr:row>
      <xdr:rowOff>71438</xdr:rowOff>
    </xdr:from>
    <xdr:to>
      <xdr:col>14</xdr:col>
      <xdr:colOff>273843</xdr:colOff>
      <xdr:row>54</xdr:row>
      <xdr:rowOff>60484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</xdr:colOff>
      <xdr:row>55</xdr:row>
      <xdr:rowOff>45243</xdr:rowOff>
    </xdr:from>
    <xdr:to>
      <xdr:col>9</xdr:col>
      <xdr:colOff>250031</xdr:colOff>
      <xdr:row>78</xdr:row>
      <xdr:rowOff>154781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547691</xdr:colOff>
      <xdr:row>55</xdr:row>
      <xdr:rowOff>59531</xdr:rowOff>
    </xdr:from>
    <xdr:to>
      <xdr:col>20</xdr:col>
      <xdr:colOff>166688</xdr:colOff>
      <xdr:row>78</xdr:row>
      <xdr:rowOff>154780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59531</xdr:colOff>
      <xdr:row>80</xdr:row>
      <xdr:rowOff>23811</xdr:rowOff>
    </xdr:from>
    <xdr:to>
      <xdr:col>8</xdr:col>
      <xdr:colOff>404812</xdr:colOff>
      <xdr:row>105</xdr:row>
      <xdr:rowOff>119062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571500</xdr:colOff>
      <xdr:row>80</xdr:row>
      <xdr:rowOff>35718</xdr:rowOff>
    </xdr:from>
    <xdr:to>
      <xdr:col>16</xdr:col>
      <xdr:colOff>523876</xdr:colOff>
      <xdr:row>105</xdr:row>
      <xdr:rowOff>142875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166688</xdr:colOff>
      <xdr:row>80</xdr:row>
      <xdr:rowOff>35719</xdr:rowOff>
    </xdr:from>
    <xdr:to>
      <xdr:col>27</xdr:col>
      <xdr:colOff>59532</xdr:colOff>
      <xdr:row>105</xdr:row>
      <xdr:rowOff>142875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9035-ED75-419B-A193-AD7CD5F68A14}">
  <sheetPr codeName="Sheet2"/>
  <dimension ref="A1:R28"/>
  <sheetViews>
    <sheetView tabSelected="1" zoomScale="80" zoomScaleNormal="80" workbookViewId="0">
      <selection activeCell="A55" sqref="A55"/>
    </sheetView>
  </sheetViews>
  <sheetFormatPr defaultRowHeight="15" x14ac:dyDescent="0.25"/>
  <cols>
    <col min="1" max="1" width="10.42578125" customWidth="1"/>
    <col min="2" max="2" width="12" customWidth="1"/>
    <col min="3" max="3" width="6.85546875" customWidth="1"/>
    <col min="4" max="4" width="15.140625" customWidth="1"/>
    <col min="5" max="6" width="12.7109375" customWidth="1"/>
    <col min="7" max="7" width="15" customWidth="1"/>
    <col min="8" max="8" width="13" customWidth="1"/>
    <col min="9" max="9" width="13.140625" customWidth="1"/>
    <col min="11" max="11" width="13" customWidth="1"/>
    <col min="12" max="12" width="12.7109375" customWidth="1"/>
    <col min="14" max="15" width="13.85546875" bestFit="1" customWidth="1"/>
  </cols>
  <sheetData>
    <row r="1" spans="1:18" ht="33" customHeight="1" thickBot="1" x14ac:dyDescent="0.35">
      <c r="A1" s="38" t="s">
        <v>25</v>
      </c>
      <c r="B1" s="39"/>
      <c r="C1" s="24"/>
      <c r="D1" s="22"/>
      <c r="E1" s="20" t="s">
        <v>24</v>
      </c>
      <c r="H1" s="20" t="s">
        <v>24</v>
      </c>
      <c r="I1" s="20"/>
      <c r="J1" s="20"/>
      <c r="K1" s="20" t="s">
        <v>23</v>
      </c>
      <c r="L1" s="20"/>
      <c r="M1" s="20"/>
      <c r="N1" s="20" t="s">
        <v>22</v>
      </c>
    </row>
    <row r="2" spans="1:18" x14ac:dyDescent="0.25">
      <c r="A2" s="1" t="s">
        <v>0</v>
      </c>
      <c r="B2" s="1" t="s">
        <v>1</v>
      </c>
      <c r="C2" s="1" t="s">
        <v>2</v>
      </c>
      <c r="D2" s="1" t="s">
        <v>3</v>
      </c>
      <c r="E2" s="4" t="s">
        <v>26</v>
      </c>
      <c r="F2" s="5" t="s">
        <v>19</v>
      </c>
      <c r="G2" s="6" t="s">
        <v>20</v>
      </c>
      <c r="H2" s="4" t="s">
        <v>4</v>
      </c>
      <c r="I2" s="5" t="s">
        <v>5</v>
      </c>
      <c r="J2" s="6" t="s">
        <v>6</v>
      </c>
      <c r="K2" s="4" t="s">
        <v>4</v>
      </c>
      <c r="L2" s="5" t="s">
        <v>5</v>
      </c>
      <c r="M2" s="6" t="s">
        <v>6</v>
      </c>
      <c r="N2" s="14" t="s">
        <v>4</v>
      </c>
      <c r="O2" s="15" t="s">
        <v>5</v>
      </c>
      <c r="P2" s="18" t="s">
        <v>6</v>
      </c>
    </row>
    <row r="3" spans="1:18" x14ac:dyDescent="0.25">
      <c r="B3" s="25"/>
      <c r="C3" s="3" t="s">
        <v>7</v>
      </c>
      <c r="D3" s="3" t="s">
        <v>21</v>
      </c>
      <c r="E3" s="29"/>
      <c r="F3" s="30"/>
      <c r="G3" s="9" t="e">
        <f>E3/F3</f>
        <v>#DIV/0!</v>
      </c>
      <c r="H3" s="29"/>
      <c r="I3" s="30"/>
      <c r="J3" s="9" t="e">
        <f t="shared" ref="J3:J11" si="0">(I3+E3)/H3</f>
        <v>#DIV/0!</v>
      </c>
      <c r="K3" s="29"/>
      <c r="L3" s="30"/>
      <c r="M3" s="9" t="e">
        <f>L3/K3</f>
        <v>#DIV/0!</v>
      </c>
      <c r="N3" s="29">
        <f>H3+K3</f>
        <v>0</v>
      </c>
      <c r="O3" s="30">
        <f>I3+L3</f>
        <v>0</v>
      </c>
      <c r="P3" s="9" t="e">
        <f>O3/N3</f>
        <v>#DIV/0!</v>
      </c>
    </row>
    <row r="4" spans="1:18" x14ac:dyDescent="0.25">
      <c r="B4" s="25"/>
      <c r="C4" s="3" t="s">
        <v>7</v>
      </c>
      <c r="D4" s="3" t="s">
        <v>10</v>
      </c>
      <c r="E4" s="29"/>
      <c r="F4" s="30"/>
      <c r="G4" s="9" t="e">
        <f t="shared" ref="G4:G22" si="1">E4/F4</f>
        <v>#DIV/0!</v>
      </c>
      <c r="H4" s="29"/>
      <c r="I4" s="30"/>
      <c r="J4" s="9" t="e">
        <f t="shared" si="0"/>
        <v>#DIV/0!</v>
      </c>
      <c r="K4" s="29"/>
      <c r="L4" s="30"/>
      <c r="M4" s="9" t="e">
        <f t="shared" ref="M4:M15" si="2">L4/K4</f>
        <v>#DIV/0!</v>
      </c>
      <c r="N4" s="29">
        <f t="shared" ref="N4:O19" si="3">H4+K4</f>
        <v>0</v>
      </c>
      <c r="O4" s="30">
        <f t="shared" si="3"/>
        <v>0</v>
      </c>
      <c r="P4" s="9" t="e">
        <f t="shared" ref="P4:P15" si="4">O4/N4</f>
        <v>#DIV/0!</v>
      </c>
    </row>
    <row r="5" spans="1:18" x14ac:dyDescent="0.25">
      <c r="B5" s="25"/>
      <c r="C5" s="3" t="s">
        <v>7</v>
      </c>
      <c r="D5" s="3" t="s">
        <v>11</v>
      </c>
      <c r="E5" s="29"/>
      <c r="F5" s="30"/>
      <c r="G5" s="9" t="e">
        <f t="shared" si="1"/>
        <v>#DIV/0!</v>
      </c>
      <c r="H5" s="29"/>
      <c r="I5" s="30"/>
      <c r="J5" s="9" t="e">
        <f t="shared" si="0"/>
        <v>#DIV/0!</v>
      </c>
      <c r="K5" s="29"/>
      <c r="L5" s="30"/>
      <c r="M5" s="9" t="e">
        <f t="shared" si="2"/>
        <v>#DIV/0!</v>
      </c>
      <c r="N5" s="29">
        <f t="shared" si="3"/>
        <v>0</v>
      </c>
      <c r="O5" s="30">
        <f t="shared" si="3"/>
        <v>0</v>
      </c>
      <c r="P5" s="9" t="e">
        <f t="shared" si="4"/>
        <v>#DIV/0!</v>
      </c>
    </row>
    <row r="6" spans="1:18" x14ac:dyDescent="0.25">
      <c r="B6" s="25"/>
      <c r="C6" s="3" t="s">
        <v>7</v>
      </c>
      <c r="D6" s="3" t="s">
        <v>12</v>
      </c>
      <c r="E6" s="29"/>
      <c r="F6" s="30"/>
      <c r="G6" s="9" t="e">
        <f t="shared" si="1"/>
        <v>#DIV/0!</v>
      </c>
      <c r="H6" s="29"/>
      <c r="I6" s="30"/>
      <c r="J6" s="9" t="e">
        <f t="shared" si="0"/>
        <v>#DIV/0!</v>
      </c>
      <c r="K6" s="29"/>
      <c r="L6" s="30"/>
      <c r="M6" s="9" t="e">
        <f t="shared" si="2"/>
        <v>#DIV/0!</v>
      </c>
      <c r="N6" s="29">
        <f t="shared" si="3"/>
        <v>0</v>
      </c>
      <c r="O6" s="30">
        <f t="shared" si="3"/>
        <v>0</v>
      </c>
      <c r="P6" s="9" t="e">
        <f t="shared" si="4"/>
        <v>#DIV/0!</v>
      </c>
    </row>
    <row r="7" spans="1:18" x14ac:dyDescent="0.25">
      <c r="B7" s="25"/>
      <c r="C7" s="3" t="s">
        <v>7</v>
      </c>
      <c r="D7" s="3" t="s">
        <v>13</v>
      </c>
      <c r="E7" s="29"/>
      <c r="F7" s="30"/>
      <c r="G7" s="9" t="e">
        <f t="shared" si="1"/>
        <v>#DIV/0!</v>
      </c>
      <c r="H7" s="29"/>
      <c r="I7" s="30"/>
      <c r="J7" s="9" t="e">
        <f t="shared" si="0"/>
        <v>#DIV/0!</v>
      </c>
      <c r="K7" s="29"/>
      <c r="L7" s="30"/>
      <c r="M7" s="9" t="e">
        <f t="shared" si="2"/>
        <v>#DIV/0!</v>
      </c>
      <c r="N7" s="29">
        <f t="shared" si="3"/>
        <v>0</v>
      </c>
      <c r="O7" s="30">
        <f t="shared" si="3"/>
        <v>0</v>
      </c>
      <c r="P7" s="9" t="e">
        <f t="shared" si="4"/>
        <v>#DIV/0!</v>
      </c>
    </row>
    <row r="8" spans="1:18" x14ac:dyDescent="0.25">
      <c r="B8" s="25"/>
      <c r="C8" s="3" t="s">
        <v>7</v>
      </c>
      <c r="D8" s="3" t="s">
        <v>14</v>
      </c>
      <c r="E8" s="29"/>
      <c r="F8" s="30"/>
      <c r="G8" s="9" t="e">
        <f t="shared" si="1"/>
        <v>#DIV/0!</v>
      </c>
      <c r="H8" s="29"/>
      <c r="I8" s="30"/>
      <c r="J8" s="9" t="e">
        <f t="shared" si="0"/>
        <v>#DIV/0!</v>
      </c>
      <c r="K8" s="29"/>
      <c r="L8" s="30"/>
      <c r="M8" s="9" t="e">
        <f t="shared" si="2"/>
        <v>#DIV/0!</v>
      </c>
      <c r="N8" s="29">
        <f t="shared" si="3"/>
        <v>0</v>
      </c>
      <c r="O8" s="30">
        <f t="shared" si="3"/>
        <v>0</v>
      </c>
      <c r="P8" s="9" t="e">
        <f t="shared" si="4"/>
        <v>#DIV/0!</v>
      </c>
    </row>
    <row r="9" spans="1:18" s="26" customFormat="1" x14ac:dyDescent="0.25">
      <c r="B9" s="2"/>
      <c r="C9" s="3"/>
      <c r="D9" s="3" t="s">
        <v>27</v>
      </c>
      <c r="E9" s="31">
        <f>SUM(E4:E8)</f>
        <v>0</v>
      </c>
      <c r="F9" s="32">
        <f>SUM(F4:F8)</f>
        <v>0</v>
      </c>
      <c r="G9" s="28" t="e">
        <f t="shared" si="1"/>
        <v>#DIV/0!</v>
      </c>
      <c r="H9" s="31">
        <f>SUM(H3:H8)</f>
        <v>0</v>
      </c>
      <c r="I9" s="32">
        <f>SUM(I3:I8)</f>
        <v>0</v>
      </c>
      <c r="J9" s="28" t="e">
        <f>(I9+E9)/H9</f>
        <v>#DIV/0!</v>
      </c>
      <c r="K9" s="31">
        <f>SUM(K3:K8)</f>
        <v>0</v>
      </c>
      <c r="L9" s="32">
        <f>SUM(L3:L8)</f>
        <v>0</v>
      </c>
      <c r="M9" s="28" t="e">
        <f>L9/K9</f>
        <v>#DIV/0!</v>
      </c>
      <c r="N9" s="31">
        <f>SUM(N3:N8)</f>
        <v>0</v>
      </c>
      <c r="O9" s="32">
        <f>SUM(O3:O8)</f>
        <v>0</v>
      </c>
      <c r="P9" s="28" t="e">
        <f>O9/N9</f>
        <v>#DIV/0!</v>
      </c>
    </row>
    <row r="10" spans="1:18" ht="15.75" thickBot="1" x14ac:dyDescent="0.3">
      <c r="A10" s="22"/>
      <c r="B10" s="22"/>
      <c r="C10" s="22"/>
      <c r="D10" s="23"/>
      <c r="E10" s="33"/>
      <c r="F10" s="34"/>
      <c r="G10" s="13"/>
      <c r="H10" s="33"/>
      <c r="I10" s="34"/>
      <c r="J10" s="13"/>
      <c r="K10" s="33"/>
      <c r="L10" s="34"/>
      <c r="M10" s="13"/>
      <c r="N10" s="33"/>
      <c r="O10" s="34"/>
      <c r="P10" s="13"/>
    </row>
    <row r="11" spans="1:18" x14ac:dyDescent="0.25">
      <c r="B11" s="25"/>
      <c r="C11" s="3" t="s">
        <v>8</v>
      </c>
      <c r="D11" s="10" t="s">
        <v>21</v>
      </c>
      <c r="E11" s="29"/>
      <c r="F11" s="30"/>
      <c r="G11" s="9" t="e">
        <f t="shared" si="1"/>
        <v>#DIV/0!</v>
      </c>
      <c r="H11" s="29"/>
      <c r="I11" s="30"/>
      <c r="J11" s="9" t="e">
        <f t="shared" si="0"/>
        <v>#DIV/0!</v>
      </c>
      <c r="K11" s="29"/>
      <c r="L11" s="30"/>
      <c r="M11" s="9" t="e">
        <f t="shared" si="2"/>
        <v>#DIV/0!</v>
      </c>
      <c r="N11" s="35">
        <f t="shared" si="3"/>
        <v>0</v>
      </c>
      <c r="O11" s="36">
        <f t="shared" si="3"/>
        <v>0</v>
      </c>
      <c r="P11" s="9" t="e">
        <f t="shared" si="4"/>
        <v>#DIV/0!</v>
      </c>
      <c r="R11" s="3"/>
    </row>
    <row r="12" spans="1:18" x14ac:dyDescent="0.25">
      <c r="B12" s="25"/>
      <c r="C12" s="3" t="s">
        <v>8</v>
      </c>
      <c r="D12" s="10" t="s">
        <v>10</v>
      </c>
      <c r="E12" s="29"/>
      <c r="F12" s="30"/>
      <c r="G12" s="9" t="e">
        <f t="shared" si="1"/>
        <v>#DIV/0!</v>
      </c>
      <c r="H12" s="29"/>
      <c r="I12" s="30"/>
      <c r="J12" s="9" t="e">
        <f>(I12+E12)/H12</f>
        <v>#DIV/0!</v>
      </c>
      <c r="K12" s="29"/>
      <c r="L12" s="30"/>
      <c r="M12" s="9" t="e">
        <f t="shared" si="2"/>
        <v>#DIV/0!</v>
      </c>
      <c r="N12" s="29">
        <f t="shared" si="3"/>
        <v>0</v>
      </c>
      <c r="O12" s="30">
        <f t="shared" si="3"/>
        <v>0</v>
      </c>
      <c r="P12" s="9" t="e">
        <f t="shared" si="4"/>
        <v>#DIV/0!</v>
      </c>
    </row>
    <row r="13" spans="1:18" x14ac:dyDescent="0.25">
      <c r="B13" s="25"/>
      <c r="C13" s="3" t="s">
        <v>8</v>
      </c>
      <c r="D13" s="10" t="s">
        <v>11</v>
      </c>
      <c r="E13" s="29"/>
      <c r="F13" s="30"/>
      <c r="G13" s="9" t="e">
        <f t="shared" si="1"/>
        <v>#DIV/0!</v>
      </c>
      <c r="H13" s="29"/>
      <c r="I13" s="30"/>
      <c r="J13" s="9" t="e">
        <f t="shared" ref="J13:J15" si="5">(I13+E13)/H13</f>
        <v>#DIV/0!</v>
      </c>
      <c r="K13" s="29"/>
      <c r="L13" s="30"/>
      <c r="M13" s="9" t="e">
        <f t="shared" si="2"/>
        <v>#DIV/0!</v>
      </c>
      <c r="N13" s="29">
        <f t="shared" si="3"/>
        <v>0</v>
      </c>
      <c r="O13" s="30">
        <f t="shared" si="3"/>
        <v>0</v>
      </c>
      <c r="P13" s="9" t="e">
        <f t="shared" si="4"/>
        <v>#DIV/0!</v>
      </c>
    </row>
    <row r="14" spans="1:18" x14ac:dyDescent="0.25">
      <c r="B14" s="25"/>
      <c r="C14" s="3" t="s">
        <v>8</v>
      </c>
      <c r="D14" s="10" t="s">
        <v>12</v>
      </c>
      <c r="E14" s="29"/>
      <c r="F14" s="30"/>
      <c r="G14" s="9" t="e">
        <f t="shared" si="1"/>
        <v>#DIV/0!</v>
      </c>
      <c r="H14" s="29"/>
      <c r="I14" s="30"/>
      <c r="J14" s="9" t="e">
        <f t="shared" si="5"/>
        <v>#DIV/0!</v>
      </c>
      <c r="K14" s="29"/>
      <c r="L14" s="30"/>
      <c r="M14" s="9" t="e">
        <f t="shared" si="2"/>
        <v>#DIV/0!</v>
      </c>
      <c r="N14" s="29">
        <f t="shared" si="3"/>
        <v>0</v>
      </c>
      <c r="O14" s="30">
        <f t="shared" si="3"/>
        <v>0</v>
      </c>
      <c r="P14" s="9" t="e">
        <f t="shared" si="4"/>
        <v>#DIV/0!</v>
      </c>
    </row>
    <row r="15" spans="1:18" x14ac:dyDescent="0.25">
      <c r="B15" s="25"/>
      <c r="C15" s="3" t="s">
        <v>8</v>
      </c>
      <c r="D15" s="10" t="s">
        <v>13</v>
      </c>
      <c r="E15" s="29"/>
      <c r="F15" s="30"/>
      <c r="G15" s="9" t="e">
        <f t="shared" si="1"/>
        <v>#DIV/0!</v>
      </c>
      <c r="H15" s="29"/>
      <c r="I15" s="30"/>
      <c r="J15" s="9" t="e">
        <f t="shared" si="5"/>
        <v>#DIV/0!</v>
      </c>
      <c r="K15" s="29"/>
      <c r="L15" s="30"/>
      <c r="M15" s="9" t="e">
        <f t="shared" si="2"/>
        <v>#DIV/0!</v>
      </c>
      <c r="N15" s="29">
        <f t="shared" si="3"/>
        <v>0</v>
      </c>
      <c r="O15" s="30">
        <f t="shared" si="3"/>
        <v>0</v>
      </c>
      <c r="P15" s="9" t="e">
        <f t="shared" si="4"/>
        <v>#DIV/0!</v>
      </c>
    </row>
    <row r="16" spans="1:18" x14ac:dyDescent="0.25">
      <c r="B16" s="19"/>
      <c r="D16" s="26" t="s">
        <v>16</v>
      </c>
      <c r="E16" s="31">
        <f>SUM(E11:E15)</f>
        <v>0</v>
      </c>
      <c r="F16" s="32">
        <f>SUM(F11:F15)</f>
        <v>0</v>
      </c>
      <c r="G16" s="28" t="e">
        <f t="shared" si="1"/>
        <v>#DIV/0!</v>
      </c>
      <c r="H16" s="31">
        <f>SUM(H10:H15)</f>
        <v>0</v>
      </c>
      <c r="I16" s="32">
        <f>SUM(I10:I15)</f>
        <v>0</v>
      </c>
      <c r="J16" s="28" t="e">
        <f>(I16+E16)/H16</f>
        <v>#DIV/0!</v>
      </c>
      <c r="K16" s="31">
        <f>SUM(K10:K15)</f>
        <v>0</v>
      </c>
      <c r="L16" s="32">
        <f>SUM(L10:L15)</f>
        <v>0</v>
      </c>
      <c r="M16" s="28" t="e">
        <f>L16/K16</f>
        <v>#DIV/0!</v>
      </c>
      <c r="N16" s="31">
        <f>SUM(N10:N15)</f>
        <v>0</v>
      </c>
      <c r="O16" s="32">
        <f>SUM(O10:O15)</f>
        <v>0</v>
      </c>
      <c r="P16" s="28" t="e">
        <f>O16/N16</f>
        <v>#DIV/0!</v>
      </c>
    </row>
    <row r="17" spans="1:16" ht="15.75" thickBot="1" x14ac:dyDescent="0.3">
      <c r="A17" s="22"/>
      <c r="B17" s="22"/>
      <c r="C17" s="22"/>
      <c r="D17" s="23"/>
      <c r="E17" s="33"/>
      <c r="F17" s="34"/>
      <c r="G17" s="13"/>
      <c r="H17" s="33"/>
      <c r="I17" s="34"/>
      <c r="J17" s="13"/>
      <c r="K17" s="33"/>
      <c r="L17" s="34"/>
      <c r="M17" s="27"/>
      <c r="N17" s="33"/>
      <c r="O17" s="34"/>
      <c r="P17" s="21"/>
    </row>
    <row r="18" spans="1:16" x14ac:dyDescent="0.25">
      <c r="B18" s="25"/>
      <c r="C18" s="19" t="s">
        <v>9</v>
      </c>
      <c r="D18" s="19" t="s">
        <v>21</v>
      </c>
      <c r="E18" s="29"/>
      <c r="F18" s="30"/>
      <c r="G18" s="9" t="e">
        <f t="shared" si="1"/>
        <v>#DIV/0!</v>
      </c>
      <c r="H18" s="29"/>
      <c r="I18" s="30"/>
      <c r="J18" s="9" t="e">
        <f>(I18+E18)/H18</f>
        <v>#DIV/0!</v>
      </c>
      <c r="K18" s="29"/>
      <c r="L18" s="30"/>
      <c r="M18" s="9" t="e">
        <f>L18/K18</f>
        <v>#DIV/0!</v>
      </c>
      <c r="N18" s="35">
        <f t="shared" si="3"/>
        <v>0</v>
      </c>
      <c r="O18" s="36">
        <f t="shared" si="3"/>
        <v>0</v>
      </c>
      <c r="P18" s="9" t="e">
        <f>O18/N18</f>
        <v>#DIV/0!</v>
      </c>
    </row>
    <row r="19" spans="1:16" x14ac:dyDescent="0.25">
      <c r="B19" s="25"/>
      <c r="C19" s="19" t="s">
        <v>9</v>
      </c>
      <c r="D19" s="19" t="s">
        <v>10</v>
      </c>
      <c r="E19" s="29"/>
      <c r="F19" s="30"/>
      <c r="G19" s="9" t="e">
        <f t="shared" si="1"/>
        <v>#DIV/0!</v>
      </c>
      <c r="H19" s="29"/>
      <c r="I19" s="30"/>
      <c r="J19" s="9" t="e">
        <f t="shared" ref="J19:J22" si="6">(I19+E19)/H19</f>
        <v>#DIV/0!</v>
      </c>
      <c r="K19" s="29"/>
      <c r="L19" s="30"/>
      <c r="M19" s="9" t="e">
        <f t="shared" ref="M19:M22" si="7">L19/K19</f>
        <v>#DIV/0!</v>
      </c>
      <c r="N19" s="29">
        <f t="shared" si="3"/>
        <v>0</v>
      </c>
      <c r="O19" s="30">
        <f t="shared" si="3"/>
        <v>0</v>
      </c>
      <c r="P19" s="9" t="e">
        <f t="shared" ref="P19:P22" si="8">O19/N19</f>
        <v>#DIV/0!</v>
      </c>
    </row>
    <row r="20" spans="1:16" x14ac:dyDescent="0.25">
      <c r="B20" s="25"/>
      <c r="C20" s="19" t="s">
        <v>9</v>
      </c>
      <c r="D20" s="19" t="s">
        <v>11</v>
      </c>
      <c r="E20" s="29"/>
      <c r="F20" s="30"/>
      <c r="G20" s="9" t="e">
        <f t="shared" si="1"/>
        <v>#DIV/0!</v>
      </c>
      <c r="H20" s="29"/>
      <c r="I20" s="30"/>
      <c r="J20" s="9" t="e">
        <f t="shared" si="6"/>
        <v>#DIV/0!</v>
      </c>
      <c r="K20" s="29"/>
      <c r="L20" s="30"/>
      <c r="M20" s="9" t="e">
        <f t="shared" si="7"/>
        <v>#DIV/0!</v>
      </c>
      <c r="N20" s="29">
        <f t="shared" ref="N20:O22" si="9">H20+K20</f>
        <v>0</v>
      </c>
      <c r="O20" s="30">
        <f t="shared" si="9"/>
        <v>0</v>
      </c>
      <c r="P20" s="9" t="e">
        <f t="shared" si="8"/>
        <v>#DIV/0!</v>
      </c>
    </row>
    <row r="21" spans="1:16" x14ac:dyDescent="0.25">
      <c r="B21" s="25"/>
      <c r="C21" s="19" t="s">
        <v>9</v>
      </c>
      <c r="D21" s="19" t="s">
        <v>12</v>
      </c>
      <c r="E21" s="29"/>
      <c r="F21" s="30"/>
      <c r="G21" s="9" t="e">
        <f t="shared" si="1"/>
        <v>#DIV/0!</v>
      </c>
      <c r="H21" s="29"/>
      <c r="I21" s="30"/>
      <c r="J21" s="9" t="e">
        <f t="shared" si="6"/>
        <v>#DIV/0!</v>
      </c>
      <c r="K21" s="29"/>
      <c r="L21" s="30"/>
      <c r="M21" s="9" t="e">
        <f t="shared" si="7"/>
        <v>#DIV/0!</v>
      </c>
      <c r="N21" s="29">
        <f t="shared" si="9"/>
        <v>0</v>
      </c>
      <c r="O21" s="30">
        <f t="shared" si="9"/>
        <v>0</v>
      </c>
      <c r="P21" s="9" t="e">
        <f t="shared" si="8"/>
        <v>#DIV/0!</v>
      </c>
    </row>
    <row r="22" spans="1:16" x14ac:dyDescent="0.25">
      <c r="B22" s="25"/>
      <c r="C22" s="19" t="s">
        <v>9</v>
      </c>
      <c r="D22" s="19" t="s">
        <v>13</v>
      </c>
      <c r="E22" s="29"/>
      <c r="F22" s="30"/>
      <c r="G22" s="9" t="e">
        <f t="shared" si="1"/>
        <v>#DIV/0!</v>
      </c>
      <c r="H22" s="29"/>
      <c r="I22" s="30"/>
      <c r="J22" s="9" t="e">
        <f t="shared" si="6"/>
        <v>#DIV/0!</v>
      </c>
      <c r="K22" s="29"/>
      <c r="L22" s="30"/>
      <c r="M22" s="9" t="e">
        <f t="shared" si="7"/>
        <v>#DIV/0!</v>
      </c>
      <c r="N22" s="29">
        <f t="shared" si="9"/>
        <v>0</v>
      </c>
      <c r="O22" s="30">
        <f t="shared" si="9"/>
        <v>0</v>
      </c>
      <c r="P22" s="9" t="e">
        <f t="shared" si="8"/>
        <v>#DIV/0!</v>
      </c>
    </row>
    <row r="23" spans="1:16" x14ac:dyDescent="0.25">
      <c r="B23" s="19"/>
      <c r="D23" s="3" t="s">
        <v>28</v>
      </c>
      <c r="E23" s="31">
        <f>SUM(E18:E22)</f>
        <v>0</v>
      </c>
      <c r="F23" s="32">
        <f>SUM(F18:F22)</f>
        <v>0</v>
      </c>
      <c r="G23" s="28" t="e">
        <f t="shared" ref="G23" si="10">E23/F23</f>
        <v>#DIV/0!</v>
      </c>
      <c r="H23" s="31">
        <f>SUM(H17:H22)</f>
        <v>0</v>
      </c>
      <c r="I23" s="32">
        <f>SUM(I17:I22)</f>
        <v>0</v>
      </c>
      <c r="J23" s="28" t="e">
        <f>(I23+E23)/H23</f>
        <v>#DIV/0!</v>
      </c>
      <c r="K23" s="31">
        <f>SUM(K17:K22)</f>
        <v>0</v>
      </c>
      <c r="L23" s="32">
        <f>SUM(L17:L22)</f>
        <v>0</v>
      </c>
      <c r="M23" s="28" t="e">
        <f>L23/K23</f>
        <v>#DIV/0!</v>
      </c>
      <c r="N23" s="31">
        <f>SUM(N17:N22)</f>
        <v>0</v>
      </c>
      <c r="O23" s="32">
        <f>SUM(O17:O22)</f>
        <v>0</v>
      </c>
      <c r="P23" s="28" t="e">
        <f>O23/N23</f>
        <v>#DIV/0!</v>
      </c>
    </row>
    <row r="24" spans="1:16" ht="15.75" thickBot="1" x14ac:dyDescent="0.3">
      <c r="A24" s="22"/>
      <c r="B24" s="22"/>
      <c r="C24" s="22"/>
      <c r="D24" s="23"/>
      <c r="E24" s="33"/>
      <c r="F24" s="34"/>
      <c r="G24" s="21"/>
      <c r="H24" s="33"/>
      <c r="I24" s="34"/>
      <c r="J24" s="21"/>
      <c r="K24" s="33"/>
      <c r="L24" s="34"/>
      <c r="M24" s="21"/>
      <c r="N24" s="33"/>
      <c r="O24" s="34"/>
      <c r="P24" s="21"/>
    </row>
    <row r="25" spans="1:16" x14ac:dyDescent="0.25">
      <c r="A25" s="26"/>
      <c r="B25" s="26"/>
      <c r="C25" s="26"/>
      <c r="D25" s="26" t="s">
        <v>15</v>
      </c>
      <c r="E25" s="29">
        <f>E9+E16+E23</f>
        <v>0</v>
      </c>
      <c r="F25" s="30">
        <f>F9+F16+F23</f>
        <v>0</v>
      </c>
      <c r="G25" s="7" t="e">
        <f>E25/F25</f>
        <v>#DIV/0!</v>
      </c>
      <c r="H25" s="29">
        <f>H9+H16+H23</f>
        <v>0</v>
      </c>
      <c r="I25" s="30">
        <f>I9+I16+I23</f>
        <v>0</v>
      </c>
      <c r="J25" s="7" t="e">
        <f>I25/H25</f>
        <v>#DIV/0!</v>
      </c>
      <c r="K25" s="29">
        <f>K9+K16+K23</f>
        <v>0</v>
      </c>
      <c r="L25" s="30">
        <f>L9+L16+L23</f>
        <v>0</v>
      </c>
      <c r="M25" s="9" t="e">
        <f>L25/K25</f>
        <v>#DIV/0!</v>
      </c>
      <c r="N25" s="29">
        <f>N9+N16+N23</f>
        <v>0</v>
      </c>
      <c r="O25" s="30">
        <f>O9+O16+O23</f>
        <v>0</v>
      </c>
      <c r="P25" s="9" t="e">
        <f>O25/N25</f>
        <v>#DIV/0!</v>
      </c>
    </row>
    <row r="26" spans="1:16" x14ac:dyDescent="0.25">
      <c r="E26" s="8"/>
      <c r="F26" s="19"/>
      <c r="G26" s="10"/>
      <c r="H26" s="8"/>
      <c r="I26" s="19"/>
      <c r="J26" s="10"/>
      <c r="K26" s="8"/>
      <c r="L26" s="19"/>
      <c r="M26" s="10"/>
      <c r="N26" s="8"/>
      <c r="O26" s="19"/>
      <c r="P26" s="10"/>
    </row>
    <row r="27" spans="1:16" x14ac:dyDescent="0.25">
      <c r="E27" s="8"/>
      <c r="F27" s="37" t="s">
        <v>17</v>
      </c>
      <c r="G27" s="9" t="e">
        <f>MAX(G3:G8,G11:G15,G18:G22)</f>
        <v>#DIV/0!</v>
      </c>
      <c r="H27" s="8"/>
      <c r="I27" s="37" t="s">
        <v>17</v>
      </c>
      <c r="J27" s="9" t="e">
        <f>MAX(J3:J8,J11:J15,J18:J22)</f>
        <v>#DIV/0!</v>
      </c>
      <c r="K27" s="16"/>
      <c r="L27" s="37" t="s">
        <v>17</v>
      </c>
      <c r="M27" s="9" t="e">
        <f>MAX(M3:M8,M11:M15,M18:M22)</f>
        <v>#DIV/0!</v>
      </c>
      <c r="N27" s="16"/>
      <c r="O27" s="37" t="s">
        <v>17</v>
      </c>
      <c r="P27" s="9" t="e">
        <f>MAX(P3:P8,P11:P15,P18:P22)</f>
        <v>#DIV/0!</v>
      </c>
    </row>
    <row r="28" spans="1:16" ht="15.75" thickBot="1" x14ac:dyDescent="0.3">
      <c r="E28" s="11"/>
      <c r="F28" s="12" t="s">
        <v>18</v>
      </c>
      <c r="G28" s="13" t="e">
        <f>MIN(G3:G8,G11:G15,G18:G22)</f>
        <v>#DIV/0!</v>
      </c>
      <c r="H28" s="11"/>
      <c r="I28" s="12" t="s">
        <v>18</v>
      </c>
      <c r="J28" s="13" t="e">
        <f>MIN(J3:J8,J11:J15,J18:J22)</f>
        <v>#DIV/0!</v>
      </c>
      <c r="K28" s="17"/>
      <c r="L28" s="12" t="s">
        <v>18</v>
      </c>
      <c r="M28" s="13" t="e">
        <f>MIN(M3:M8,M11:M15,M18:M22)</f>
        <v>#DIV/0!</v>
      </c>
      <c r="N28" s="17"/>
      <c r="O28" s="12" t="s">
        <v>18</v>
      </c>
      <c r="P28" s="13" t="e">
        <f>MIN(P3:P8,P11:P15,P18:P22)</f>
        <v>#DIV/0!</v>
      </c>
    </row>
  </sheetData>
  <mergeCells count="1">
    <mergeCell ref="A1:B1"/>
  </mergeCells>
  <phoneticPr fontId="5" type="noConversion"/>
  <conditionalFormatting sqref="B3:B9">
    <cfRule type="notContainsBlanks" dxfId="2" priority="3">
      <formula>LEN(TRIM(B3))&gt;0</formula>
    </cfRule>
  </conditionalFormatting>
  <conditionalFormatting sqref="B11:B15">
    <cfRule type="notContainsBlanks" dxfId="1" priority="4">
      <formula>LEN(TRIM(B11))&gt;0</formula>
    </cfRule>
  </conditionalFormatting>
  <conditionalFormatting sqref="B18:B22">
    <cfRule type="notContainsBlanks" dxfId="0" priority="1">
      <formula>LEN(TRIM(B18))&gt;0</formula>
    </cfRule>
  </conditionalFormatting>
  <pageMargins left="0.7" right="0.7" top="0.75" bottom="0.75" header="0.3" footer="0.3"/>
  <pageSetup orientation="portrait" r:id="rId1"/>
  <ignoredErrors>
    <ignoredError sqref="M23 J23 J9 J16 M16 M9 G25 J25 M25" formula="1"/>
    <ignoredError sqref="E9:F9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utoMPI.AutoMPI">
                <anchor moveWithCells="1" sizeWithCells="1">
                  <from>
                    <xdr:col>17</xdr:col>
                    <xdr:colOff>38100</xdr:colOff>
                    <xdr:row>3</xdr:row>
                    <xdr:rowOff>180975</xdr:rowOff>
                  </from>
                  <to>
                    <xdr:col>18</xdr:col>
                    <xdr:colOff>581025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.Clear">
                <anchor moveWithCells="1" sizeWithCells="1">
                  <from>
                    <xdr:col>16</xdr:col>
                    <xdr:colOff>57150</xdr:colOff>
                    <xdr:row>26</xdr:row>
                    <xdr:rowOff>123825</xdr:rowOff>
                  </from>
                  <to>
                    <xdr:col>16</xdr:col>
                    <xdr:colOff>600075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MPI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 Benson (BLS2YVM)</dc:creator>
  <cp:lastModifiedBy>Lieberman Alexander (VJX3ZRC)</cp:lastModifiedBy>
  <dcterms:created xsi:type="dcterms:W3CDTF">2021-01-23T16:59:04Z</dcterms:created>
  <dcterms:modified xsi:type="dcterms:W3CDTF">2022-01-03T23:39:49Z</dcterms:modified>
</cp:coreProperties>
</file>